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F:\Content creation\Programming\Jaycar EOD Excel automation\"/>
    </mc:Choice>
  </mc:AlternateContent>
  <xr:revisionPtr revIDLastSave="0" documentId="13_ncr:1_{A1C858DF-62A5-4875-8DC3-9D55752E1F12}" xr6:coauthVersionLast="45" xr6:coauthVersionMax="45" xr10:uidLastSave="{00000000-0000-0000-0000-000000000000}"/>
  <bookViews>
    <workbookView xWindow="49110" yWindow="18435" windowWidth="19200" windowHeight="1036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1" l="1"/>
  <c r="I11" i="1" l="1"/>
  <c r="G11" i="1" l="1"/>
  <c r="K11" i="1"/>
  <c r="J11" i="1"/>
  <c r="C11" i="1"/>
  <c r="D11" i="1"/>
  <c r="F11" i="1" l="1"/>
  <c r="F10" i="1"/>
  <c r="F7" i="1" l="1"/>
  <c r="E10" i="1" l="1"/>
  <c r="E9" i="1"/>
  <c r="E8" i="1"/>
  <c r="E7" i="1"/>
  <c r="E6" i="1"/>
  <c r="E5" i="1"/>
  <c r="E4" i="1"/>
  <c r="E11" i="1" l="1"/>
  <c r="F6" i="1" l="1"/>
  <c r="F9" i="1" l="1"/>
  <c r="F5" i="1" l="1"/>
  <c r="F8" i="1"/>
  <c r="F4" i="1" l="1"/>
</calcChain>
</file>

<file path=xl/sharedStrings.xml><?xml version="1.0" encoding="utf-8"?>
<sst xmlns="http://schemas.openxmlformats.org/spreadsheetml/2006/main" count="20" uniqueCount="20">
  <si>
    <t>UP/DOWN</t>
  </si>
  <si>
    <t>%</t>
  </si>
  <si>
    <t>MONDAY</t>
  </si>
  <si>
    <t>TUESDAY</t>
  </si>
  <si>
    <t>WEDNESDAY</t>
  </si>
  <si>
    <t>THURSDAY</t>
  </si>
  <si>
    <t>FRIDAY</t>
  </si>
  <si>
    <t>SATURDAY</t>
  </si>
  <si>
    <t>SUNDAY</t>
  </si>
  <si>
    <t>DAY</t>
  </si>
  <si>
    <t xml:space="preserve">DAILY PERFORMANCE </t>
  </si>
  <si>
    <t>NERD PERKS</t>
  </si>
  <si>
    <t>TRADE CARDS</t>
  </si>
  <si>
    <t>TOTAL</t>
  </si>
  <si>
    <t>AVG</t>
  </si>
  <si>
    <t>LPT</t>
  </si>
  <si>
    <t>Shop !?!</t>
  </si>
  <si>
    <t>Sales</t>
  </si>
  <si>
    <t>Budget</t>
  </si>
  <si>
    <t>Trans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</si>
</sst>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&quot;$&quot;#,##0"/>
    <numFmt numFmtId="166" formatCode="&quot;$&quot;#,##0.00"/>
    <numFmt numFmtId="167" formatCode="#,##0_ ;[Red]\-#,##0\ 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333333"/>
      <name val="Arial"/>
      <family val="2"/>
    </font>
  </fonts>
  <fills count="7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8"/>
        </stop>
      </gradientFill>
    </fill>
    <fill>
      <gradientFill degree="90">
        <stop position="0">
          <color theme="0"/>
        </stop>
        <stop position="1">
          <color rgb="FF0070C0"/>
        </stop>
      </gradientFill>
    </fill>
    <fill>
      <gradientFill degree="90">
        <stop position="0">
          <color theme="0"/>
        </stop>
        <stop position="1">
          <color theme="7"/>
        </stop>
      </gradientFill>
    </fill>
    <fill>
      <gradientFill degree="90">
        <stop position="0">
          <color theme="0"/>
        </stop>
        <stop position="1">
          <color theme="9"/>
        </stop>
      </gradient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3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3" borderId="10" xfId="0" applyFont="1" applyFill="1" applyBorder="1"/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4" borderId="3" xfId="0" applyFont="1" applyFill="1" applyBorder="1"/>
    <xf numFmtId="164" fontId="0" fillId="4" borderId="4" xfId="0" applyNumberFormat="1" applyFill="1" applyBorder="1" applyAlignment="1">
      <alignment horizontal="center"/>
    </xf>
    <xf numFmtId="0" fontId="1" fillId="4" borderId="5" xfId="0" applyFont="1" applyFill="1" applyBorder="1"/>
    <xf numFmtId="164" fontId="0" fillId="4" borderId="6" xfId="0" applyNumberFormat="1" applyFill="1" applyBorder="1" applyAlignment="1">
      <alignment horizontal="center"/>
    </xf>
    <xf numFmtId="3" fontId="0" fillId="5" borderId="8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1" fillId="2" borderId="13" xfId="0" applyFont="1" applyFill="1" applyBorder="1" applyAlignment="1"/>
    <xf numFmtId="165" fontId="0" fillId="2" borderId="14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0" fontId="0" fillId="6" borderId="0" xfId="0" applyFill="1"/>
    <xf numFmtId="0" fontId="1" fillId="3" borderId="16" xfId="0" applyFont="1" applyFill="1" applyBorder="1" applyAlignment="1">
      <alignment horizontal="center"/>
    </xf>
    <xf numFmtId="164" fontId="0" fillId="0" borderId="0" xfId="0" applyNumberFormat="1"/>
    <xf numFmtId="166" fontId="0" fillId="5" borderId="20" xfId="0" applyNumberFormat="1" applyFill="1" applyBorder="1" applyAlignment="1">
      <alignment horizontal="center"/>
    </xf>
    <xf numFmtId="164" fontId="1" fillId="2" borderId="16" xfId="0" applyNumberFormat="1" applyFont="1" applyFill="1" applyBorder="1" applyAlignment="1">
      <alignment horizontal="center"/>
    </xf>
    <xf numFmtId="167" fontId="1" fillId="2" borderId="11" xfId="0" applyNumberFormat="1" applyFont="1" applyFill="1" applyBorder="1" applyAlignment="1">
      <alignment horizontal="center"/>
    </xf>
    <xf numFmtId="0" fontId="1" fillId="3" borderId="21" xfId="0" applyFont="1" applyFill="1" applyBorder="1" applyAlignment="1">
      <alignment horizontal="center"/>
    </xf>
    <xf numFmtId="10" fontId="0" fillId="4" borderId="22" xfId="0" applyNumberFormat="1" applyFill="1" applyBorder="1" applyAlignment="1">
      <alignment horizontal="center"/>
    </xf>
    <xf numFmtId="10" fontId="0" fillId="4" borderId="23" xfId="0" applyNumberFormat="1" applyFill="1" applyBorder="1" applyAlignment="1">
      <alignment horizontal="center"/>
    </xf>
    <xf numFmtId="10" fontId="0" fillId="2" borderId="24" xfId="0" applyNumberFormat="1" applyFill="1" applyBorder="1" applyAlignment="1">
      <alignment horizontal="center"/>
    </xf>
    <xf numFmtId="0" fontId="0" fillId="6" borderId="0" xfId="0" applyFill="1" applyBorder="1"/>
    <xf numFmtId="1" fontId="0" fillId="5" borderId="8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3" fontId="0" fillId="5" borderId="4" xfId="0" applyNumberFormat="1" applyFill="1" applyBorder="1" applyAlignment="1">
      <alignment horizontal="center"/>
    </xf>
    <xf numFmtId="3" fontId="0" fillId="5" borderId="6" xfId="0" applyNumberFormat="1" applyFill="1" applyBorder="1" applyAlignment="1">
      <alignment horizontal="center"/>
    </xf>
    <xf numFmtId="166" fontId="0" fillId="5" borderId="17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2" fontId="0" fillId="5" borderId="6" xfId="0" applyNumberFormat="1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1" fontId="0" fillId="5" borderId="6" xfId="0" applyNumberFormat="1" applyFill="1" applyBorder="1" applyAlignment="1">
      <alignment horizontal="center"/>
    </xf>
    <xf numFmtId="0" fontId="4" fillId="2" borderId="26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  <xf numFmtId="0" fontId="5" fillId="0" borderId="0" xfId="0" applyFont="1"/>
    <xf numFmtId="0" fontId="1" fillId="3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38100</xdr:rowOff>
        </xdr:from>
        <xdr:to>
          <xdr:col>1</xdr:col>
          <xdr:colOff>1057275</xdr:colOff>
          <xdr:row>13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tabSelected="1" workbookViewId="0">
      <selection activeCell="D25" sqref="D25"/>
    </sheetView>
  </sheetViews>
  <sheetFormatPr defaultRowHeight="15" x14ac:dyDescent="0.25"/>
  <cols>
    <col min="1" max="1" width="12" customWidth="1"/>
    <col min="2" max="2" width="16" customWidth="1"/>
    <col min="3" max="3" width="14" customWidth="1"/>
    <col min="4" max="4" width="14.28515625" customWidth="1"/>
    <col min="5" max="5" width="10.7109375" customWidth="1"/>
    <col min="6" max="6" width="9" customWidth="1"/>
    <col min="7" max="7" width="10.5703125" customWidth="1"/>
    <col min="8" max="8" width="11.5703125" customWidth="1"/>
    <col min="9" max="9" width="11.42578125" customWidth="1"/>
    <col min="10" max="11" width="12.85546875" customWidth="1"/>
  </cols>
  <sheetData>
    <row r="1" spans="1:12" ht="15.75" thickBo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2.25" thickBot="1" x14ac:dyDescent="0.55000000000000004">
      <c r="A2" s="17"/>
      <c r="B2" s="1" t="s">
        <v>16</v>
      </c>
      <c r="C2" s="2" t="s">
        <v>10</v>
      </c>
      <c r="D2" s="2"/>
      <c r="E2" s="2"/>
      <c r="F2" s="2"/>
      <c r="G2" s="42" t="s">
        <v>19</v>
      </c>
      <c r="H2" s="21">
        <v>40</v>
      </c>
      <c r="I2" s="22">
        <v>4</v>
      </c>
      <c r="J2" s="3">
        <v>25</v>
      </c>
      <c r="K2" s="4">
        <v>5</v>
      </c>
      <c r="L2" s="17"/>
    </row>
    <row r="3" spans="1:12" ht="15.75" thickBot="1" x14ac:dyDescent="0.3">
      <c r="A3" s="17"/>
      <c r="B3" s="5" t="s">
        <v>9</v>
      </c>
      <c r="C3" s="6" t="s">
        <v>17</v>
      </c>
      <c r="D3" s="6" t="s">
        <v>18</v>
      </c>
      <c r="E3" s="6" t="s">
        <v>0</v>
      </c>
      <c r="F3" s="23" t="s">
        <v>1</v>
      </c>
      <c r="G3" s="43"/>
      <c r="H3" s="18" t="s">
        <v>14</v>
      </c>
      <c r="I3" s="6" t="s">
        <v>15</v>
      </c>
      <c r="J3" s="45" t="s">
        <v>11</v>
      </c>
      <c r="K3" s="7" t="s">
        <v>12</v>
      </c>
      <c r="L3" s="17"/>
    </row>
    <row r="4" spans="1:12" x14ac:dyDescent="0.25">
      <c r="A4" s="17"/>
      <c r="B4" s="8" t="s">
        <v>2</v>
      </c>
      <c r="C4" s="30">
        <v>50000</v>
      </c>
      <c r="D4" s="30"/>
      <c r="E4" s="9">
        <f t="shared" ref="E4:E10" si="0">C4-D4</f>
        <v>50000</v>
      </c>
      <c r="F4" s="24" t="e">
        <f>IF(C4=0,0,SUM((C4/D4)-1))</f>
        <v>#DIV/0!</v>
      </c>
      <c r="G4" s="41">
        <v>20</v>
      </c>
      <c r="H4" s="35">
        <v>2500</v>
      </c>
      <c r="I4" s="38">
        <v>5</v>
      </c>
      <c r="J4" s="33"/>
      <c r="K4" s="32"/>
      <c r="L4" s="17"/>
    </row>
    <row r="5" spans="1:12" x14ac:dyDescent="0.25">
      <c r="A5" s="17"/>
      <c r="B5" s="10" t="s">
        <v>3</v>
      </c>
      <c r="C5" s="31"/>
      <c r="D5" s="31"/>
      <c r="E5" s="11">
        <f t="shared" si="0"/>
        <v>0</v>
      </c>
      <c r="F5" s="25">
        <f t="shared" ref="F5:F10" si="1">IF(C5=0,0,SUM((C5/D5)-1))</f>
        <v>0</v>
      </c>
      <c r="G5" s="41"/>
      <c r="H5" s="36"/>
      <c r="I5" s="39"/>
      <c r="J5" s="34"/>
      <c r="K5" s="32"/>
      <c r="L5" s="17"/>
    </row>
    <row r="6" spans="1:12" x14ac:dyDescent="0.25">
      <c r="A6" s="17"/>
      <c r="B6" s="10" t="s">
        <v>4</v>
      </c>
      <c r="C6" s="31"/>
      <c r="D6" s="31"/>
      <c r="E6" s="11">
        <f t="shared" si="0"/>
        <v>0</v>
      </c>
      <c r="F6" s="25">
        <f>IF(C6=0,0,SUM((C6/D6)-1))</f>
        <v>0</v>
      </c>
      <c r="G6" s="41"/>
      <c r="H6" s="36"/>
      <c r="I6" s="39"/>
      <c r="J6" s="34"/>
      <c r="K6" s="32"/>
      <c r="L6" s="17"/>
    </row>
    <row r="7" spans="1:12" x14ac:dyDescent="0.25">
      <c r="A7" s="17"/>
      <c r="B7" s="10" t="s">
        <v>5</v>
      </c>
      <c r="C7" s="31"/>
      <c r="D7" s="31"/>
      <c r="E7" s="11">
        <f t="shared" si="0"/>
        <v>0</v>
      </c>
      <c r="F7" s="25">
        <f t="shared" si="1"/>
        <v>0</v>
      </c>
      <c r="G7" s="41"/>
      <c r="H7" s="36"/>
      <c r="I7" s="39"/>
      <c r="J7" s="34">
        <v>20</v>
      </c>
      <c r="K7" s="32"/>
      <c r="L7" s="17"/>
    </row>
    <row r="8" spans="1:12" x14ac:dyDescent="0.25">
      <c r="A8" s="17"/>
      <c r="B8" s="10" t="s">
        <v>6</v>
      </c>
      <c r="C8" s="31"/>
      <c r="D8" s="31"/>
      <c r="E8" s="11">
        <f t="shared" si="0"/>
        <v>0</v>
      </c>
      <c r="F8" s="25">
        <f t="shared" si="1"/>
        <v>0</v>
      </c>
      <c r="G8" s="41"/>
      <c r="H8" s="36"/>
      <c r="I8" s="39"/>
      <c r="J8" s="34">
        <v>2500</v>
      </c>
      <c r="K8" s="32"/>
      <c r="L8" s="17"/>
    </row>
    <row r="9" spans="1:12" x14ac:dyDescent="0.25">
      <c r="A9" s="17"/>
      <c r="B9" s="10" t="s">
        <v>7</v>
      </c>
      <c r="C9" s="31">
        <v>50000</v>
      </c>
      <c r="D9" s="31"/>
      <c r="E9" s="11">
        <f t="shared" si="0"/>
        <v>50000</v>
      </c>
      <c r="F9" s="25" t="e">
        <f t="shared" si="1"/>
        <v>#DIV/0!</v>
      </c>
      <c r="G9" s="41">
        <v>20</v>
      </c>
      <c r="H9" s="36">
        <v>2500</v>
      </c>
      <c r="I9" s="39">
        <v>5</v>
      </c>
      <c r="J9" s="34">
        <v>5</v>
      </c>
      <c r="K9" s="32"/>
      <c r="L9" s="17"/>
    </row>
    <row r="10" spans="1:12" x14ac:dyDescent="0.25">
      <c r="A10" s="17"/>
      <c r="B10" s="10" t="s">
        <v>8</v>
      </c>
      <c r="C10" s="31">
        <v>50000</v>
      </c>
      <c r="D10" s="31"/>
      <c r="E10" s="11">
        <f t="shared" si="0"/>
        <v>50000</v>
      </c>
      <c r="F10" s="25" t="e">
        <f t="shared" si="1"/>
        <v>#DIV/0!</v>
      </c>
      <c r="G10" s="41">
        <v>20</v>
      </c>
      <c r="H10" s="37">
        <v>2500</v>
      </c>
      <c r="I10" s="40">
        <v>5</v>
      </c>
      <c r="J10" s="34"/>
      <c r="K10" s="32"/>
      <c r="L10" s="17"/>
    </row>
    <row r="11" spans="1:12" ht="15.75" thickBot="1" x14ac:dyDescent="0.3">
      <c r="A11" s="17"/>
      <c r="B11" s="14" t="s">
        <v>13</v>
      </c>
      <c r="C11" s="15">
        <f>SUM(C4:C10)</f>
        <v>150000</v>
      </c>
      <c r="D11" s="15">
        <f>SUM(D4:D10)</f>
        <v>0</v>
      </c>
      <c r="E11" s="16">
        <f>SUM(E4:E10)</f>
        <v>150000</v>
      </c>
      <c r="F11" s="26" t="e">
        <f>IF(C11=0,0,SUM((C11/D11)-1))</f>
        <v>#DIV/0!</v>
      </c>
      <c r="G11" s="28">
        <f>SUM(G4:G10)</f>
        <v>60</v>
      </c>
      <c r="H11" s="20">
        <f>AVERAGE(H4:H10)</f>
        <v>2500</v>
      </c>
      <c r="I11" s="29">
        <f>AVERAGE(I4:I10)</f>
        <v>5</v>
      </c>
      <c r="J11" s="12">
        <f>SUM(J4:J10)</f>
        <v>2525</v>
      </c>
      <c r="K11" s="13">
        <f>SUM(K4:K10)</f>
        <v>0</v>
      </c>
      <c r="L11" s="17"/>
    </row>
    <row r="12" spans="1:12" x14ac:dyDescent="0.25">
      <c r="A12" s="17"/>
      <c r="B12" s="17"/>
      <c r="C12" s="17"/>
      <c r="D12" s="17"/>
      <c r="E12" s="17"/>
      <c r="F12" s="17"/>
      <c r="G12" s="17"/>
      <c r="H12" s="27"/>
      <c r="I12" s="27"/>
      <c r="J12" s="27"/>
      <c r="K12" s="27"/>
      <c r="L12" s="17"/>
    </row>
    <row r="13" spans="1:12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</row>
    <row r="16" spans="1:12" x14ac:dyDescent="0.25">
      <c r="D16" s="19"/>
    </row>
    <row r="25" spans="4:4" ht="15.75" x14ac:dyDescent="0.25">
      <c r="D25" s="44"/>
    </row>
  </sheetData>
  <mergeCells count="1">
    <mergeCell ref="G2:G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142875</xdr:colOff>
                <xdr:row>12</xdr:row>
                <xdr:rowOff>38100</xdr:rowOff>
              </from>
              <to>
                <xdr:col>1</xdr:col>
                <xdr:colOff>1057275</xdr:colOff>
                <xdr:row>13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Jaycar Electronics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Matthew Whiteley</cp:lastModifiedBy>
  <dcterms:created xsi:type="dcterms:W3CDTF">2017-01-16T23:28:45Z</dcterms:created>
  <dcterms:modified xsi:type="dcterms:W3CDTF">2020-01-18T14:19:04Z</dcterms:modified>
</cp:coreProperties>
</file>