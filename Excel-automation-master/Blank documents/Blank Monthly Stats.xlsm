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624" codeName="{91AB8045-AFC0-B76E-F17D-A240E00664AE}"/>
  <workbookPr codeName="ThisWorkbook"/>
  <mc:AlternateContent xmlns:mc="http://schemas.openxmlformats.org/markup-compatibility/2006">
    <mc:Choice Requires="x15">
      <x15ac:absPath xmlns:x15ac="http://schemas.microsoft.com/office/spreadsheetml/2010/11/ac" url="D:\Content creation\Programming\Jaycar EOD Excel automation\Excel-automation-master\Blank documents\"/>
    </mc:Choice>
  </mc:AlternateContent>
  <xr:revisionPtr revIDLastSave="0" documentId="13_ncr:1_{FCD11C1E-DB70-44EB-83E5-5CA3695DAD60}" xr6:coauthVersionLast="45" xr6:coauthVersionMax="45" xr10:uidLastSave="{00000000-0000-0000-0000-000000000000}"/>
  <bookViews>
    <workbookView xWindow="10090" yWindow="-17850" windowWidth="16880" windowHeight="17240" tabRatio="906" xr2:uid="{00000000-000D-0000-FFFF-FFFF00000000}"/>
  </bookViews>
  <sheets>
    <sheet name="Store Details" sheetId="1" r:id="rId1"/>
    <sheet name="Weekly Statistics" sheetId="2" r:id="rId2"/>
    <sheet name="Weekly Minimums Planner" sheetId="3" r:id="rId3"/>
    <sheet name="Monthly Statistics" sheetId="4" r:id="rId4"/>
    <sheet name="Friedman" sheetId="5" r:id="rId5"/>
    <sheet name="Daily &amp; Weekly Totals" sheetId="7" r:id="rId6"/>
    <sheet name="Daily Sales Report" sheetId="85" r:id="rId7"/>
    <sheet name="Daily Sales Budgets" sheetId="6" r:id="rId8"/>
    <sheet name="Num of Sales" sheetId="8" state="hidden" r:id="rId9"/>
    <sheet name="Num of Lines" sheetId="9" state="hidden" r:id="rId10"/>
    <sheet name="Budgets" sheetId="62" state="hidden" r:id="rId11"/>
    <sheet name="Value of Sales" sheetId="10" state="hidden" r:id="rId12"/>
    <sheet name="Staff Hours" sheetId="11" state="hidden" r:id="rId13"/>
    <sheet name="Daily Sales Graphs" sheetId="12" state="hidden" r:id="rId14"/>
    <sheet name="WTR Week 1" sheetId="34" r:id="rId15"/>
    <sheet name="WTR Week 2" sheetId="35" r:id="rId16"/>
    <sheet name="WTR Week 3" sheetId="36" r:id="rId17"/>
    <sheet name="WTR Week 4" sheetId="37" r:id="rId18"/>
    <sheet name="WTR Week 5" sheetId="38" r:id="rId19"/>
    <sheet name="CL_Checklist" sheetId="13" state="hidden" r:id="rId20"/>
    <sheet name="CL1" sheetId="14" r:id="rId21"/>
    <sheet name="CL2" sheetId="66" r:id="rId22"/>
    <sheet name="CL3" sheetId="67" r:id="rId23"/>
    <sheet name="CL4" sheetId="68" r:id="rId24"/>
    <sheet name="CL5" sheetId="69" r:id="rId25"/>
    <sheet name="CL6" sheetId="70" r:id="rId26"/>
    <sheet name="CL7" sheetId="71" r:id="rId27"/>
    <sheet name="CL8" sheetId="73" r:id="rId28"/>
    <sheet name="CL9" sheetId="74" r:id="rId29"/>
    <sheet name="CL10" sheetId="72" r:id="rId30"/>
    <sheet name="CL11" sheetId="75" r:id="rId31"/>
    <sheet name="CL12" sheetId="76" r:id="rId32"/>
    <sheet name="CL13" sheetId="78" r:id="rId33"/>
    <sheet name="CL14" sheetId="79" r:id="rId34"/>
    <sheet name="CL15" sheetId="80" r:id="rId35"/>
    <sheet name="CL16" sheetId="77" r:id="rId36"/>
    <sheet name="CL17" sheetId="81" r:id="rId37"/>
    <sheet name="CL18" sheetId="82" r:id="rId38"/>
    <sheet name="CL19" sheetId="83" r:id="rId39"/>
    <sheet name="CL20" sheetId="84" r:id="rId40"/>
    <sheet name="Specifications" sheetId="40" r:id="rId41"/>
    <sheet name="Version Notes" sheetId="61" state="hidden" r:id="rId42"/>
  </sheets>
  <definedNames>
    <definedName name="_xlnm.Print_Area" localSheetId="19">CL_Checklist!$A$1:$E$25</definedName>
    <definedName name="_xlnm.Print_Area" localSheetId="20">'CL1'!#REF!</definedName>
    <definedName name="_xlnm.Print_Area" localSheetId="29">'CL10'!#REF!</definedName>
    <definedName name="_xlnm.Print_Area" localSheetId="30">'CL11'!#REF!</definedName>
    <definedName name="_xlnm.Print_Area" localSheetId="31">'CL12'!#REF!</definedName>
    <definedName name="_xlnm.Print_Area" localSheetId="32">'CL13'!#REF!</definedName>
    <definedName name="_xlnm.Print_Area" localSheetId="33">'CL14'!#REF!</definedName>
    <definedName name="_xlnm.Print_Area" localSheetId="34">'CL15'!#REF!</definedName>
    <definedName name="_xlnm.Print_Area" localSheetId="35">'CL16'!#REF!</definedName>
    <definedName name="_xlnm.Print_Area" localSheetId="36">'CL17'!#REF!</definedName>
    <definedName name="_xlnm.Print_Area" localSheetId="37">'CL18'!#REF!</definedName>
    <definedName name="_xlnm.Print_Area" localSheetId="38">'CL19'!#REF!</definedName>
    <definedName name="_xlnm.Print_Area" localSheetId="21">'CL2'!#REF!</definedName>
    <definedName name="_xlnm.Print_Area" localSheetId="39">'CL20'!#REF!</definedName>
    <definedName name="_xlnm.Print_Area" localSheetId="22">'CL3'!#REF!</definedName>
    <definedName name="_xlnm.Print_Area" localSheetId="23">'CL4'!#REF!</definedName>
    <definedName name="_xlnm.Print_Area" localSheetId="24">'CL5'!#REF!</definedName>
    <definedName name="_xlnm.Print_Area" localSheetId="25">'CL6'!#REF!</definedName>
    <definedName name="_xlnm.Print_Area" localSheetId="26">'CL7'!#REF!</definedName>
    <definedName name="_xlnm.Print_Area" localSheetId="27">'CL8'!#REF!</definedName>
    <definedName name="_xlnm.Print_Area" localSheetId="28">'CL9'!#REF!</definedName>
    <definedName name="_xlnm.Print_Area" localSheetId="7">'Daily Sales Budgets'!$J$1:$AB$29</definedName>
    <definedName name="_xlnm.Print_Area" localSheetId="3">'Monthly Statistics'!$A$1:$AH$42</definedName>
    <definedName name="_xlnm.Print_Area" localSheetId="0">'Store Details'!$A$1:$L$44</definedName>
    <definedName name="_xlnm.Print_Area" localSheetId="2">'Weekly Minimums Planner'!$A$1:$AF$40</definedName>
    <definedName name="_xlnm.Print_Area" localSheetId="1">'Weekly Statistics'!$A$1:$L$30</definedName>
    <definedName name="_xlnm.Print_Area" localSheetId="14">'WTR Week 1'!$A$1:$J$43</definedName>
    <definedName name="_xlnm.Print_Area" localSheetId="15">'WTR Week 2'!$A$1:$J$46</definedName>
    <definedName name="_xlnm.Print_Area" localSheetId="16">'WTR Week 3'!$A$1:$J$65</definedName>
    <definedName name="_xlnm.Print_Area" localSheetId="17">'WTR Week 4'!$A$1:$J$65</definedName>
    <definedName name="_xlnm.Print_Area" localSheetId="18">'WTR Week 5'!$A$1:$J$65</definedName>
    <definedName name="staff_options">'Monthly Statistics'!$F$6:$L$6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 i="85" l="1"/>
  <c r="L14" i="7" l="1"/>
  <c r="G6" i="85"/>
  <c r="AO36" i="1" l="1"/>
  <c r="AP36" i="1" s="1"/>
  <c r="AQ36" i="1" s="1"/>
  <c r="AR36" i="1" s="1"/>
  <c r="AS36" i="1" s="1"/>
  <c r="AT36" i="1" s="1"/>
  <c r="AU36" i="1" s="1"/>
  <c r="AH36" i="1"/>
  <c r="AI36" i="1" s="1"/>
  <c r="AJ36" i="1" s="1"/>
  <c r="AK36" i="1" s="1"/>
  <c r="AL36" i="1" s="1"/>
  <c r="AM36" i="1" s="1"/>
  <c r="AN36" i="1" s="1"/>
  <c r="AA36" i="1"/>
  <c r="AB36" i="1" s="1"/>
  <c r="AC36" i="1" s="1"/>
  <c r="AD36" i="1" s="1"/>
  <c r="AE36" i="1" s="1"/>
  <c r="AF36" i="1" s="1"/>
  <c r="AG36" i="1" s="1"/>
  <c r="T36" i="1"/>
  <c r="U36" i="1" s="1"/>
  <c r="V36" i="1" s="1"/>
  <c r="W36" i="1" s="1"/>
  <c r="X36" i="1" s="1"/>
  <c r="Y36" i="1" s="1"/>
  <c r="Z36" i="1" s="1"/>
  <c r="M36" i="1"/>
  <c r="N36" i="1" s="1"/>
  <c r="O36" i="1" s="1"/>
  <c r="P36" i="1" s="1"/>
  <c r="Q36" i="1" s="1"/>
  <c r="R36" i="1" s="1"/>
  <c r="S36" i="1" s="1"/>
  <c r="F36" i="1"/>
  <c r="G36" i="1" s="1"/>
  <c r="H36" i="1" s="1"/>
  <c r="I36" i="1" s="1"/>
  <c r="J36" i="1" s="1"/>
  <c r="K36" i="1" s="1"/>
  <c r="L36" i="1" s="1"/>
  <c r="C38" i="4" l="1"/>
  <c r="C37" i="4"/>
  <c r="C36" i="4"/>
  <c r="B5" i="7" l="1"/>
  <c r="D20" i="84" l="1"/>
  <c r="D20" i="83"/>
  <c r="D20" i="82"/>
  <c r="D20" i="81"/>
  <c r="D20" i="77"/>
  <c r="D20" i="80"/>
  <c r="D20" i="79"/>
  <c r="D20" i="78"/>
  <c r="D20" i="76"/>
  <c r="D20" i="75"/>
  <c r="D20" i="72"/>
  <c r="D20" i="74"/>
  <c r="D20" i="73"/>
  <c r="D20" i="71"/>
  <c r="D20" i="70"/>
  <c r="D20" i="69"/>
  <c r="D20" i="68"/>
  <c r="D20" i="67"/>
  <c r="D20" i="66"/>
  <c r="F3" i="84" l="1"/>
  <c r="A20" i="84" s="1"/>
  <c r="F3" i="83"/>
  <c r="A20" i="83" s="1"/>
  <c r="F3" i="82"/>
  <c r="A20" i="82" s="1"/>
  <c r="F3" i="81"/>
  <c r="A20" i="81" s="1"/>
  <c r="F7" i="84"/>
  <c r="E7" i="84"/>
  <c r="D7" i="84"/>
  <c r="C7" i="84"/>
  <c r="D3" i="84"/>
  <c r="C1" i="84"/>
  <c r="F7" i="83"/>
  <c r="E7" i="83"/>
  <c r="D7" i="83"/>
  <c r="C7" i="83"/>
  <c r="D3" i="83"/>
  <c r="C1" i="83"/>
  <c r="F7" i="82"/>
  <c r="E7" i="82"/>
  <c r="D7" i="82"/>
  <c r="C7" i="82"/>
  <c r="D3" i="82"/>
  <c r="C1" i="82"/>
  <c r="F7" i="81"/>
  <c r="E7" i="81"/>
  <c r="D7" i="81"/>
  <c r="C7" i="81"/>
  <c r="D3" i="81"/>
  <c r="C1" i="81"/>
  <c r="F3" i="77"/>
  <c r="A20" i="77" s="1"/>
  <c r="F3" i="80"/>
  <c r="A20" i="80" s="1"/>
  <c r="F3" i="79"/>
  <c r="A20" i="79" s="1"/>
  <c r="F3" i="78"/>
  <c r="A20" i="78" s="1"/>
  <c r="F3" i="76"/>
  <c r="A20" i="76" s="1"/>
  <c r="F3" i="75"/>
  <c r="A20" i="75" s="1"/>
  <c r="F7" i="80"/>
  <c r="E7" i="80"/>
  <c r="D7" i="80"/>
  <c r="C7" i="80"/>
  <c r="D3" i="80"/>
  <c r="C1" i="80"/>
  <c r="F7" i="79"/>
  <c r="E7" i="79"/>
  <c r="D7" i="79"/>
  <c r="C7" i="79"/>
  <c r="D3" i="79"/>
  <c r="C1" i="79"/>
  <c r="F7" i="78"/>
  <c r="E7" i="78"/>
  <c r="D7" i="78"/>
  <c r="C7" i="78"/>
  <c r="D3" i="78"/>
  <c r="C1" i="78"/>
  <c r="F7" i="77"/>
  <c r="E7" i="77"/>
  <c r="D7" i="77"/>
  <c r="C7" i="77"/>
  <c r="D3" i="77"/>
  <c r="C1" i="77"/>
  <c r="F7" i="76"/>
  <c r="E7" i="76"/>
  <c r="D7" i="76"/>
  <c r="C7" i="76"/>
  <c r="D3" i="76"/>
  <c r="C1" i="76"/>
  <c r="F7" i="75"/>
  <c r="E7" i="75"/>
  <c r="D7" i="75"/>
  <c r="C7" i="75"/>
  <c r="D3" i="75"/>
  <c r="C1" i="75"/>
  <c r="F3" i="72"/>
  <c r="A20" i="72" s="1"/>
  <c r="F3" i="74"/>
  <c r="A20" i="74" s="1"/>
  <c r="F3" i="73"/>
  <c r="A20" i="73" s="1"/>
  <c r="F3" i="71"/>
  <c r="A20" i="71" s="1"/>
  <c r="F3" i="70"/>
  <c r="A20" i="70" s="1"/>
  <c r="F3" i="69"/>
  <c r="A20" i="69" s="1"/>
  <c r="F3" i="68"/>
  <c r="A20" i="68" s="1"/>
  <c r="F7" i="74"/>
  <c r="E7" i="74"/>
  <c r="D7" i="74"/>
  <c r="C7" i="74"/>
  <c r="D3" i="74"/>
  <c r="C1" i="74"/>
  <c r="F7" i="73"/>
  <c r="E7" i="73"/>
  <c r="D7" i="73"/>
  <c r="C7" i="73"/>
  <c r="D3" i="73"/>
  <c r="C1" i="73"/>
  <c r="F7" i="72"/>
  <c r="E7" i="72"/>
  <c r="D7" i="72"/>
  <c r="C7" i="72"/>
  <c r="D3" i="72"/>
  <c r="C1" i="72"/>
  <c r="F7" i="71"/>
  <c r="E7" i="71"/>
  <c r="D7" i="71"/>
  <c r="C7" i="71"/>
  <c r="D3" i="71"/>
  <c r="C1" i="71"/>
  <c r="F7" i="70"/>
  <c r="E7" i="70"/>
  <c r="D7" i="70"/>
  <c r="C7" i="70"/>
  <c r="D3" i="70"/>
  <c r="C1" i="70"/>
  <c r="F7" i="69"/>
  <c r="E7" i="69"/>
  <c r="D7" i="69"/>
  <c r="C7" i="69"/>
  <c r="D3" i="69"/>
  <c r="C1" i="69"/>
  <c r="F7" i="68"/>
  <c r="E7" i="68"/>
  <c r="D7" i="68"/>
  <c r="C7" i="68"/>
  <c r="D3" i="68"/>
  <c r="C1" i="68"/>
  <c r="F3" i="14"/>
  <c r="F3" i="66"/>
  <c r="A20" i="66" s="1"/>
  <c r="F3" i="67"/>
  <c r="A20" i="67" s="1"/>
  <c r="F7" i="67"/>
  <c r="E7" i="67"/>
  <c r="D7" i="67"/>
  <c r="C7" i="67"/>
  <c r="D3" i="67"/>
  <c r="C1" i="67"/>
  <c r="F7" i="66"/>
  <c r="E7" i="66"/>
  <c r="D7" i="66"/>
  <c r="C7" i="66"/>
  <c r="D3" i="66"/>
  <c r="C1" i="66"/>
  <c r="D20" i="14" l="1"/>
  <c r="F7" i="14"/>
  <c r="E7" i="14"/>
  <c r="D7" i="14"/>
  <c r="C7" i="14"/>
  <c r="C1" i="14"/>
  <c r="A20" i="14"/>
  <c r="D3" i="14"/>
  <c r="Y49" i="11" l="1"/>
  <c r="Z49" i="11"/>
  <c r="AA49" i="11"/>
  <c r="AB49" i="11"/>
  <c r="AC49" i="11"/>
  <c r="AD49" i="11"/>
  <c r="AE49" i="11"/>
  <c r="AF49" i="11"/>
  <c r="G12" i="38" l="1"/>
  <c r="G12" i="37"/>
  <c r="G12" i="36"/>
  <c r="G12" i="35"/>
  <c r="G12" i="34"/>
  <c r="E27" i="10" l="1"/>
  <c r="F27" i="10"/>
  <c r="G27" i="10"/>
  <c r="H27" i="10"/>
  <c r="I27" i="10"/>
  <c r="J27" i="10"/>
  <c r="K27" i="10"/>
  <c r="L27" i="10"/>
  <c r="M27" i="10"/>
  <c r="N27" i="10"/>
  <c r="O27" i="10"/>
  <c r="P27" i="10"/>
  <c r="E28" i="10"/>
  <c r="F28" i="10"/>
  <c r="G28" i="10"/>
  <c r="H28" i="10"/>
  <c r="I28" i="10"/>
  <c r="J28" i="10"/>
  <c r="K28" i="10"/>
  <c r="L28" i="10"/>
  <c r="M28" i="10"/>
  <c r="N28" i="10"/>
  <c r="O28" i="10"/>
  <c r="P28" i="10"/>
  <c r="E29" i="10"/>
  <c r="F29" i="10"/>
  <c r="G29" i="10"/>
  <c r="H29" i="10"/>
  <c r="I29" i="10"/>
  <c r="J29" i="10"/>
  <c r="K29" i="10"/>
  <c r="L29" i="10"/>
  <c r="M29" i="10"/>
  <c r="N29" i="10"/>
  <c r="O29" i="10"/>
  <c r="P29" i="10"/>
  <c r="E30" i="10"/>
  <c r="F30" i="10"/>
  <c r="G30" i="10"/>
  <c r="H30" i="10"/>
  <c r="I30" i="10"/>
  <c r="J30" i="10"/>
  <c r="K30" i="10"/>
  <c r="L30" i="10"/>
  <c r="M30" i="10"/>
  <c r="N30" i="10"/>
  <c r="O30" i="10"/>
  <c r="P30" i="10"/>
  <c r="E31" i="10"/>
  <c r="F31" i="10"/>
  <c r="G31" i="10"/>
  <c r="H31" i="10"/>
  <c r="I31" i="10"/>
  <c r="J31" i="10"/>
  <c r="K31" i="10"/>
  <c r="L31" i="10"/>
  <c r="M31" i="10"/>
  <c r="N31" i="10"/>
  <c r="O31" i="10"/>
  <c r="P31" i="10"/>
  <c r="E32" i="10"/>
  <c r="F32" i="10"/>
  <c r="G32" i="10"/>
  <c r="H32" i="10"/>
  <c r="I32" i="10"/>
  <c r="J32" i="10"/>
  <c r="K32" i="10"/>
  <c r="L32" i="10"/>
  <c r="M32" i="10"/>
  <c r="N32" i="10"/>
  <c r="O32" i="10"/>
  <c r="P32" i="10"/>
  <c r="E33" i="10"/>
  <c r="F33" i="10"/>
  <c r="G33" i="10"/>
  <c r="H33" i="10"/>
  <c r="I33" i="10"/>
  <c r="J33" i="10"/>
  <c r="K33" i="10"/>
  <c r="L33" i="10"/>
  <c r="M33" i="10"/>
  <c r="N33" i="10"/>
  <c r="O33" i="10"/>
  <c r="P33" i="10"/>
  <c r="E27" i="9"/>
  <c r="F27" i="9"/>
  <c r="G27" i="9"/>
  <c r="H27" i="9"/>
  <c r="I27" i="9"/>
  <c r="J27" i="9"/>
  <c r="K27" i="9"/>
  <c r="L27" i="9"/>
  <c r="M27" i="9"/>
  <c r="N27" i="9"/>
  <c r="O27" i="9"/>
  <c r="P27" i="9"/>
  <c r="E28" i="9"/>
  <c r="F28" i="9"/>
  <c r="G28" i="9"/>
  <c r="H28" i="9"/>
  <c r="I28" i="9"/>
  <c r="J28" i="9"/>
  <c r="K28" i="9"/>
  <c r="L28" i="9"/>
  <c r="M28" i="9"/>
  <c r="N28" i="9"/>
  <c r="O28" i="9"/>
  <c r="P28" i="9"/>
  <c r="E29" i="9"/>
  <c r="F29" i="9"/>
  <c r="G29" i="9"/>
  <c r="H29" i="9"/>
  <c r="I29" i="9"/>
  <c r="J29" i="9"/>
  <c r="K29" i="9"/>
  <c r="L29" i="9"/>
  <c r="M29" i="9"/>
  <c r="N29" i="9"/>
  <c r="O29" i="9"/>
  <c r="P29" i="9"/>
  <c r="E30" i="9"/>
  <c r="F30" i="9"/>
  <c r="G30" i="9"/>
  <c r="H30" i="9"/>
  <c r="I30" i="9"/>
  <c r="J30" i="9"/>
  <c r="K30" i="9"/>
  <c r="L30" i="9"/>
  <c r="M30" i="9"/>
  <c r="N30" i="9"/>
  <c r="O30" i="9"/>
  <c r="P30" i="9"/>
  <c r="E31" i="9"/>
  <c r="F31" i="9"/>
  <c r="G31" i="9"/>
  <c r="H31" i="9"/>
  <c r="I31" i="9"/>
  <c r="J31" i="9"/>
  <c r="K31" i="9"/>
  <c r="L31" i="9"/>
  <c r="M31" i="9"/>
  <c r="N31" i="9"/>
  <c r="O31" i="9"/>
  <c r="P31" i="9"/>
  <c r="E32" i="9"/>
  <c r="F32" i="9"/>
  <c r="G32" i="9"/>
  <c r="H32" i="9"/>
  <c r="I32" i="9"/>
  <c r="J32" i="9"/>
  <c r="K32" i="9"/>
  <c r="L32" i="9"/>
  <c r="M32" i="9"/>
  <c r="N32" i="9"/>
  <c r="O32" i="9"/>
  <c r="P32" i="9"/>
  <c r="E33" i="9"/>
  <c r="F33" i="9"/>
  <c r="G33" i="9"/>
  <c r="H33" i="9"/>
  <c r="I33" i="9"/>
  <c r="J33" i="9"/>
  <c r="K33" i="9"/>
  <c r="L33" i="9"/>
  <c r="M33" i="9"/>
  <c r="N33" i="9"/>
  <c r="O33" i="9"/>
  <c r="P33" i="9"/>
  <c r="E27" i="8"/>
  <c r="F27" i="8"/>
  <c r="G27" i="8"/>
  <c r="H27" i="8"/>
  <c r="I27" i="8"/>
  <c r="J27" i="8"/>
  <c r="K27" i="8"/>
  <c r="L27" i="8"/>
  <c r="M27" i="8"/>
  <c r="N27" i="8"/>
  <c r="O27" i="8"/>
  <c r="P27" i="8"/>
  <c r="E28" i="8"/>
  <c r="F28" i="8"/>
  <c r="G28" i="8"/>
  <c r="H28" i="8"/>
  <c r="I28" i="8"/>
  <c r="J28" i="8"/>
  <c r="K28" i="8"/>
  <c r="L28" i="8"/>
  <c r="M28" i="8"/>
  <c r="N28" i="8"/>
  <c r="O28" i="8"/>
  <c r="P28" i="8"/>
  <c r="E29" i="8"/>
  <c r="F29" i="8"/>
  <c r="G29" i="8"/>
  <c r="H29" i="8"/>
  <c r="I29" i="8"/>
  <c r="J29" i="8"/>
  <c r="K29" i="8"/>
  <c r="L29" i="8"/>
  <c r="M29" i="8"/>
  <c r="N29" i="8"/>
  <c r="O29" i="8"/>
  <c r="P29" i="8"/>
  <c r="E30" i="8"/>
  <c r="F30" i="8"/>
  <c r="G30" i="8"/>
  <c r="H30" i="8"/>
  <c r="I30" i="8"/>
  <c r="J30" i="8"/>
  <c r="K30" i="8"/>
  <c r="L30" i="8"/>
  <c r="M30" i="8"/>
  <c r="N30" i="8"/>
  <c r="O30" i="8"/>
  <c r="P30" i="8"/>
  <c r="E31" i="8"/>
  <c r="F31" i="8"/>
  <c r="G31" i="8"/>
  <c r="H31" i="8"/>
  <c r="I31" i="8"/>
  <c r="J31" i="8"/>
  <c r="K31" i="8"/>
  <c r="L31" i="8"/>
  <c r="M31" i="8"/>
  <c r="N31" i="8"/>
  <c r="O31" i="8"/>
  <c r="P31" i="8"/>
  <c r="E32" i="8"/>
  <c r="F32" i="8"/>
  <c r="G32" i="8"/>
  <c r="H32" i="8"/>
  <c r="I32" i="8"/>
  <c r="J32" i="8"/>
  <c r="K32" i="8"/>
  <c r="L32" i="8"/>
  <c r="M32" i="8"/>
  <c r="N32" i="8"/>
  <c r="O32" i="8"/>
  <c r="P32" i="8"/>
  <c r="E33" i="8"/>
  <c r="F33" i="8"/>
  <c r="G33" i="8"/>
  <c r="H33" i="8"/>
  <c r="I33" i="8"/>
  <c r="J33" i="8"/>
  <c r="K33" i="8"/>
  <c r="L33" i="8"/>
  <c r="M33" i="8"/>
  <c r="N33" i="8"/>
  <c r="O33" i="8"/>
  <c r="P33" i="8"/>
  <c r="L35" i="7"/>
  <c r="L36" i="7"/>
  <c r="Z17" i="7" s="1"/>
  <c r="L37" i="7"/>
  <c r="Z18" i="7" s="1"/>
  <c r="L38" i="7"/>
  <c r="Z19" i="7" s="1"/>
  <c r="L39" i="7"/>
  <c r="Z20" i="7" s="1"/>
  <c r="L40" i="7"/>
  <c r="Z21" i="7" s="1"/>
  <c r="L41" i="7"/>
  <c r="Z25" i="7" s="1"/>
  <c r="H12" i="38"/>
  <c r="F12" i="38"/>
  <c r="C12" i="38"/>
  <c r="E12" i="38" s="1"/>
  <c r="H31" i="38"/>
  <c r="H21" i="38"/>
  <c r="H7" i="38"/>
  <c r="H5" i="38"/>
  <c r="F5" i="38"/>
  <c r="B4" i="38"/>
  <c r="H12" i="37"/>
  <c r="F12" i="37"/>
  <c r="C12" i="37"/>
  <c r="E12" i="37" s="1"/>
  <c r="H31" i="37"/>
  <c r="H21" i="37"/>
  <c r="H7" i="37"/>
  <c r="H5" i="37"/>
  <c r="F5" i="37"/>
  <c r="B4" i="37"/>
  <c r="H12" i="35"/>
  <c r="H12" i="36"/>
  <c r="F12" i="36"/>
  <c r="C12" i="36"/>
  <c r="E12" i="36" s="1"/>
  <c r="H31" i="36"/>
  <c r="H21" i="36"/>
  <c r="H7" i="36"/>
  <c r="H5" i="36"/>
  <c r="F5" i="36"/>
  <c r="B4" i="36"/>
  <c r="F12" i="35"/>
  <c r="C12" i="35"/>
  <c r="E12" i="35" s="1"/>
  <c r="H31" i="35"/>
  <c r="H21" i="35"/>
  <c r="H7" i="35"/>
  <c r="H5" i="35"/>
  <c r="F5" i="35"/>
  <c r="B4" i="35"/>
  <c r="H12" i="34"/>
  <c r="F12" i="34"/>
  <c r="C12" i="34"/>
  <c r="E12" i="34" s="1"/>
  <c r="Q15" i="1"/>
  <c r="D12" i="34" s="1"/>
  <c r="Y50" i="62"/>
  <c r="Z50" i="62"/>
  <c r="AA50" i="62"/>
  <c r="AB50" i="62"/>
  <c r="AC50" i="62"/>
  <c r="AD50" i="62"/>
  <c r="AE50" i="62"/>
  <c r="AF50" i="62"/>
  <c r="AG3" i="62"/>
  <c r="AG2" i="62"/>
  <c r="Q20" i="1"/>
  <c r="Q19" i="1"/>
  <c r="D12" i="38" s="1"/>
  <c r="Q18" i="1"/>
  <c r="D12" i="37" s="1"/>
  <c r="Q17" i="1"/>
  <c r="D12" i="36" s="1"/>
  <c r="Q16" i="1"/>
  <c r="D12" i="35" s="1"/>
  <c r="H31" i="34"/>
  <c r="H21" i="34"/>
  <c r="L25" i="7"/>
  <c r="Y16" i="7" s="1"/>
  <c r="B32" i="3"/>
  <c r="I32" i="3" s="1"/>
  <c r="B21" i="6" s="1"/>
  <c r="K21" i="6" s="1"/>
  <c r="P21" i="6" s="1"/>
  <c r="Z21" i="6" s="1"/>
  <c r="B33" i="3"/>
  <c r="I33" i="3" s="1"/>
  <c r="B34" i="3"/>
  <c r="I34" i="3" s="1"/>
  <c r="B23" i="6" s="1"/>
  <c r="K23" i="6" s="1"/>
  <c r="P23" i="6" s="1"/>
  <c r="Z23" i="6" s="1"/>
  <c r="B35" i="3"/>
  <c r="I35" i="3" s="1"/>
  <c r="B24" i="6" s="1"/>
  <c r="K24" i="6" s="1"/>
  <c r="B36" i="3"/>
  <c r="I36" i="3" s="1"/>
  <c r="B25" i="6" s="1"/>
  <c r="K25" i="6" s="1"/>
  <c r="U25" i="6" s="1"/>
  <c r="B31" i="3"/>
  <c r="I31" i="3" s="1"/>
  <c r="V31" i="3" s="1"/>
  <c r="B15" i="3"/>
  <c r="I15" i="3" s="1"/>
  <c r="B16" i="3"/>
  <c r="I16" i="3" s="1"/>
  <c r="B9" i="6" s="1"/>
  <c r="K9" i="6" s="1"/>
  <c r="B17" i="3"/>
  <c r="I17" i="3" s="1"/>
  <c r="B18" i="3"/>
  <c r="I18" i="3" s="1"/>
  <c r="V18" i="3" s="1"/>
  <c r="B19" i="3"/>
  <c r="I19" i="3" s="1"/>
  <c r="B12" i="6" s="1"/>
  <c r="K12" i="6" s="1"/>
  <c r="B20" i="3"/>
  <c r="I20" i="3" s="1"/>
  <c r="B13" i="6" s="1"/>
  <c r="K13" i="6" s="1"/>
  <c r="U13" i="6" s="1"/>
  <c r="B21" i="3"/>
  <c r="I21" i="3" s="1"/>
  <c r="B14" i="6" s="1"/>
  <c r="K14" i="6" s="1"/>
  <c r="B22" i="3"/>
  <c r="I22" i="3" s="1"/>
  <c r="B15" i="6" s="1"/>
  <c r="K15" i="6" s="1"/>
  <c r="B23" i="3"/>
  <c r="I23" i="3" s="1"/>
  <c r="V23" i="3" s="1"/>
  <c r="B24" i="3"/>
  <c r="I24" i="3" s="1"/>
  <c r="V24" i="3" s="1"/>
  <c r="B25" i="3"/>
  <c r="I25" i="3" s="1"/>
  <c r="B18" i="6" s="1"/>
  <c r="K18" i="6" s="1"/>
  <c r="U18" i="6" s="1"/>
  <c r="B26" i="3"/>
  <c r="I26" i="3" s="1"/>
  <c r="B14" i="3"/>
  <c r="I14" i="3" s="1"/>
  <c r="D7" i="1"/>
  <c r="F2" i="4" s="1"/>
  <c r="J8" i="3"/>
  <c r="Q7" i="9"/>
  <c r="Q8" i="9"/>
  <c r="Q9" i="9"/>
  <c r="Q10" i="9"/>
  <c r="Q11" i="9"/>
  <c r="Q12" i="9"/>
  <c r="Q13" i="9"/>
  <c r="Q14" i="9"/>
  <c r="Q15" i="9"/>
  <c r="Q16" i="9"/>
  <c r="Q17" i="9"/>
  <c r="Q18" i="9"/>
  <c r="Q19" i="9"/>
  <c r="Q20" i="9"/>
  <c r="Q21" i="9"/>
  <c r="Q22" i="9"/>
  <c r="Q23" i="9"/>
  <c r="Q24" i="9"/>
  <c r="Q25" i="9"/>
  <c r="Q26" i="9"/>
  <c r="Q27" i="9"/>
  <c r="Q28" i="9"/>
  <c r="Q29" i="9"/>
  <c r="Q30" i="9"/>
  <c r="Q31" i="9"/>
  <c r="Q32" i="9"/>
  <c r="Q33" i="9"/>
  <c r="Q34" i="9"/>
  <c r="Q35" i="9"/>
  <c r="Q36" i="9"/>
  <c r="Q37" i="9"/>
  <c r="Q38" i="9"/>
  <c r="Q39" i="9"/>
  <c r="Q40" i="9"/>
  <c r="Q41" i="9"/>
  <c r="Q42" i="9"/>
  <c r="Q43" i="9"/>
  <c r="Q44" i="9"/>
  <c r="Q45" i="9"/>
  <c r="Q46" i="9"/>
  <c r="Q47" i="9"/>
  <c r="Q6" i="9"/>
  <c r="E41" i="10"/>
  <c r="F41" i="10"/>
  <c r="G41" i="10"/>
  <c r="H41" i="10"/>
  <c r="I41" i="10"/>
  <c r="J41" i="10"/>
  <c r="K41" i="10"/>
  <c r="L41" i="10"/>
  <c r="M41" i="10"/>
  <c r="N41" i="10"/>
  <c r="O41" i="10"/>
  <c r="P41" i="10"/>
  <c r="Q41" i="10"/>
  <c r="R41" i="10"/>
  <c r="S41" i="10"/>
  <c r="T41" i="10"/>
  <c r="U41" i="10"/>
  <c r="V41" i="10"/>
  <c r="W41" i="10"/>
  <c r="X41" i="10"/>
  <c r="AG41" i="10"/>
  <c r="E42" i="10"/>
  <c r="F42" i="10"/>
  <c r="G42" i="10"/>
  <c r="H42" i="10"/>
  <c r="I42" i="10"/>
  <c r="J42" i="10"/>
  <c r="K42" i="10"/>
  <c r="L42" i="10"/>
  <c r="M42" i="10"/>
  <c r="N42" i="10"/>
  <c r="O42" i="10"/>
  <c r="P42" i="10"/>
  <c r="Q42" i="10"/>
  <c r="R42" i="10"/>
  <c r="S42" i="10"/>
  <c r="T42" i="10"/>
  <c r="U42" i="10"/>
  <c r="V42" i="10"/>
  <c r="W42" i="10"/>
  <c r="X42" i="10"/>
  <c r="AG42" i="10"/>
  <c r="E43" i="10"/>
  <c r="F43" i="10"/>
  <c r="G43" i="10"/>
  <c r="H43" i="10"/>
  <c r="I43" i="10"/>
  <c r="J43" i="10"/>
  <c r="K43" i="10"/>
  <c r="L43" i="10"/>
  <c r="M43" i="10"/>
  <c r="N43" i="10"/>
  <c r="O43" i="10"/>
  <c r="P43" i="10"/>
  <c r="Q43" i="10"/>
  <c r="R43" i="10"/>
  <c r="S43" i="10"/>
  <c r="T43" i="10"/>
  <c r="U43" i="10"/>
  <c r="V43" i="10"/>
  <c r="W43" i="10"/>
  <c r="X43" i="10"/>
  <c r="AG43" i="10"/>
  <c r="E44" i="10"/>
  <c r="F44" i="10"/>
  <c r="G44" i="10"/>
  <c r="H44" i="10"/>
  <c r="I44" i="10"/>
  <c r="J44" i="10"/>
  <c r="K44" i="10"/>
  <c r="L44" i="10"/>
  <c r="M44" i="10"/>
  <c r="N44" i="10"/>
  <c r="O44" i="10"/>
  <c r="P44" i="10"/>
  <c r="Q44" i="10"/>
  <c r="R44" i="10"/>
  <c r="S44" i="10"/>
  <c r="T44" i="10"/>
  <c r="U44" i="10"/>
  <c r="V44" i="10"/>
  <c r="W44" i="10"/>
  <c r="X44" i="10"/>
  <c r="AG44" i="10"/>
  <c r="E45" i="10"/>
  <c r="F45" i="10"/>
  <c r="G45" i="10"/>
  <c r="H45" i="10"/>
  <c r="I45" i="10"/>
  <c r="J45" i="10"/>
  <c r="K45" i="10"/>
  <c r="L45" i="10"/>
  <c r="M45" i="10"/>
  <c r="N45" i="10"/>
  <c r="O45" i="10"/>
  <c r="P45" i="10"/>
  <c r="Q45" i="10"/>
  <c r="R45" i="10"/>
  <c r="S45" i="10"/>
  <c r="T45" i="10"/>
  <c r="U45" i="10"/>
  <c r="V45" i="10"/>
  <c r="W45" i="10"/>
  <c r="X45" i="10"/>
  <c r="AG45" i="10"/>
  <c r="E46" i="10"/>
  <c r="F46" i="10"/>
  <c r="G46" i="10"/>
  <c r="H46" i="10"/>
  <c r="I46" i="10"/>
  <c r="J46" i="10"/>
  <c r="K46" i="10"/>
  <c r="L46" i="10"/>
  <c r="M46" i="10"/>
  <c r="N46" i="10"/>
  <c r="O46" i="10"/>
  <c r="P46" i="10"/>
  <c r="Q46" i="10"/>
  <c r="R46" i="10"/>
  <c r="S46" i="10"/>
  <c r="T46" i="10"/>
  <c r="U46" i="10"/>
  <c r="V46" i="10"/>
  <c r="W46" i="10"/>
  <c r="X46" i="10"/>
  <c r="AG46" i="10"/>
  <c r="E47" i="10"/>
  <c r="F47" i="10"/>
  <c r="G47" i="10"/>
  <c r="H47" i="10"/>
  <c r="I47" i="10"/>
  <c r="J47" i="10"/>
  <c r="K47" i="10"/>
  <c r="L47" i="10"/>
  <c r="M47" i="10"/>
  <c r="N47" i="10"/>
  <c r="O47" i="10"/>
  <c r="P47" i="10"/>
  <c r="Q47" i="10"/>
  <c r="R47" i="10"/>
  <c r="S47" i="10"/>
  <c r="T47" i="10"/>
  <c r="U47" i="10"/>
  <c r="V47" i="10"/>
  <c r="W47" i="10"/>
  <c r="X47" i="10"/>
  <c r="AG47" i="10"/>
  <c r="Q27" i="10"/>
  <c r="R27" i="10"/>
  <c r="S27" i="10"/>
  <c r="T27" i="10"/>
  <c r="U27" i="10"/>
  <c r="V27" i="10"/>
  <c r="W27" i="10"/>
  <c r="X27" i="10"/>
  <c r="AG27" i="10"/>
  <c r="Q28" i="10"/>
  <c r="R28" i="10"/>
  <c r="S28" i="10"/>
  <c r="T28" i="10"/>
  <c r="U28" i="10"/>
  <c r="V28" i="10"/>
  <c r="W28" i="10"/>
  <c r="X28" i="10"/>
  <c r="AG28" i="10"/>
  <c r="Q29" i="10"/>
  <c r="R29" i="10"/>
  <c r="S29" i="10"/>
  <c r="T29" i="10"/>
  <c r="U29" i="10"/>
  <c r="V29" i="10"/>
  <c r="W29" i="10"/>
  <c r="X29" i="10"/>
  <c r="AG29" i="10"/>
  <c r="Q30" i="10"/>
  <c r="R30" i="10"/>
  <c r="S30" i="10"/>
  <c r="T30" i="10"/>
  <c r="U30" i="10"/>
  <c r="V30" i="10"/>
  <c r="W30" i="10"/>
  <c r="X30" i="10"/>
  <c r="AG30" i="10"/>
  <c r="Q31" i="10"/>
  <c r="R31" i="10"/>
  <c r="S31" i="10"/>
  <c r="T31" i="10"/>
  <c r="U31" i="10"/>
  <c r="V31" i="10"/>
  <c r="W31" i="10"/>
  <c r="X31" i="10"/>
  <c r="AG31" i="10"/>
  <c r="Q32" i="10"/>
  <c r="R32" i="10"/>
  <c r="S32" i="10"/>
  <c r="T32" i="10"/>
  <c r="U32" i="10"/>
  <c r="V32" i="10"/>
  <c r="W32" i="10"/>
  <c r="X32" i="10"/>
  <c r="AG32" i="10"/>
  <c r="Q33" i="10"/>
  <c r="R33" i="10"/>
  <c r="S33" i="10"/>
  <c r="T33" i="10"/>
  <c r="U33" i="10"/>
  <c r="V33" i="10"/>
  <c r="W33" i="10"/>
  <c r="X33" i="10"/>
  <c r="AG33" i="10"/>
  <c r="E10" i="10"/>
  <c r="E10" i="11"/>
  <c r="E8" i="10"/>
  <c r="F8" i="10"/>
  <c r="G8" i="10"/>
  <c r="H8" i="10"/>
  <c r="I8" i="10"/>
  <c r="J8" i="10"/>
  <c r="K8" i="10"/>
  <c r="L8" i="10"/>
  <c r="M8" i="10"/>
  <c r="N8" i="10"/>
  <c r="O8" i="10"/>
  <c r="P8" i="10"/>
  <c r="Q8" i="10"/>
  <c r="R8" i="10"/>
  <c r="S8" i="10"/>
  <c r="T8" i="10"/>
  <c r="U8" i="10"/>
  <c r="V8" i="10"/>
  <c r="W8" i="10"/>
  <c r="X8" i="10"/>
  <c r="AG8" i="10"/>
  <c r="E6" i="10"/>
  <c r="F6" i="10"/>
  <c r="G6" i="10"/>
  <c r="H6" i="10"/>
  <c r="I6" i="10"/>
  <c r="J6" i="10"/>
  <c r="K6" i="10"/>
  <c r="L6" i="10"/>
  <c r="M6" i="10"/>
  <c r="N6" i="10"/>
  <c r="O6" i="10"/>
  <c r="P6" i="10"/>
  <c r="Q6" i="10"/>
  <c r="R6" i="10"/>
  <c r="S6" i="10"/>
  <c r="T6" i="10"/>
  <c r="U6" i="10"/>
  <c r="V6" i="10"/>
  <c r="W6" i="10"/>
  <c r="X6" i="10"/>
  <c r="AG6" i="10"/>
  <c r="E7" i="10"/>
  <c r="F7" i="10"/>
  <c r="G7" i="10"/>
  <c r="H7" i="10"/>
  <c r="I7" i="10"/>
  <c r="J7" i="10"/>
  <c r="K7" i="10"/>
  <c r="L7" i="10"/>
  <c r="M7" i="10"/>
  <c r="N7" i="10"/>
  <c r="O7" i="10"/>
  <c r="P7" i="10"/>
  <c r="Q7" i="10"/>
  <c r="R7" i="10"/>
  <c r="S7" i="10"/>
  <c r="T7" i="10"/>
  <c r="U7" i="10"/>
  <c r="V7" i="10"/>
  <c r="W7" i="10"/>
  <c r="X7" i="10"/>
  <c r="AG7" i="10"/>
  <c r="E9" i="10"/>
  <c r="F9" i="10"/>
  <c r="G9" i="10"/>
  <c r="H9" i="10"/>
  <c r="I9" i="10"/>
  <c r="J9" i="10"/>
  <c r="K9" i="10"/>
  <c r="L9" i="10"/>
  <c r="M9" i="10"/>
  <c r="N9" i="10"/>
  <c r="O9" i="10"/>
  <c r="P9" i="10"/>
  <c r="Q9" i="10"/>
  <c r="R9" i="10"/>
  <c r="S9" i="10"/>
  <c r="T9" i="10"/>
  <c r="U9" i="10"/>
  <c r="V9" i="10"/>
  <c r="W9" i="10"/>
  <c r="X9" i="10"/>
  <c r="AG9" i="10"/>
  <c r="F10" i="10"/>
  <c r="G10" i="10"/>
  <c r="H10" i="10"/>
  <c r="I10" i="10"/>
  <c r="J10" i="10"/>
  <c r="K10" i="10"/>
  <c r="L10" i="10"/>
  <c r="M10" i="10"/>
  <c r="N10" i="10"/>
  <c r="O10" i="10"/>
  <c r="P10" i="10"/>
  <c r="Q10" i="10"/>
  <c r="R10" i="10"/>
  <c r="S10" i="10"/>
  <c r="T10" i="10"/>
  <c r="U10" i="10"/>
  <c r="V10" i="10"/>
  <c r="W10" i="10"/>
  <c r="X10" i="10"/>
  <c r="AG10" i="10"/>
  <c r="E11" i="10"/>
  <c r="F11" i="10"/>
  <c r="G11" i="10"/>
  <c r="H11" i="10"/>
  <c r="I11" i="10"/>
  <c r="J11" i="10"/>
  <c r="K11" i="10"/>
  <c r="L11" i="10"/>
  <c r="M11" i="10"/>
  <c r="N11" i="10"/>
  <c r="O11" i="10"/>
  <c r="P11" i="10"/>
  <c r="Q11" i="10"/>
  <c r="R11" i="10"/>
  <c r="S11" i="10"/>
  <c r="T11" i="10"/>
  <c r="U11" i="10"/>
  <c r="V11" i="10"/>
  <c r="W11" i="10"/>
  <c r="X11" i="10"/>
  <c r="AG11" i="10"/>
  <c r="E12" i="10"/>
  <c r="F12" i="10"/>
  <c r="G12" i="10"/>
  <c r="H12" i="10"/>
  <c r="I12" i="10"/>
  <c r="J12" i="10"/>
  <c r="K12" i="10"/>
  <c r="L12" i="10"/>
  <c r="M12" i="10"/>
  <c r="N12" i="10"/>
  <c r="O12" i="10"/>
  <c r="P12" i="10"/>
  <c r="Q12" i="10"/>
  <c r="R12" i="10"/>
  <c r="S12" i="10"/>
  <c r="T12" i="10"/>
  <c r="U12" i="10"/>
  <c r="V12" i="10"/>
  <c r="W12" i="10"/>
  <c r="X12" i="10"/>
  <c r="AG12" i="10"/>
  <c r="E24" i="10"/>
  <c r="E22" i="10"/>
  <c r="E23" i="10"/>
  <c r="E25" i="10"/>
  <c r="S10" i="3"/>
  <c r="S9" i="3"/>
  <c r="G9" i="1"/>
  <c r="C6" i="13"/>
  <c r="F16" i="13" s="1"/>
  <c r="A4" i="13"/>
  <c r="A6" i="13"/>
  <c r="F6" i="13" s="1"/>
  <c r="A7" i="13"/>
  <c r="F7" i="13" s="1"/>
  <c r="C7" i="13"/>
  <c r="F17" i="13" s="1"/>
  <c r="A8" i="13"/>
  <c r="F8" i="13" s="1"/>
  <c r="C8" i="13"/>
  <c r="F18" i="13" s="1"/>
  <c r="A9" i="13"/>
  <c r="F9" i="13" s="1"/>
  <c r="C9" i="13"/>
  <c r="F19" i="13" s="1"/>
  <c r="A10" i="13"/>
  <c r="F10" i="13" s="1"/>
  <c r="C10" i="13"/>
  <c r="F20" i="13" s="1"/>
  <c r="A11" i="13"/>
  <c r="F11" i="13" s="1"/>
  <c r="C11" i="13"/>
  <c r="F21" i="13" s="1"/>
  <c r="A12" i="13"/>
  <c r="F12" i="13" s="1"/>
  <c r="C12" i="13"/>
  <c r="F22" i="13" s="1"/>
  <c r="A13" i="13"/>
  <c r="F13" i="13" s="1"/>
  <c r="C13" i="13"/>
  <c r="F23" i="13" s="1"/>
  <c r="A14" i="13"/>
  <c r="F14" i="13" s="1"/>
  <c r="C14" i="13"/>
  <c r="F24" i="13" s="1"/>
  <c r="A15" i="13"/>
  <c r="F15" i="13" s="1"/>
  <c r="C15" i="13"/>
  <c r="F25" i="13" s="1"/>
  <c r="B16" i="13"/>
  <c r="D16" i="13"/>
  <c r="T16" i="7"/>
  <c r="C2" i="4"/>
  <c r="D4" i="13" s="1"/>
  <c r="L5" i="7"/>
  <c r="V5" i="7"/>
  <c r="V16" i="7" s="1"/>
  <c r="L6" i="7"/>
  <c r="W17" i="7" s="1"/>
  <c r="V6" i="7"/>
  <c r="V17" i="7" s="1"/>
  <c r="L7" i="7"/>
  <c r="V7" i="7"/>
  <c r="V18" i="7" s="1"/>
  <c r="L8" i="7"/>
  <c r="W19" i="7" s="1"/>
  <c r="V8" i="7"/>
  <c r="V19" i="7" s="1"/>
  <c r="L9" i="7"/>
  <c r="W20" i="7" s="1"/>
  <c r="V9" i="7"/>
  <c r="V20" i="7" s="1"/>
  <c r="L10" i="7"/>
  <c r="W21" i="7" s="1"/>
  <c r="V10" i="7"/>
  <c r="V21" i="7" s="1"/>
  <c r="L11" i="7"/>
  <c r="W25" i="7" s="1"/>
  <c r="V11" i="7"/>
  <c r="V25" i="7" s="1"/>
  <c r="L15" i="7"/>
  <c r="L16" i="7"/>
  <c r="X17" i="7" s="1"/>
  <c r="L17" i="7"/>
  <c r="X18" i="7" s="1"/>
  <c r="L18" i="7"/>
  <c r="X19" i="7" s="1"/>
  <c r="L19" i="7"/>
  <c r="X20" i="7" s="1"/>
  <c r="L20" i="7"/>
  <c r="X21" i="7" s="1"/>
  <c r="L21" i="7"/>
  <c r="X25" i="7" s="1"/>
  <c r="L26" i="7"/>
  <c r="Y17" i="7" s="1"/>
  <c r="L27" i="7"/>
  <c r="Y18" i="7" s="1"/>
  <c r="L28" i="7"/>
  <c r="L29" i="7"/>
  <c r="Y20" i="7" s="1"/>
  <c r="L30" i="7"/>
  <c r="Y21" i="7" s="1"/>
  <c r="L31" i="7"/>
  <c r="Y25" i="7" s="1"/>
  <c r="L45" i="7"/>
  <c r="L46" i="7"/>
  <c r="AA17" i="7" s="1"/>
  <c r="L47" i="7"/>
  <c r="AA18" i="7" s="1"/>
  <c r="L48" i="7"/>
  <c r="AA19" i="7" s="1"/>
  <c r="L49" i="7"/>
  <c r="AA20" i="7" s="1"/>
  <c r="L50" i="7"/>
  <c r="AA21" i="7" s="1"/>
  <c r="L51" i="7"/>
  <c r="AA25" i="7" s="1"/>
  <c r="L55" i="7"/>
  <c r="AB16" i="7" s="1"/>
  <c r="L56" i="7"/>
  <c r="AB17" i="7" s="1"/>
  <c r="L57" i="7"/>
  <c r="AB18" i="7" s="1"/>
  <c r="L58" i="7"/>
  <c r="AB19" i="7" s="1"/>
  <c r="L59" i="7"/>
  <c r="AB20" i="7" s="1"/>
  <c r="L60" i="7"/>
  <c r="AB21" i="7" s="1"/>
  <c r="L61" i="7"/>
  <c r="AB25" i="7" s="1"/>
  <c r="H1" i="5"/>
  <c r="L1" i="5"/>
  <c r="P1" i="5"/>
  <c r="T1" i="5"/>
  <c r="X1" i="5"/>
  <c r="AB1" i="5"/>
  <c r="AF1" i="5"/>
  <c r="AJ1" i="5"/>
  <c r="AN1" i="5"/>
  <c r="AR1" i="5"/>
  <c r="AV1" i="5"/>
  <c r="AZ1" i="5"/>
  <c r="BD1" i="5"/>
  <c r="BH1" i="5"/>
  <c r="BL1" i="5"/>
  <c r="BP1" i="5"/>
  <c r="BT1" i="5"/>
  <c r="BX1" i="5"/>
  <c r="CB1" i="5"/>
  <c r="CF1" i="5"/>
  <c r="CJ9" i="5"/>
  <c r="CJ16" i="5"/>
  <c r="CK16" i="5"/>
  <c r="CL16" i="5"/>
  <c r="CM16" i="5"/>
  <c r="CJ23" i="5"/>
  <c r="CJ30" i="5"/>
  <c r="CJ37" i="5"/>
  <c r="CJ44" i="5"/>
  <c r="E5" i="4"/>
  <c r="E2" i="62" s="1"/>
  <c r="F5" i="4"/>
  <c r="G5" i="4"/>
  <c r="H5" i="4"/>
  <c r="H29" i="4" s="1"/>
  <c r="I5" i="4"/>
  <c r="I2" i="10" s="1"/>
  <c r="J5" i="4"/>
  <c r="J2" i="9" s="1"/>
  <c r="K5" i="4"/>
  <c r="L5" i="4"/>
  <c r="L2" i="62" s="1"/>
  <c r="M5" i="4"/>
  <c r="N5" i="4"/>
  <c r="O5" i="4"/>
  <c r="O2" i="10" s="1"/>
  <c r="P5" i="4"/>
  <c r="P2" i="10" s="1"/>
  <c r="Q5" i="4"/>
  <c r="R5" i="4"/>
  <c r="R2" i="11" s="1"/>
  <c r="S5" i="4"/>
  <c r="S3" i="62" s="1"/>
  <c r="T5" i="4"/>
  <c r="T3" i="62" s="1"/>
  <c r="U5" i="4"/>
  <c r="U3" i="9" s="1"/>
  <c r="V5" i="4"/>
  <c r="V2" i="8" s="1"/>
  <c r="W5" i="4"/>
  <c r="W3" i="9" s="1"/>
  <c r="X5" i="4"/>
  <c r="X2" i="8" s="1"/>
  <c r="Y5" i="4"/>
  <c r="Y2" i="62" s="1"/>
  <c r="Z5" i="4"/>
  <c r="Z2" i="62" s="1"/>
  <c r="AA5" i="4"/>
  <c r="AA2" i="11" s="1"/>
  <c r="AB5" i="4"/>
  <c r="AB2" i="62" s="1"/>
  <c r="AC5" i="4"/>
  <c r="AC2" i="9" s="1"/>
  <c r="AD5" i="4"/>
  <c r="AD3" i="8" s="1"/>
  <c r="AE5" i="4"/>
  <c r="AE2" i="8" s="1"/>
  <c r="AF5" i="4"/>
  <c r="AF2" i="8" s="1"/>
  <c r="E6" i="4"/>
  <c r="F6" i="4"/>
  <c r="G6" i="4"/>
  <c r="H6" i="4"/>
  <c r="I6" i="4"/>
  <c r="J6" i="4"/>
  <c r="K6" i="4"/>
  <c r="L6" i="4"/>
  <c r="M6" i="4"/>
  <c r="N6" i="4"/>
  <c r="O6" i="4"/>
  <c r="P6" i="4"/>
  <c r="Q6" i="4"/>
  <c r="R6" i="4"/>
  <c r="S6" i="4"/>
  <c r="T6" i="4"/>
  <c r="U6" i="4"/>
  <c r="V6" i="4"/>
  <c r="W6" i="4"/>
  <c r="X6" i="4"/>
  <c r="Y6" i="4"/>
  <c r="Y30" i="4" s="1"/>
  <c r="Y31" i="4" s="1"/>
  <c r="Z6" i="4"/>
  <c r="Z30" i="4" s="1"/>
  <c r="Z31" i="4" s="1"/>
  <c r="AA6" i="4"/>
  <c r="AA30" i="4" s="1"/>
  <c r="AA31" i="4" s="1"/>
  <c r="AB6" i="4"/>
  <c r="AB30" i="4" s="1"/>
  <c r="AB31" i="4" s="1"/>
  <c r="AC6" i="4"/>
  <c r="AC30" i="4" s="1"/>
  <c r="AC31" i="4" s="1"/>
  <c r="AD6" i="4"/>
  <c r="AD30" i="4" s="1"/>
  <c r="AD31" i="4" s="1"/>
  <c r="AE6" i="4"/>
  <c r="AE30" i="4" s="1"/>
  <c r="AE31" i="4" s="1"/>
  <c r="AF6" i="4"/>
  <c r="AF30" i="4" s="1"/>
  <c r="AF31" i="4" s="1"/>
  <c r="AG2" i="9"/>
  <c r="AG3" i="9"/>
  <c r="E6" i="9"/>
  <c r="F6" i="9"/>
  <c r="G6" i="9"/>
  <c r="H6" i="9"/>
  <c r="I6" i="9"/>
  <c r="J6" i="9"/>
  <c r="K6" i="9"/>
  <c r="L6" i="9"/>
  <c r="M6" i="9"/>
  <c r="N6" i="9"/>
  <c r="O6" i="9"/>
  <c r="P6" i="9"/>
  <c r="R6" i="9"/>
  <c r="S6" i="9"/>
  <c r="T6" i="9"/>
  <c r="U6" i="9"/>
  <c r="V6" i="9"/>
  <c r="W6" i="9"/>
  <c r="X6" i="9"/>
  <c r="AG6" i="9"/>
  <c r="E7" i="9"/>
  <c r="F7" i="9"/>
  <c r="G7" i="9"/>
  <c r="H7" i="9"/>
  <c r="I7" i="9"/>
  <c r="J7" i="9"/>
  <c r="K7" i="9"/>
  <c r="L7" i="9"/>
  <c r="M7" i="9"/>
  <c r="N7" i="9"/>
  <c r="O7" i="9"/>
  <c r="P7" i="9"/>
  <c r="R7" i="9"/>
  <c r="S7" i="9"/>
  <c r="T7" i="9"/>
  <c r="U7" i="9"/>
  <c r="V7" i="9"/>
  <c r="W7" i="9"/>
  <c r="X7" i="9"/>
  <c r="AG7" i="9"/>
  <c r="E8" i="9"/>
  <c r="F8" i="9"/>
  <c r="G8" i="9"/>
  <c r="H8" i="9"/>
  <c r="I8" i="9"/>
  <c r="J8" i="9"/>
  <c r="K8" i="9"/>
  <c r="L8" i="9"/>
  <c r="M8" i="9"/>
  <c r="N8" i="9"/>
  <c r="O8" i="9"/>
  <c r="P8" i="9"/>
  <c r="R8" i="9"/>
  <c r="S8" i="9"/>
  <c r="T8" i="9"/>
  <c r="U8" i="9"/>
  <c r="V8" i="9"/>
  <c r="W8" i="9"/>
  <c r="X8" i="9"/>
  <c r="AG8" i="9"/>
  <c r="E9" i="9"/>
  <c r="F9" i="9"/>
  <c r="G9" i="9"/>
  <c r="H9" i="9"/>
  <c r="I9" i="9"/>
  <c r="J9" i="9"/>
  <c r="K9" i="9"/>
  <c r="L9" i="9"/>
  <c r="M9" i="9"/>
  <c r="N9" i="9"/>
  <c r="O9" i="9"/>
  <c r="P9" i="9"/>
  <c r="R9" i="9"/>
  <c r="S9" i="9"/>
  <c r="T9" i="9"/>
  <c r="U9" i="9"/>
  <c r="V9" i="9"/>
  <c r="W9" i="9"/>
  <c r="X9" i="9"/>
  <c r="AG9" i="9"/>
  <c r="E10" i="9"/>
  <c r="F10" i="9"/>
  <c r="G10" i="9"/>
  <c r="H10" i="9"/>
  <c r="I10" i="9"/>
  <c r="J10" i="9"/>
  <c r="K10" i="9"/>
  <c r="L10" i="9"/>
  <c r="M10" i="9"/>
  <c r="N10" i="9"/>
  <c r="O10" i="9"/>
  <c r="P10" i="9"/>
  <c r="R10" i="9"/>
  <c r="S10" i="9"/>
  <c r="T10" i="9"/>
  <c r="U10" i="9"/>
  <c r="V10" i="9"/>
  <c r="W10" i="9"/>
  <c r="X10" i="9"/>
  <c r="AG10" i="9"/>
  <c r="E11" i="9"/>
  <c r="F11" i="9"/>
  <c r="G11" i="9"/>
  <c r="H11" i="9"/>
  <c r="I11" i="9"/>
  <c r="J11" i="9"/>
  <c r="K11" i="9"/>
  <c r="L11" i="9"/>
  <c r="M11" i="9"/>
  <c r="N11" i="9"/>
  <c r="O11" i="9"/>
  <c r="P11" i="9"/>
  <c r="R11" i="9"/>
  <c r="S11" i="9"/>
  <c r="T11" i="9"/>
  <c r="U11" i="9"/>
  <c r="V11" i="9"/>
  <c r="W11" i="9"/>
  <c r="X11" i="9"/>
  <c r="AG11" i="9"/>
  <c r="E12" i="9"/>
  <c r="F12" i="9"/>
  <c r="G12" i="9"/>
  <c r="H12" i="9"/>
  <c r="I12" i="9"/>
  <c r="J12" i="9"/>
  <c r="K12" i="9"/>
  <c r="L12" i="9"/>
  <c r="M12" i="9"/>
  <c r="N12" i="9"/>
  <c r="O12" i="9"/>
  <c r="P12" i="9"/>
  <c r="R12" i="9"/>
  <c r="S12" i="9"/>
  <c r="T12" i="9"/>
  <c r="U12" i="9"/>
  <c r="V12" i="9"/>
  <c r="W12" i="9"/>
  <c r="X12" i="9"/>
  <c r="AG12" i="9"/>
  <c r="E13" i="9"/>
  <c r="F13" i="9"/>
  <c r="G13" i="9"/>
  <c r="H13" i="9"/>
  <c r="I13" i="9"/>
  <c r="J13" i="9"/>
  <c r="K13" i="9"/>
  <c r="L13" i="9"/>
  <c r="M13" i="9"/>
  <c r="N13" i="9"/>
  <c r="O13" i="9"/>
  <c r="P13" i="9"/>
  <c r="R13" i="9"/>
  <c r="S13" i="9"/>
  <c r="T13" i="9"/>
  <c r="U13" i="9"/>
  <c r="V13" i="9"/>
  <c r="W13" i="9"/>
  <c r="X13" i="9"/>
  <c r="AG13" i="9"/>
  <c r="E14" i="9"/>
  <c r="F14" i="9"/>
  <c r="G14" i="9"/>
  <c r="H14" i="9"/>
  <c r="I14" i="9"/>
  <c r="J14" i="9"/>
  <c r="K14" i="9"/>
  <c r="L14" i="9"/>
  <c r="M14" i="9"/>
  <c r="N14" i="9"/>
  <c r="O14" i="9"/>
  <c r="P14" i="9"/>
  <c r="R14" i="9"/>
  <c r="S14" i="9"/>
  <c r="T14" i="9"/>
  <c r="U14" i="9"/>
  <c r="V14" i="9"/>
  <c r="W14" i="9"/>
  <c r="X14" i="9"/>
  <c r="AG14" i="9"/>
  <c r="E15" i="9"/>
  <c r="F15" i="9"/>
  <c r="G15" i="9"/>
  <c r="H15" i="9"/>
  <c r="I15" i="9"/>
  <c r="J15" i="9"/>
  <c r="K15" i="9"/>
  <c r="L15" i="9"/>
  <c r="M15" i="9"/>
  <c r="N15" i="9"/>
  <c r="O15" i="9"/>
  <c r="P15" i="9"/>
  <c r="R15" i="9"/>
  <c r="S15" i="9"/>
  <c r="T15" i="9"/>
  <c r="U15" i="9"/>
  <c r="V15" i="9"/>
  <c r="W15" i="9"/>
  <c r="X15" i="9"/>
  <c r="AG15" i="9"/>
  <c r="E16" i="9"/>
  <c r="F16" i="9"/>
  <c r="G16" i="9"/>
  <c r="H16" i="9"/>
  <c r="I16" i="9"/>
  <c r="J16" i="9"/>
  <c r="K16" i="9"/>
  <c r="L16" i="9"/>
  <c r="M16" i="9"/>
  <c r="N16" i="9"/>
  <c r="O16" i="9"/>
  <c r="P16" i="9"/>
  <c r="R16" i="9"/>
  <c r="S16" i="9"/>
  <c r="T16" i="9"/>
  <c r="U16" i="9"/>
  <c r="V16" i="9"/>
  <c r="W16" i="9"/>
  <c r="X16" i="9"/>
  <c r="AG16" i="9"/>
  <c r="E17" i="9"/>
  <c r="F17" i="9"/>
  <c r="G17" i="9"/>
  <c r="H17" i="9"/>
  <c r="I17" i="9"/>
  <c r="J17" i="9"/>
  <c r="K17" i="9"/>
  <c r="L17" i="9"/>
  <c r="M17" i="9"/>
  <c r="N17" i="9"/>
  <c r="O17" i="9"/>
  <c r="P17" i="9"/>
  <c r="R17" i="9"/>
  <c r="S17" i="9"/>
  <c r="T17" i="9"/>
  <c r="U17" i="9"/>
  <c r="V17" i="9"/>
  <c r="W17" i="9"/>
  <c r="X17" i="9"/>
  <c r="AG17" i="9"/>
  <c r="E18" i="9"/>
  <c r="F18" i="9"/>
  <c r="G18" i="9"/>
  <c r="H18" i="9"/>
  <c r="I18" i="9"/>
  <c r="J18" i="9"/>
  <c r="K18" i="9"/>
  <c r="L18" i="9"/>
  <c r="M18" i="9"/>
  <c r="N18" i="9"/>
  <c r="O18" i="9"/>
  <c r="P18" i="9"/>
  <c r="R18" i="9"/>
  <c r="S18" i="9"/>
  <c r="T18" i="9"/>
  <c r="U18" i="9"/>
  <c r="V18" i="9"/>
  <c r="W18" i="9"/>
  <c r="X18" i="9"/>
  <c r="AG18" i="9"/>
  <c r="E19" i="9"/>
  <c r="F19" i="9"/>
  <c r="G19" i="9"/>
  <c r="H19" i="9"/>
  <c r="I19" i="9"/>
  <c r="J19" i="9"/>
  <c r="K19" i="9"/>
  <c r="L19" i="9"/>
  <c r="M19" i="9"/>
  <c r="N19" i="9"/>
  <c r="O19" i="9"/>
  <c r="P19" i="9"/>
  <c r="R19" i="9"/>
  <c r="S19" i="9"/>
  <c r="T19" i="9"/>
  <c r="U19" i="9"/>
  <c r="V19" i="9"/>
  <c r="W19" i="9"/>
  <c r="X19" i="9"/>
  <c r="AG19" i="9"/>
  <c r="E20" i="9"/>
  <c r="F20" i="9"/>
  <c r="G20" i="9"/>
  <c r="H20" i="9"/>
  <c r="I20" i="9"/>
  <c r="J20" i="9"/>
  <c r="K20" i="9"/>
  <c r="L20" i="9"/>
  <c r="M20" i="9"/>
  <c r="N20" i="9"/>
  <c r="O20" i="9"/>
  <c r="P20" i="9"/>
  <c r="R20" i="9"/>
  <c r="S20" i="9"/>
  <c r="T20" i="9"/>
  <c r="U20" i="9"/>
  <c r="V20" i="9"/>
  <c r="W20" i="9"/>
  <c r="X20" i="9"/>
  <c r="AG20" i="9"/>
  <c r="E21" i="9"/>
  <c r="F21" i="9"/>
  <c r="G21" i="9"/>
  <c r="H21" i="9"/>
  <c r="I21" i="9"/>
  <c r="J21" i="9"/>
  <c r="K21" i="9"/>
  <c r="L21" i="9"/>
  <c r="M21" i="9"/>
  <c r="N21" i="9"/>
  <c r="O21" i="9"/>
  <c r="P21" i="9"/>
  <c r="R21" i="9"/>
  <c r="S21" i="9"/>
  <c r="T21" i="9"/>
  <c r="U21" i="9"/>
  <c r="V21" i="9"/>
  <c r="W21" i="9"/>
  <c r="X21" i="9"/>
  <c r="AG21" i="9"/>
  <c r="E22" i="9"/>
  <c r="F22" i="9"/>
  <c r="G22" i="9"/>
  <c r="H22" i="9"/>
  <c r="I22" i="9"/>
  <c r="J22" i="9"/>
  <c r="K22" i="9"/>
  <c r="L22" i="9"/>
  <c r="M22" i="9"/>
  <c r="N22" i="9"/>
  <c r="O22" i="9"/>
  <c r="P22" i="9"/>
  <c r="R22" i="9"/>
  <c r="S22" i="9"/>
  <c r="T22" i="9"/>
  <c r="U22" i="9"/>
  <c r="V22" i="9"/>
  <c r="W22" i="9"/>
  <c r="X22" i="9"/>
  <c r="AG22" i="9"/>
  <c r="E23" i="9"/>
  <c r="F23" i="9"/>
  <c r="G23" i="9"/>
  <c r="H23" i="9"/>
  <c r="I23" i="9"/>
  <c r="J23" i="9"/>
  <c r="K23" i="9"/>
  <c r="L23" i="9"/>
  <c r="M23" i="9"/>
  <c r="N23" i="9"/>
  <c r="O23" i="9"/>
  <c r="P23" i="9"/>
  <c r="R23" i="9"/>
  <c r="S23" i="9"/>
  <c r="T23" i="9"/>
  <c r="U23" i="9"/>
  <c r="V23" i="9"/>
  <c r="W23" i="9"/>
  <c r="X23" i="9"/>
  <c r="AG23" i="9"/>
  <c r="E24" i="9"/>
  <c r="F24" i="9"/>
  <c r="G24" i="9"/>
  <c r="H24" i="9"/>
  <c r="I24" i="9"/>
  <c r="J24" i="9"/>
  <c r="K24" i="9"/>
  <c r="L24" i="9"/>
  <c r="M24" i="9"/>
  <c r="N24" i="9"/>
  <c r="O24" i="9"/>
  <c r="P24" i="9"/>
  <c r="R24" i="9"/>
  <c r="S24" i="9"/>
  <c r="T24" i="9"/>
  <c r="U24" i="9"/>
  <c r="V24" i="9"/>
  <c r="W24" i="9"/>
  <c r="X24" i="9"/>
  <c r="AG24" i="9"/>
  <c r="E25" i="9"/>
  <c r="F25" i="9"/>
  <c r="G25" i="9"/>
  <c r="H25" i="9"/>
  <c r="I25" i="9"/>
  <c r="J25" i="9"/>
  <c r="K25" i="9"/>
  <c r="L25" i="9"/>
  <c r="M25" i="9"/>
  <c r="N25" i="9"/>
  <c r="O25" i="9"/>
  <c r="P25" i="9"/>
  <c r="R25" i="9"/>
  <c r="S25" i="9"/>
  <c r="T25" i="9"/>
  <c r="U25" i="9"/>
  <c r="V25" i="9"/>
  <c r="W25" i="9"/>
  <c r="X25" i="9"/>
  <c r="AG25" i="9"/>
  <c r="E26" i="9"/>
  <c r="F26" i="9"/>
  <c r="G26" i="9"/>
  <c r="H26" i="9"/>
  <c r="I26" i="9"/>
  <c r="J26" i="9"/>
  <c r="K26" i="9"/>
  <c r="L26" i="9"/>
  <c r="M26" i="9"/>
  <c r="N26" i="9"/>
  <c r="O26" i="9"/>
  <c r="P26" i="9"/>
  <c r="R26" i="9"/>
  <c r="S26" i="9"/>
  <c r="T26" i="9"/>
  <c r="U26" i="9"/>
  <c r="V26" i="9"/>
  <c r="W26" i="9"/>
  <c r="X26" i="9"/>
  <c r="AG26" i="9"/>
  <c r="R27" i="9"/>
  <c r="S27" i="9"/>
  <c r="T27" i="9"/>
  <c r="U27" i="9"/>
  <c r="V27" i="9"/>
  <c r="W27" i="9"/>
  <c r="X27" i="9"/>
  <c r="AG27" i="9"/>
  <c r="R28" i="9"/>
  <c r="S28" i="9"/>
  <c r="T28" i="9"/>
  <c r="U28" i="9"/>
  <c r="V28" i="9"/>
  <c r="W28" i="9"/>
  <c r="X28" i="9"/>
  <c r="AG28" i="9"/>
  <c r="R29" i="9"/>
  <c r="S29" i="9"/>
  <c r="T29" i="9"/>
  <c r="U29" i="9"/>
  <c r="V29" i="9"/>
  <c r="W29" i="9"/>
  <c r="X29" i="9"/>
  <c r="AG29" i="9"/>
  <c r="R30" i="9"/>
  <c r="S30" i="9"/>
  <c r="T30" i="9"/>
  <c r="U30" i="9"/>
  <c r="V30" i="9"/>
  <c r="W30" i="9"/>
  <c r="X30" i="9"/>
  <c r="AG30" i="9"/>
  <c r="R31" i="9"/>
  <c r="S31" i="9"/>
  <c r="T31" i="9"/>
  <c r="U31" i="9"/>
  <c r="V31" i="9"/>
  <c r="W31" i="9"/>
  <c r="X31" i="9"/>
  <c r="AG31" i="9"/>
  <c r="R32" i="9"/>
  <c r="S32" i="9"/>
  <c r="T32" i="9"/>
  <c r="U32" i="9"/>
  <c r="V32" i="9"/>
  <c r="W32" i="9"/>
  <c r="X32" i="9"/>
  <c r="AG32" i="9"/>
  <c r="R33" i="9"/>
  <c r="S33" i="9"/>
  <c r="T33" i="9"/>
  <c r="U33" i="9"/>
  <c r="V33" i="9"/>
  <c r="W33" i="9"/>
  <c r="X33" i="9"/>
  <c r="AG33" i="9"/>
  <c r="E34" i="9"/>
  <c r="F34" i="9"/>
  <c r="G34" i="9"/>
  <c r="H34" i="9"/>
  <c r="I34" i="9"/>
  <c r="J34" i="9"/>
  <c r="K34" i="9"/>
  <c r="L34" i="9"/>
  <c r="M34" i="9"/>
  <c r="N34" i="9"/>
  <c r="O34" i="9"/>
  <c r="P34" i="9"/>
  <c r="R34" i="9"/>
  <c r="S34" i="9"/>
  <c r="T34" i="9"/>
  <c r="U34" i="9"/>
  <c r="V34" i="9"/>
  <c r="W34" i="9"/>
  <c r="X34" i="9"/>
  <c r="AG34" i="9"/>
  <c r="E35" i="9"/>
  <c r="F35" i="9"/>
  <c r="G35" i="9"/>
  <c r="H35" i="9"/>
  <c r="I35" i="9"/>
  <c r="J35" i="9"/>
  <c r="K35" i="9"/>
  <c r="L35" i="9"/>
  <c r="M35" i="9"/>
  <c r="N35" i="9"/>
  <c r="O35" i="9"/>
  <c r="P35" i="9"/>
  <c r="R35" i="9"/>
  <c r="S35" i="9"/>
  <c r="T35" i="9"/>
  <c r="U35" i="9"/>
  <c r="V35" i="9"/>
  <c r="W35" i="9"/>
  <c r="X35" i="9"/>
  <c r="AG35" i="9"/>
  <c r="E36" i="9"/>
  <c r="F36" i="9"/>
  <c r="G36" i="9"/>
  <c r="H36" i="9"/>
  <c r="I36" i="9"/>
  <c r="J36" i="9"/>
  <c r="K36" i="9"/>
  <c r="L36" i="9"/>
  <c r="M36" i="9"/>
  <c r="N36" i="9"/>
  <c r="O36" i="9"/>
  <c r="P36" i="9"/>
  <c r="R36" i="9"/>
  <c r="S36" i="9"/>
  <c r="T36" i="9"/>
  <c r="U36" i="9"/>
  <c r="V36" i="9"/>
  <c r="W36" i="9"/>
  <c r="X36" i="9"/>
  <c r="AG36" i="9"/>
  <c r="E37" i="9"/>
  <c r="F37" i="9"/>
  <c r="G37" i="9"/>
  <c r="H37" i="9"/>
  <c r="I37" i="9"/>
  <c r="J37" i="9"/>
  <c r="K37" i="9"/>
  <c r="L37" i="9"/>
  <c r="M37" i="9"/>
  <c r="N37" i="9"/>
  <c r="O37" i="9"/>
  <c r="P37" i="9"/>
  <c r="R37" i="9"/>
  <c r="S37" i="9"/>
  <c r="T37" i="9"/>
  <c r="U37" i="9"/>
  <c r="V37" i="9"/>
  <c r="W37" i="9"/>
  <c r="X37" i="9"/>
  <c r="AG37" i="9"/>
  <c r="E38" i="9"/>
  <c r="F38" i="9"/>
  <c r="G38" i="9"/>
  <c r="H38" i="9"/>
  <c r="I38" i="9"/>
  <c r="J38" i="9"/>
  <c r="K38" i="9"/>
  <c r="L38" i="9"/>
  <c r="M38" i="9"/>
  <c r="N38" i="9"/>
  <c r="O38" i="9"/>
  <c r="P38" i="9"/>
  <c r="R38" i="9"/>
  <c r="S38" i="9"/>
  <c r="T38" i="9"/>
  <c r="U38" i="9"/>
  <c r="V38" i="9"/>
  <c r="W38" i="9"/>
  <c r="X38" i="9"/>
  <c r="AG38" i="9"/>
  <c r="E39" i="9"/>
  <c r="F39" i="9"/>
  <c r="G39" i="9"/>
  <c r="H39" i="9"/>
  <c r="I39" i="9"/>
  <c r="J39" i="9"/>
  <c r="K39" i="9"/>
  <c r="L39" i="9"/>
  <c r="M39" i="9"/>
  <c r="N39" i="9"/>
  <c r="O39" i="9"/>
  <c r="P39" i="9"/>
  <c r="R39" i="9"/>
  <c r="S39" i="9"/>
  <c r="T39" i="9"/>
  <c r="U39" i="9"/>
  <c r="V39" i="9"/>
  <c r="W39" i="9"/>
  <c r="X39" i="9"/>
  <c r="AG39" i="9"/>
  <c r="E40" i="9"/>
  <c r="F40" i="9"/>
  <c r="G40" i="9"/>
  <c r="H40" i="9"/>
  <c r="I40" i="9"/>
  <c r="J40" i="9"/>
  <c r="K40" i="9"/>
  <c r="L40" i="9"/>
  <c r="M40" i="9"/>
  <c r="N40" i="9"/>
  <c r="O40" i="9"/>
  <c r="P40" i="9"/>
  <c r="R40" i="9"/>
  <c r="S40" i="9"/>
  <c r="T40" i="9"/>
  <c r="U40" i="9"/>
  <c r="V40" i="9"/>
  <c r="W40" i="9"/>
  <c r="X40" i="9"/>
  <c r="AG40" i="9"/>
  <c r="E41" i="9"/>
  <c r="F41" i="9"/>
  <c r="G41" i="9"/>
  <c r="H41" i="9"/>
  <c r="I41" i="9"/>
  <c r="J41" i="9"/>
  <c r="K41" i="9"/>
  <c r="L41" i="9"/>
  <c r="M41" i="9"/>
  <c r="N41" i="9"/>
  <c r="O41" i="9"/>
  <c r="P41" i="9"/>
  <c r="R41" i="9"/>
  <c r="S41" i="9"/>
  <c r="T41" i="9"/>
  <c r="U41" i="9"/>
  <c r="V41" i="9"/>
  <c r="W41" i="9"/>
  <c r="X41" i="9"/>
  <c r="AG41" i="9"/>
  <c r="E42" i="9"/>
  <c r="F42" i="9"/>
  <c r="G42" i="9"/>
  <c r="H42" i="9"/>
  <c r="I42" i="9"/>
  <c r="J42" i="9"/>
  <c r="K42" i="9"/>
  <c r="L42" i="9"/>
  <c r="M42" i="9"/>
  <c r="N42" i="9"/>
  <c r="O42" i="9"/>
  <c r="P42" i="9"/>
  <c r="R42" i="9"/>
  <c r="S42" i="9"/>
  <c r="T42" i="9"/>
  <c r="U42" i="9"/>
  <c r="V42" i="9"/>
  <c r="W42" i="9"/>
  <c r="X42" i="9"/>
  <c r="AG42" i="9"/>
  <c r="E43" i="9"/>
  <c r="F43" i="9"/>
  <c r="G43" i="9"/>
  <c r="H43" i="9"/>
  <c r="I43" i="9"/>
  <c r="J43" i="9"/>
  <c r="K43" i="9"/>
  <c r="L43" i="9"/>
  <c r="M43" i="9"/>
  <c r="N43" i="9"/>
  <c r="O43" i="9"/>
  <c r="P43" i="9"/>
  <c r="R43" i="9"/>
  <c r="S43" i="9"/>
  <c r="T43" i="9"/>
  <c r="U43" i="9"/>
  <c r="V43" i="9"/>
  <c r="W43" i="9"/>
  <c r="X43" i="9"/>
  <c r="AG43" i="9"/>
  <c r="E44" i="9"/>
  <c r="F44" i="9"/>
  <c r="G44" i="9"/>
  <c r="H44" i="9"/>
  <c r="I44" i="9"/>
  <c r="J44" i="9"/>
  <c r="K44" i="9"/>
  <c r="L44" i="9"/>
  <c r="M44" i="9"/>
  <c r="N44" i="9"/>
  <c r="O44" i="9"/>
  <c r="P44" i="9"/>
  <c r="R44" i="9"/>
  <c r="S44" i="9"/>
  <c r="T44" i="9"/>
  <c r="U44" i="9"/>
  <c r="V44" i="9"/>
  <c r="W44" i="9"/>
  <c r="X44" i="9"/>
  <c r="AG44" i="9"/>
  <c r="E45" i="9"/>
  <c r="F45" i="9"/>
  <c r="G45" i="9"/>
  <c r="H45" i="9"/>
  <c r="I45" i="9"/>
  <c r="J45" i="9"/>
  <c r="K45" i="9"/>
  <c r="L45" i="9"/>
  <c r="M45" i="9"/>
  <c r="N45" i="9"/>
  <c r="O45" i="9"/>
  <c r="P45" i="9"/>
  <c r="R45" i="9"/>
  <c r="S45" i="9"/>
  <c r="T45" i="9"/>
  <c r="U45" i="9"/>
  <c r="V45" i="9"/>
  <c r="W45" i="9"/>
  <c r="X45" i="9"/>
  <c r="AG45" i="9"/>
  <c r="E46" i="9"/>
  <c r="F46" i="9"/>
  <c r="G46" i="9"/>
  <c r="H46" i="9"/>
  <c r="I46" i="9"/>
  <c r="J46" i="9"/>
  <c r="K46" i="9"/>
  <c r="L46" i="9"/>
  <c r="M46" i="9"/>
  <c r="N46" i="9"/>
  <c r="O46" i="9"/>
  <c r="P46" i="9"/>
  <c r="R46" i="9"/>
  <c r="S46" i="9"/>
  <c r="T46" i="9"/>
  <c r="U46" i="9"/>
  <c r="V46" i="9"/>
  <c r="W46" i="9"/>
  <c r="X46" i="9"/>
  <c r="AG46" i="9"/>
  <c r="E47" i="9"/>
  <c r="F47" i="9"/>
  <c r="G47" i="9"/>
  <c r="H47" i="9"/>
  <c r="I47" i="9"/>
  <c r="J47" i="9"/>
  <c r="K47" i="9"/>
  <c r="L47" i="9"/>
  <c r="M47" i="9"/>
  <c r="N47" i="9"/>
  <c r="O47" i="9"/>
  <c r="P47" i="9"/>
  <c r="R47" i="9"/>
  <c r="S47" i="9"/>
  <c r="T47" i="9"/>
  <c r="U47" i="9"/>
  <c r="V47" i="9"/>
  <c r="W47" i="9"/>
  <c r="X47" i="9"/>
  <c r="AG47" i="9"/>
  <c r="AG2" i="8"/>
  <c r="AG3" i="8"/>
  <c r="E6" i="8"/>
  <c r="F6" i="8"/>
  <c r="G6" i="8"/>
  <c r="H6" i="8"/>
  <c r="I6" i="8"/>
  <c r="J6" i="8"/>
  <c r="K6" i="8"/>
  <c r="L6" i="8"/>
  <c r="M6" i="8"/>
  <c r="N6" i="8"/>
  <c r="O6" i="8"/>
  <c r="P6" i="8"/>
  <c r="Q6" i="8"/>
  <c r="R6" i="8"/>
  <c r="S6" i="8"/>
  <c r="T6" i="8"/>
  <c r="U6" i="8"/>
  <c r="V6" i="8"/>
  <c r="W6" i="8"/>
  <c r="X6" i="8"/>
  <c r="AG6" i="8"/>
  <c r="E7" i="8"/>
  <c r="F7" i="8"/>
  <c r="G7" i="8"/>
  <c r="H7" i="8"/>
  <c r="I7" i="8"/>
  <c r="J7" i="8"/>
  <c r="K7" i="8"/>
  <c r="L7" i="8"/>
  <c r="M7" i="8"/>
  <c r="N7" i="8"/>
  <c r="O7" i="8"/>
  <c r="P7" i="8"/>
  <c r="Q7" i="8"/>
  <c r="R7" i="8"/>
  <c r="S7" i="8"/>
  <c r="T7" i="8"/>
  <c r="U7" i="8"/>
  <c r="V7" i="8"/>
  <c r="W7" i="8"/>
  <c r="X7" i="8"/>
  <c r="AG7" i="8"/>
  <c r="E8" i="8"/>
  <c r="F8" i="8"/>
  <c r="G8" i="8"/>
  <c r="H8" i="8"/>
  <c r="I8" i="8"/>
  <c r="J8" i="8"/>
  <c r="K8" i="8"/>
  <c r="L8" i="8"/>
  <c r="M8" i="8"/>
  <c r="N8" i="8"/>
  <c r="O8" i="8"/>
  <c r="P8" i="8"/>
  <c r="Q8" i="8"/>
  <c r="R8" i="8"/>
  <c r="S8" i="8"/>
  <c r="T8" i="8"/>
  <c r="U8" i="8"/>
  <c r="V8" i="8"/>
  <c r="W8" i="8"/>
  <c r="X8" i="8"/>
  <c r="AG8" i="8"/>
  <c r="E9" i="8"/>
  <c r="F9" i="8"/>
  <c r="G9" i="8"/>
  <c r="H9" i="8"/>
  <c r="I9" i="8"/>
  <c r="J9" i="8"/>
  <c r="K9" i="8"/>
  <c r="L9" i="8"/>
  <c r="M9" i="8"/>
  <c r="N9" i="8"/>
  <c r="O9" i="8"/>
  <c r="P9" i="8"/>
  <c r="Q9" i="8"/>
  <c r="R9" i="8"/>
  <c r="S9" i="8"/>
  <c r="T9" i="8"/>
  <c r="U9" i="8"/>
  <c r="V9" i="8"/>
  <c r="W9" i="8"/>
  <c r="X9" i="8"/>
  <c r="AG9" i="8"/>
  <c r="E10" i="8"/>
  <c r="F10" i="8"/>
  <c r="G10" i="8"/>
  <c r="H10" i="8"/>
  <c r="I10" i="8"/>
  <c r="J10" i="8"/>
  <c r="K10" i="8"/>
  <c r="L10" i="8"/>
  <c r="M10" i="8"/>
  <c r="N10" i="8"/>
  <c r="O10" i="8"/>
  <c r="P10" i="8"/>
  <c r="Q10" i="8"/>
  <c r="R10" i="8"/>
  <c r="S10" i="8"/>
  <c r="T10" i="8"/>
  <c r="U10" i="8"/>
  <c r="V10" i="8"/>
  <c r="W10" i="8"/>
  <c r="X10" i="8"/>
  <c r="AG10" i="8"/>
  <c r="E11" i="8"/>
  <c r="F11" i="8"/>
  <c r="G11" i="8"/>
  <c r="H11" i="8"/>
  <c r="I11" i="8"/>
  <c r="J11" i="8"/>
  <c r="K11" i="8"/>
  <c r="L11" i="8"/>
  <c r="M11" i="8"/>
  <c r="N11" i="8"/>
  <c r="O11" i="8"/>
  <c r="P11" i="8"/>
  <c r="Q11" i="8"/>
  <c r="R11" i="8"/>
  <c r="S11" i="8"/>
  <c r="T11" i="8"/>
  <c r="U11" i="8"/>
  <c r="V11" i="8"/>
  <c r="W11" i="8"/>
  <c r="X11" i="8"/>
  <c r="AG11" i="8"/>
  <c r="E12" i="8"/>
  <c r="F12" i="8"/>
  <c r="G12" i="8"/>
  <c r="H12" i="8"/>
  <c r="I12" i="8"/>
  <c r="J12" i="8"/>
  <c r="K12" i="8"/>
  <c r="L12" i="8"/>
  <c r="M12" i="8"/>
  <c r="N12" i="8"/>
  <c r="O12" i="8"/>
  <c r="P12" i="8"/>
  <c r="Q12" i="8"/>
  <c r="R12" i="8"/>
  <c r="S12" i="8"/>
  <c r="T12" i="8"/>
  <c r="U12" i="8"/>
  <c r="V12" i="8"/>
  <c r="W12" i="8"/>
  <c r="X12" i="8"/>
  <c r="AG12" i="8"/>
  <c r="E13" i="8"/>
  <c r="F13" i="8"/>
  <c r="G13" i="8"/>
  <c r="H13" i="8"/>
  <c r="I13" i="8"/>
  <c r="J13" i="8"/>
  <c r="K13" i="8"/>
  <c r="L13" i="8"/>
  <c r="M13" i="8"/>
  <c r="N13" i="8"/>
  <c r="O13" i="8"/>
  <c r="P13" i="8"/>
  <c r="Q13" i="8"/>
  <c r="R13" i="8"/>
  <c r="S13" i="8"/>
  <c r="T13" i="8"/>
  <c r="U13" i="8"/>
  <c r="V13" i="8"/>
  <c r="W13" i="8"/>
  <c r="X13" i="8"/>
  <c r="AG13" i="8"/>
  <c r="E14" i="8"/>
  <c r="F14" i="8"/>
  <c r="G14" i="8"/>
  <c r="H14" i="8"/>
  <c r="I14" i="8"/>
  <c r="J14" i="8"/>
  <c r="K14" i="8"/>
  <c r="L14" i="8"/>
  <c r="M14" i="8"/>
  <c r="N14" i="8"/>
  <c r="O14" i="8"/>
  <c r="P14" i="8"/>
  <c r="Q14" i="8"/>
  <c r="R14" i="8"/>
  <c r="S14" i="8"/>
  <c r="T14" i="8"/>
  <c r="U14" i="8"/>
  <c r="V14" i="8"/>
  <c r="W14" i="8"/>
  <c r="X14" i="8"/>
  <c r="AG14" i="8"/>
  <c r="E15" i="8"/>
  <c r="F15" i="8"/>
  <c r="G15" i="8"/>
  <c r="H15" i="8"/>
  <c r="I15" i="8"/>
  <c r="J15" i="8"/>
  <c r="K15" i="8"/>
  <c r="L15" i="8"/>
  <c r="M15" i="8"/>
  <c r="N15" i="8"/>
  <c r="O15" i="8"/>
  <c r="P15" i="8"/>
  <c r="Q15" i="8"/>
  <c r="R15" i="8"/>
  <c r="S15" i="8"/>
  <c r="T15" i="8"/>
  <c r="U15" i="8"/>
  <c r="V15" i="8"/>
  <c r="W15" i="8"/>
  <c r="X15" i="8"/>
  <c r="AG15" i="8"/>
  <c r="E16" i="8"/>
  <c r="F16" i="8"/>
  <c r="G16" i="8"/>
  <c r="H16" i="8"/>
  <c r="I16" i="8"/>
  <c r="J16" i="8"/>
  <c r="K16" i="8"/>
  <c r="L16" i="8"/>
  <c r="M16" i="8"/>
  <c r="N16" i="8"/>
  <c r="O16" i="8"/>
  <c r="P16" i="8"/>
  <c r="Q16" i="8"/>
  <c r="R16" i="8"/>
  <c r="S16" i="8"/>
  <c r="T16" i="8"/>
  <c r="U16" i="8"/>
  <c r="V16" i="8"/>
  <c r="W16" i="8"/>
  <c r="X16" i="8"/>
  <c r="AG16" i="8"/>
  <c r="E17" i="8"/>
  <c r="F17" i="8"/>
  <c r="G17" i="8"/>
  <c r="H17" i="8"/>
  <c r="I17" i="8"/>
  <c r="J17" i="8"/>
  <c r="K17" i="8"/>
  <c r="L17" i="8"/>
  <c r="M17" i="8"/>
  <c r="N17" i="8"/>
  <c r="O17" i="8"/>
  <c r="P17" i="8"/>
  <c r="Q17" i="8"/>
  <c r="R17" i="8"/>
  <c r="S17" i="8"/>
  <c r="T17" i="8"/>
  <c r="U17" i="8"/>
  <c r="V17" i="8"/>
  <c r="W17" i="8"/>
  <c r="X17" i="8"/>
  <c r="AG17" i="8"/>
  <c r="E18" i="8"/>
  <c r="F18" i="8"/>
  <c r="G18" i="8"/>
  <c r="H18" i="8"/>
  <c r="I18" i="8"/>
  <c r="J18" i="8"/>
  <c r="K18" i="8"/>
  <c r="L18" i="8"/>
  <c r="M18" i="8"/>
  <c r="N18" i="8"/>
  <c r="O18" i="8"/>
  <c r="P18" i="8"/>
  <c r="Q18" i="8"/>
  <c r="R18" i="8"/>
  <c r="S18" i="8"/>
  <c r="T18" i="8"/>
  <c r="U18" i="8"/>
  <c r="V18" i="8"/>
  <c r="W18" i="8"/>
  <c r="X18" i="8"/>
  <c r="AG18" i="8"/>
  <c r="E19" i="8"/>
  <c r="F19" i="8"/>
  <c r="G19" i="8"/>
  <c r="H19" i="8"/>
  <c r="I19" i="8"/>
  <c r="J19" i="8"/>
  <c r="K19" i="8"/>
  <c r="L19" i="8"/>
  <c r="M19" i="8"/>
  <c r="N19" i="8"/>
  <c r="O19" i="8"/>
  <c r="P19" i="8"/>
  <c r="Q19" i="8"/>
  <c r="R19" i="8"/>
  <c r="S19" i="8"/>
  <c r="T19" i="8"/>
  <c r="U19" i="8"/>
  <c r="V19" i="8"/>
  <c r="W19" i="8"/>
  <c r="X19" i="8"/>
  <c r="AG19" i="8"/>
  <c r="E20" i="8"/>
  <c r="F20" i="8"/>
  <c r="G20" i="8"/>
  <c r="H20" i="8"/>
  <c r="I20" i="8"/>
  <c r="J20" i="8"/>
  <c r="K20" i="8"/>
  <c r="L20" i="8"/>
  <c r="M20" i="8"/>
  <c r="N20" i="8"/>
  <c r="O20" i="8"/>
  <c r="P20" i="8"/>
  <c r="Q20" i="8"/>
  <c r="R20" i="8"/>
  <c r="S20" i="8"/>
  <c r="T20" i="8"/>
  <c r="U20" i="8"/>
  <c r="V20" i="8"/>
  <c r="W20" i="8"/>
  <c r="X20" i="8"/>
  <c r="AG20" i="8"/>
  <c r="E21" i="8"/>
  <c r="F21" i="8"/>
  <c r="G21" i="8"/>
  <c r="H21" i="8"/>
  <c r="I21" i="8"/>
  <c r="J21" i="8"/>
  <c r="K21" i="8"/>
  <c r="L21" i="8"/>
  <c r="M21" i="8"/>
  <c r="N21" i="8"/>
  <c r="O21" i="8"/>
  <c r="P21" i="8"/>
  <c r="Q21" i="8"/>
  <c r="R21" i="8"/>
  <c r="S21" i="8"/>
  <c r="T21" i="8"/>
  <c r="U21" i="8"/>
  <c r="V21" i="8"/>
  <c r="W21" i="8"/>
  <c r="X21" i="8"/>
  <c r="AG21" i="8"/>
  <c r="E22" i="8"/>
  <c r="F22" i="8"/>
  <c r="G22" i="8"/>
  <c r="H22" i="8"/>
  <c r="I22" i="8"/>
  <c r="J22" i="8"/>
  <c r="K22" i="8"/>
  <c r="L22" i="8"/>
  <c r="M22" i="8"/>
  <c r="N22" i="8"/>
  <c r="O22" i="8"/>
  <c r="P22" i="8"/>
  <c r="Q22" i="8"/>
  <c r="R22" i="8"/>
  <c r="S22" i="8"/>
  <c r="T22" i="8"/>
  <c r="U22" i="8"/>
  <c r="V22" i="8"/>
  <c r="W22" i="8"/>
  <c r="X22" i="8"/>
  <c r="AG22" i="8"/>
  <c r="E23" i="8"/>
  <c r="F23" i="8"/>
  <c r="G23" i="8"/>
  <c r="H23" i="8"/>
  <c r="I23" i="8"/>
  <c r="J23" i="8"/>
  <c r="K23" i="8"/>
  <c r="L23" i="8"/>
  <c r="M23" i="8"/>
  <c r="N23" i="8"/>
  <c r="O23" i="8"/>
  <c r="P23" i="8"/>
  <c r="Q23" i="8"/>
  <c r="R23" i="8"/>
  <c r="S23" i="8"/>
  <c r="T23" i="8"/>
  <c r="U23" i="8"/>
  <c r="V23" i="8"/>
  <c r="W23" i="8"/>
  <c r="X23" i="8"/>
  <c r="AG23" i="8"/>
  <c r="E24" i="8"/>
  <c r="F24" i="8"/>
  <c r="G24" i="8"/>
  <c r="H24" i="8"/>
  <c r="I24" i="8"/>
  <c r="J24" i="8"/>
  <c r="K24" i="8"/>
  <c r="L24" i="8"/>
  <c r="M24" i="8"/>
  <c r="N24" i="8"/>
  <c r="O24" i="8"/>
  <c r="P24" i="8"/>
  <c r="Q24" i="8"/>
  <c r="R24" i="8"/>
  <c r="S24" i="8"/>
  <c r="T24" i="8"/>
  <c r="U24" i="8"/>
  <c r="V24" i="8"/>
  <c r="W24" i="8"/>
  <c r="X24" i="8"/>
  <c r="AG24" i="8"/>
  <c r="E25" i="8"/>
  <c r="F25" i="8"/>
  <c r="G25" i="8"/>
  <c r="H25" i="8"/>
  <c r="I25" i="8"/>
  <c r="J25" i="8"/>
  <c r="K25" i="8"/>
  <c r="L25" i="8"/>
  <c r="M25" i="8"/>
  <c r="N25" i="8"/>
  <c r="O25" i="8"/>
  <c r="P25" i="8"/>
  <c r="Q25" i="8"/>
  <c r="R25" i="8"/>
  <c r="S25" i="8"/>
  <c r="T25" i="8"/>
  <c r="U25" i="8"/>
  <c r="V25" i="8"/>
  <c r="W25" i="8"/>
  <c r="X25" i="8"/>
  <c r="AG25" i="8"/>
  <c r="E26" i="8"/>
  <c r="F26" i="8"/>
  <c r="G26" i="8"/>
  <c r="H26" i="8"/>
  <c r="I26" i="8"/>
  <c r="J26" i="8"/>
  <c r="K26" i="8"/>
  <c r="L26" i="8"/>
  <c r="M26" i="8"/>
  <c r="N26" i="8"/>
  <c r="O26" i="8"/>
  <c r="P26" i="8"/>
  <c r="Q26" i="8"/>
  <c r="R26" i="8"/>
  <c r="S26" i="8"/>
  <c r="T26" i="8"/>
  <c r="U26" i="8"/>
  <c r="V26" i="8"/>
  <c r="W26" i="8"/>
  <c r="X26" i="8"/>
  <c r="AG26" i="8"/>
  <c r="Q27" i="8"/>
  <c r="R27" i="8"/>
  <c r="S27" i="8"/>
  <c r="T27" i="8"/>
  <c r="U27" i="8"/>
  <c r="V27" i="8"/>
  <c r="W27" i="8"/>
  <c r="X27" i="8"/>
  <c r="AG27" i="8"/>
  <c r="Q28" i="8"/>
  <c r="R28" i="8"/>
  <c r="S28" i="8"/>
  <c r="T28" i="8"/>
  <c r="U28" i="8"/>
  <c r="V28" i="8"/>
  <c r="W28" i="8"/>
  <c r="X28" i="8"/>
  <c r="AG28" i="8"/>
  <c r="Q29" i="8"/>
  <c r="R29" i="8"/>
  <c r="S29" i="8"/>
  <c r="T29" i="8"/>
  <c r="U29" i="8"/>
  <c r="V29" i="8"/>
  <c r="W29" i="8"/>
  <c r="X29" i="8"/>
  <c r="AG29" i="8"/>
  <c r="Q30" i="8"/>
  <c r="R30" i="8"/>
  <c r="S30" i="8"/>
  <c r="T30" i="8"/>
  <c r="U30" i="8"/>
  <c r="V30" i="8"/>
  <c r="W30" i="8"/>
  <c r="X30" i="8"/>
  <c r="AG30" i="8"/>
  <c r="Q31" i="8"/>
  <c r="R31" i="8"/>
  <c r="S31" i="8"/>
  <c r="T31" i="8"/>
  <c r="U31" i="8"/>
  <c r="V31" i="8"/>
  <c r="W31" i="8"/>
  <c r="X31" i="8"/>
  <c r="AG31" i="8"/>
  <c r="Q32" i="8"/>
  <c r="R32" i="8"/>
  <c r="S32" i="8"/>
  <c r="T32" i="8"/>
  <c r="U32" i="8"/>
  <c r="V32" i="8"/>
  <c r="W32" i="8"/>
  <c r="X32" i="8"/>
  <c r="AG32" i="8"/>
  <c r="Q33" i="8"/>
  <c r="R33" i="8"/>
  <c r="S33" i="8"/>
  <c r="T33" i="8"/>
  <c r="U33" i="8"/>
  <c r="V33" i="8"/>
  <c r="W33" i="8"/>
  <c r="X33" i="8"/>
  <c r="AG33" i="8"/>
  <c r="E34" i="8"/>
  <c r="F34" i="8"/>
  <c r="G34" i="8"/>
  <c r="H34" i="8"/>
  <c r="I34" i="8"/>
  <c r="J34" i="8"/>
  <c r="K34" i="8"/>
  <c r="L34" i="8"/>
  <c r="M34" i="8"/>
  <c r="N34" i="8"/>
  <c r="O34" i="8"/>
  <c r="P34" i="8"/>
  <c r="Q34" i="8"/>
  <c r="R34" i="8"/>
  <c r="S34" i="8"/>
  <c r="T34" i="8"/>
  <c r="U34" i="8"/>
  <c r="V34" i="8"/>
  <c r="W34" i="8"/>
  <c r="X34" i="8"/>
  <c r="AG34" i="8"/>
  <c r="E35" i="8"/>
  <c r="F35" i="8"/>
  <c r="G35" i="8"/>
  <c r="H35" i="8"/>
  <c r="I35" i="8"/>
  <c r="J35" i="8"/>
  <c r="K35" i="8"/>
  <c r="L35" i="8"/>
  <c r="M35" i="8"/>
  <c r="N35" i="8"/>
  <c r="O35" i="8"/>
  <c r="P35" i="8"/>
  <c r="Q35" i="8"/>
  <c r="R35" i="8"/>
  <c r="S35" i="8"/>
  <c r="T35" i="8"/>
  <c r="U35" i="8"/>
  <c r="V35" i="8"/>
  <c r="W35" i="8"/>
  <c r="X35" i="8"/>
  <c r="AG35" i="8"/>
  <c r="E36" i="8"/>
  <c r="F36" i="8"/>
  <c r="G36" i="8"/>
  <c r="H36" i="8"/>
  <c r="I36" i="8"/>
  <c r="J36" i="8"/>
  <c r="K36" i="8"/>
  <c r="L36" i="8"/>
  <c r="M36" i="8"/>
  <c r="N36" i="8"/>
  <c r="O36" i="8"/>
  <c r="P36" i="8"/>
  <c r="Q36" i="8"/>
  <c r="R36" i="8"/>
  <c r="S36" i="8"/>
  <c r="T36" i="8"/>
  <c r="U36" i="8"/>
  <c r="V36" i="8"/>
  <c r="W36" i="8"/>
  <c r="X36" i="8"/>
  <c r="AG36" i="8"/>
  <c r="E37" i="8"/>
  <c r="F37" i="8"/>
  <c r="G37" i="8"/>
  <c r="H37" i="8"/>
  <c r="I37" i="8"/>
  <c r="J37" i="8"/>
  <c r="K37" i="8"/>
  <c r="L37" i="8"/>
  <c r="M37" i="8"/>
  <c r="N37" i="8"/>
  <c r="O37" i="8"/>
  <c r="P37" i="8"/>
  <c r="Q37" i="8"/>
  <c r="R37" i="8"/>
  <c r="S37" i="8"/>
  <c r="T37" i="8"/>
  <c r="U37" i="8"/>
  <c r="V37" i="8"/>
  <c r="W37" i="8"/>
  <c r="X37" i="8"/>
  <c r="AG37" i="8"/>
  <c r="E38" i="8"/>
  <c r="F38" i="8"/>
  <c r="G38" i="8"/>
  <c r="H38" i="8"/>
  <c r="I38" i="8"/>
  <c r="J38" i="8"/>
  <c r="K38" i="8"/>
  <c r="L38" i="8"/>
  <c r="M38" i="8"/>
  <c r="N38" i="8"/>
  <c r="O38" i="8"/>
  <c r="P38" i="8"/>
  <c r="Q38" i="8"/>
  <c r="R38" i="8"/>
  <c r="S38" i="8"/>
  <c r="T38" i="8"/>
  <c r="U38" i="8"/>
  <c r="V38" i="8"/>
  <c r="W38" i="8"/>
  <c r="X38" i="8"/>
  <c r="AG38" i="8"/>
  <c r="E39" i="8"/>
  <c r="F39" i="8"/>
  <c r="G39" i="8"/>
  <c r="H39" i="8"/>
  <c r="I39" i="8"/>
  <c r="J39" i="8"/>
  <c r="K39" i="8"/>
  <c r="L39" i="8"/>
  <c r="M39" i="8"/>
  <c r="N39" i="8"/>
  <c r="O39" i="8"/>
  <c r="P39" i="8"/>
  <c r="Q39" i="8"/>
  <c r="R39" i="8"/>
  <c r="S39" i="8"/>
  <c r="T39" i="8"/>
  <c r="U39" i="8"/>
  <c r="V39" i="8"/>
  <c r="W39" i="8"/>
  <c r="X39" i="8"/>
  <c r="AG39" i="8"/>
  <c r="E40" i="8"/>
  <c r="F40" i="8"/>
  <c r="G40" i="8"/>
  <c r="H40" i="8"/>
  <c r="I40" i="8"/>
  <c r="J40" i="8"/>
  <c r="K40" i="8"/>
  <c r="L40" i="8"/>
  <c r="M40" i="8"/>
  <c r="N40" i="8"/>
  <c r="O40" i="8"/>
  <c r="P40" i="8"/>
  <c r="Q40" i="8"/>
  <c r="R40" i="8"/>
  <c r="S40" i="8"/>
  <c r="T40" i="8"/>
  <c r="U40" i="8"/>
  <c r="V40" i="8"/>
  <c r="W40" i="8"/>
  <c r="X40" i="8"/>
  <c r="AG40" i="8"/>
  <c r="E41" i="8"/>
  <c r="F41" i="8"/>
  <c r="G41" i="8"/>
  <c r="H41" i="8"/>
  <c r="I41" i="8"/>
  <c r="J41" i="8"/>
  <c r="K41" i="8"/>
  <c r="L41" i="8"/>
  <c r="M41" i="8"/>
  <c r="N41" i="8"/>
  <c r="O41" i="8"/>
  <c r="P41" i="8"/>
  <c r="Q41" i="8"/>
  <c r="R41" i="8"/>
  <c r="S41" i="8"/>
  <c r="T41" i="8"/>
  <c r="U41" i="8"/>
  <c r="V41" i="8"/>
  <c r="W41" i="8"/>
  <c r="X41" i="8"/>
  <c r="AG41" i="8"/>
  <c r="E42" i="8"/>
  <c r="F42" i="8"/>
  <c r="G42" i="8"/>
  <c r="H42" i="8"/>
  <c r="I42" i="8"/>
  <c r="J42" i="8"/>
  <c r="K42" i="8"/>
  <c r="L42" i="8"/>
  <c r="M42" i="8"/>
  <c r="N42" i="8"/>
  <c r="O42" i="8"/>
  <c r="P42" i="8"/>
  <c r="Q42" i="8"/>
  <c r="R42" i="8"/>
  <c r="S42" i="8"/>
  <c r="T42" i="8"/>
  <c r="U42" i="8"/>
  <c r="V42" i="8"/>
  <c r="W42" i="8"/>
  <c r="X42" i="8"/>
  <c r="AG42" i="8"/>
  <c r="E43" i="8"/>
  <c r="F43" i="8"/>
  <c r="G43" i="8"/>
  <c r="H43" i="8"/>
  <c r="I43" i="8"/>
  <c r="J43" i="8"/>
  <c r="K43" i="8"/>
  <c r="L43" i="8"/>
  <c r="M43" i="8"/>
  <c r="N43" i="8"/>
  <c r="O43" i="8"/>
  <c r="P43" i="8"/>
  <c r="Q43" i="8"/>
  <c r="R43" i="8"/>
  <c r="S43" i="8"/>
  <c r="T43" i="8"/>
  <c r="U43" i="8"/>
  <c r="V43" i="8"/>
  <c r="W43" i="8"/>
  <c r="X43" i="8"/>
  <c r="AG43" i="8"/>
  <c r="E44" i="8"/>
  <c r="F44" i="8"/>
  <c r="G44" i="8"/>
  <c r="H44" i="8"/>
  <c r="I44" i="8"/>
  <c r="J44" i="8"/>
  <c r="K44" i="8"/>
  <c r="L44" i="8"/>
  <c r="M44" i="8"/>
  <c r="N44" i="8"/>
  <c r="O44" i="8"/>
  <c r="P44" i="8"/>
  <c r="Q44" i="8"/>
  <c r="R44" i="8"/>
  <c r="S44" i="8"/>
  <c r="T44" i="8"/>
  <c r="U44" i="8"/>
  <c r="V44" i="8"/>
  <c r="W44" i="8"/>
  <c r="X44" i="8"/>
  <c r="AG44" i="8"/>
  <c r="E45" i="8"/>
  <c r="F45" i="8"/>
  <c r="G45" i="8"/>
  <c r="H45" i="8"/>
  <c r="I45" i="8"/>
  <c r="J45" i="8"/>
  <c r="K45" i="8"/>
  <c r="L45" i="8"/>
  <c r="M45" i="8"/>
  <c r="N45" i="8"/>
  <c r="O45" i="8"/>
  <c r="P45" i="8"/>
  <c r="Q45" i="8"/>
  <c r="R45" i="8"/>
  <c r="S45" i="8"/>
  <c r="T45" i="8"/>
  <c r="U45" i="8"/>
  <c r="V45" i="8"/>
  <c r="W45" i="8"/>
  <c r="X45" i="8"/>
  <c r="AG45" i="8"/>
  <c r="E46" i="8"/>
  <c r="F46" i="8"/>
  <c r="G46" i="8"/>
  <c r="H46" i="8"/>
  <c r="I46" i="8"/>
  <c r="J46" i="8"/>
  <c r="K46" i="8"/>
  <c r="L46" i="8"/>
  <c r="M46" i="8"/>
  <c r="N46" i="8"/>
  <c r="O46" i="8"/>
  <c r="P46" i="8"/>
  <c r="Q46" i="8"/>
  <c r="R46" i="8"/>
  <c r="S46" i="8"/>
  <c r="T46" i="8"/>
  <c r="U46" i="8"/>
  <c r="V46" i="8"/>
  <c r="W46" i="8"/>
  <c r="X46" i="8"/>
  <c r="AG46" i="8"/>
  <c r="E47" i="8"/>
  <c r="F47" i="8"/>
  <c r="G47" i="8"/>
  <c r="H47" i="8"/>
  <c r="I47" i="8"/>
  <c r="J47" i="8"/>
  <c r="K47" i="8"/>
  <c r="L47" i="8"/>
  <c r="M47" i="8"/>
  <c r="N47" i="8"/>
  <c r="O47" i="8"/>
  <c r="P47" i="8"/>
  <c r="Q47" i="8"/>
  <c r="R47" i="8"/>
  <c r="S47" i="8"/>
  <c r="T47" i="8"/>
  <c r="U47" i="8"/>
  <c r="V47" i="8"/>
  <c r="W47" i="8"/>
  <c r="X47" i="8"/>
  <c r="AG47" i="8"/>
  <c r="AG2" i="11"/>
  <c r="AG3" i="11"/>
  <c r="E6" i="11"/>
  <c r="F6" i="11"/>
  <c r="G6" i="11"/>
  <c r="H6" i="11"/>
  <c r="I6" i="11"/>
  <c r="J6" i="11"/>
  <c r="K6" i="11"/>
  <c r="L6" i="11"/>
  <c r="M6" i="11"/>
  <c r="N6" i="11"/>
  <c r="O6" i="11"/>
  <c r="P6" i="11"/>
  <c r="Q6" i="11"/>
  <c r="R6" i="11"/>
  <c r="S6" i="11"/>
  <c r="T6" i="11"/>
  <c r="T6" i="62" s="1"/>
  <c r="U6" i="11"/>
  <c r="V6" i="11"/>
  <c r="W6" i="11"/>
  <c r="X6" i="11"/>
  <c r="X6" i="62" s="1"/>
  <c r="E7" i="11"/>
  <c r="F7" i="11"/>
  <c r="G7" i="11"/>
  <c r="H7" i="11"/>
  <c r="I7" i="11"/>
  <c r="J7" i="11"/>
  <c r="K7" i="11"/>
  <c r="K7" i="62" s="1"/>
  <c r="L7" i="11"/>
  <c r="M7" i="11"/>
  <c r="M7" i="62" s="1"/>
  <c r="N7" i="11"/>
  <c r="N7" i="62" s="1"/>
  <c r="O7" i="11"/>
  <c r="O7" i="62" s="1"/>
  <c r="P7" i="11"/>
  <c r="P7" i="62" s="1"/>
  <c r="Q7" i="11"/>
  <c r="Q7" i="62" s="1"/>
  <c r="R7" i="11"/>
  <c r="R7" i="62" s="1"/>
  <c r="S7" i="11"/>
  <c r="S7" i="62" s="1"/>
  <c r="T7" i="11"/>
  <c r="T7" i="62" s="1"/>
  <c r="U7" i="11"/>
  <c r="U7" i="62" s="1"/>
  <c r="V7" i="11"/>
  <c r="V7" i="62" s="1"/>
  <c r="W7" i="11"/>
  <c r="W7" i="62" s="1"/>
  <c r="X7" i="11"/>
  <c r="X7" i="62" s="1"/>
  <c r="E8" i="11"/>
  <c r="F8" i="11"/>
  <c r="G8" i="11"/>
  <c r="G8" i="62" s="1"/>
  <c r="H8" i="11"/>
  <c r="I8" i="11"/>
  <c r="I8" i="62" s="1"/>
  <c r="J8" i="11"/>
  <c r="J8" i="62" s="1"/>
  <c r="K8" i="11"/>
  <c r="K8" i="62" s="1"/>
  <c r="L8" i="11"/>
  <c r="M8" i="11"/>
  <c r="M8" i="62" s="1"/>
  <c r="N8" i="11"/>
  <c r="N8" i="62" s="1"/>
  <c r="O8" i="11"/>
  <c r="O8" i="62" s="1"/>
  <c r="P8" i="11"/>
  <c r="Q8" i="11"/>
  <c r="Q8" i="62" s="1"/>
  <c r="R8" i="11"/>
  <c r="R8" i="62" s="1"/>
  <c r="S8" i="11"/>
  <c r="S8" i="62" s="1"/>
  <c r="T8" i="11"/>
  <c r="T8" i="62" s="1"/>
  <c r="U8" i="11"/>
  <c r="U8" i="62" s="1"/>
  <c r="V8" i="11"/>
  <c r="V8" i="62" s="1"/>
  <c r="W8" i="11"/>
  <c r="W8" i="62" s="1"/>
  <c r="X8" i="11"/>
  <c r="X8" i="62" s="1"/>
  <c r="E9" i="11"/>
  <c r="F9" i="11"/>
  <c r="G9" i="11"/>
  <c r="H9" i="11"/>
  <c r="I9" i="11"/>
  <c r="I9" i="62" s="1"/>
  <c r="J9" i="11"/>
  <c r="K9" i="11"/>
  <c r="K9" i="62" s="1"/>
  <c r="L9" i="11"/>
  <c r="L9" i="62" s="1"/>
  <c r="M9" i="11"/>
  <c r="N9" i="11"/>
  <c r="O9" i="11"/>
  <c r="P9" i="11"/>
  <c r="P9" i="62" s="1"/>
  <c r="Q9" i="11"/>
  <c r="Q9" i="62" s="1"/>
  <c r="R9" i="11"/>
  <c r="R9" i="62" s="1"/>
  <c r="S9" i="11"/>
  <c r="S9" i="62" s="1"/>
  <c r="T9" i="11"/>
  <c r="T9" i="62" s="1"/>
  <c r="U9" i="11"/>
  <c r="U9" i="62" s="1"/>
  <c r="V9" i="11"/>
  <c r="V9" i="62" s="1"/>
  <c r="W9" i="11"/>
  <c r="W9" i="62" s="1"/>
  <c r="X9" i="11"/>
  <c r="X9" i="62" s="1"/>
  <c r="F10" i="11"/>
  <c r="G10" i="11"/>
  <c r="H10" i="11"/>
  <c r="I10" i="11"/>
  <c r="I10" i="62" s="1"/>
  <c r="J10" i="11"/>
  <c r="K10" i="11"/>
  <c r="L10" i="11"/>
  <c r="L10" i="62" s="1"/>
  <c r="M10" i="11"/>
  <c r="N10" i="11"/>
  <c r="N10" i="62" s="1"/>
  <c r="O10" i="11"/>
  <c r="O10" i="62" s="1"/>
  <c r="P10" i="11"/>
  <c r="P10" i="62" s="1"/>
  <c r="Q10" i="11"/>
  <c r="Q10" i="62" s="1"/>
  <c r="R10" i="11"/>
  <c r="R10" i="62" s="1"/>
  <c r="S10" i="11"/>
  <c r="S10" i="62" s="1"/>
  <c r="T10" i="11"/>
  <c r="T10" i="62" s="1"/>
  <c r="U10" i="11"/>
  <c r="U10" i="62" s="1"/>
  <c r="V10" i="11"/>
  <c r="V10" i="62" s="1"/>
  <c r="W10" i="11"/>
  <c r="W10" i="62" s="1"/>
  <c r="X10" i="11"/>
  <c r="X10" i="62" s="1"/>
  <c r="E11" i="11"/>
  <c r="F11" i="11"/>
  <c r="G11" i="11"/>
  <c r="H11" i="11"/>
  <c r="I11" i="11"/>
  <c r="J11" i="11"/>
  <c r="K11" i="11"/>
  <c r="L11" i="11"/>
  <c r="M11" i="11"/>
  <c r="M11" i="62" s="1"/>
  <c r="N11" i="11"/>
  <c r="O11" i="11"/>
  <c r="P11" i="11"/>
  <c r="Q11" i="11"/>
  <c r="Q11" i="62" s="1"/>
  <c r="R11" i="11"/>
  <c r="R11" i="62" s="1"/>
  <c r="S11" i="11"/>
  <c r="S11" i="62" s="1"/>
  <c r="T11" i="11"/>
  <c r="T11" i="62" s="1"/>
  <c r="U11" i="11"/>
  <c r="U11" i="62" s="1"/>
  <c r="V11" i="11"/>
  <c r="V11" i="62" s="1"/>
  <c r="W11" i="11"/>
  <c r="W11" i="62" s="1"/>
  <c r="X11" i="11"/>
  <c r="X11" i="62" s="1"/>
  <c r="E12" i="11"/>
  <c r="F12" i="11"/>
  <c r="F12" i="62" s="1"/>
  <c r="G12" i="11"/>
  <c r="G12" i="62" s="1"/>
  <c r="H12" i="11"/>
  <c r="H12" i="62" s="1"/>
  <c r="I12" i="11"/>
  <c r="J12" i="11"/>
  <c r="K12" i="11"/>
  <c r="K12" i="62" s="1"/>
  <c r="L12" i="11"/>
  <c r="M12" i="11"/>
  <c r="M12" i="62" s="1"/>
  <c r="N12" i="11"/>
  <c r="O12" i="11"/>
  <c r="P12" i="11"/>
  <c r="P12" i="62" s="1"/>
  <c r="Q12" i="11"/>
  <c r="Q12" i="62" s="1"/>
  <c r="R12" i="11"/>
  <c r="R12" i="62" s="1"/>
  <c r="S12" i="11"/>
  <c r="S12" i="62" s="1"/>
  <c r="T12" i="11"/>
  <c r="T12" i="62" s="1"/>
  <c r="U12" i="11"/>
  <c r="U12" i="62" s="1"/>
  <c r="V12" i="11"/>
  <c r="V12" i="62" s="1"/>
  <c r="W12" i="11"/>
  <c r="W12" i="62" s="1"/>
  <c r="X12" i="11"/>
  <c r="X12" i="62" s="1"/>
  <c r="E13" i="11"/>
  <c r="F13" i="11"/>
  <c r="G13" i="11"/>
  <c r="H13" i="11"/>
  <c r="I13" i="11"/>
  <c r="J13" i="11"/>
  <c r="K13" i="11"/>
  <c r="L13" i="11"/>
  <c r="M13" i="11"/>
  <c r="N13" i="11"/>
  <c r="O13" i="11"/>
  <c r="P13" i="11"/>
  <c r="P13" i="62" s="1"/>
  <c r="Q13" i="11"/>
  <c r="Q13" i="62" s="1"/>
  <c r="R13" i="11"/>
  <c r="R13" i="62" s="1"/>
  <c r="S13" i="11"/>
  <c r="S13" i="62" s="1"/>
  <c r="T13" i="11"/>
  <c r="T13" i="62" s="1"/>
  <c r="U13" i="11"/>
  <c r="U13" i="62" s="1"/>
  <c r="V13" i="11"/>
  <c r="V13" i="62" s="1"/>
  <c r="W13" i="11"/>
  <c r="W13" i="62" s="1"/>
  <c r="X13" i="11"/>
  <c r="X13" i="62" s="1"/>
  <c r="E14" i="11"/>
  <c r="F14" i="11"/>
  <c r="G14" i="11"/>
  <c r="H14" i="11"/>
  <c r="I14" i="11"/>
  <c r="J14" i="11"/>
  <c r="K14" i="11"/>
  <c r="K14" i="62" s="1"/>
  <c r="L14" i="11"/>
  <c r="M14" i="11"/>
  <c r="M14" i="62" s="1"/>
  <c r="N14" i="11"/>
  <c r="N14" i="62" s="1"/>
  <c r="O14" i="11"/>
  <c r="O14" i="62" s="1"/>
  <c r="P14" i="11"/>
  <c r="P14" i="62" s="1"/>
  <c r="Q14" i="11"/>
  <c r="Q14" i="62" s="1"/>
  <c r="R14" i="11"/>
  <c r="R14" i="62" s="1"/>
  <c r="S14" i="11"/>
  <c r="S14" i="62" s="1"/>
  <c r="T14" i="11"/>
  <c r="T14" i="62" s="1"/>
  <c r="U14" i="11"/>
  <c r="U14" i="62" s="1"/>
  <c r="V14" i="11"/>
  <c r="V14" i="62" s="1"/>
  <c r="W14" i="11"/>
  <c r="W14" i="62" s="1"/>
  <c r="X14" i="11"/>
  <c r="X14" i="62" s="1"/>
  <c r="E15" i="11"/>
  <c r="F15" i="11"/>
  <c r="G15" i="11"/>
  <c r="H15" i="11"/>
  <c r="I15" i="11"/>
  <c r="I15" i="62" s="1"/>
  <c r="J15" i="11"/>
  <c r="K15" i="11"/>
  <c r="K15" i="62" s="1"/>
  <c r="L15" i="11"/>
  <c r="L15" i="62" s="1"/>
  <c r="M15" i="11"/>
  <c r="M15" i="62" s="1"/>
  <c r="N15" i="11"/>
  <c r="O15" i="11"/>
  <c r="O15" i="62" s="1"/>
  <c r="P15" i="11"/>
  <c r="Q15" i="11"/>
  <c r="Q15" i="62" s="1"/>
  <c r="R15" i="11"/>
  <c r="R15" i="62" s="1"/>
  <c r="S15" i="11"/>
  <c r="S15" i="62" s="1"/>
  <c r="T15" i="11"/>
  <c r="T15" i="62" s="1"/>
  <c r="U15" i="11"/>
  <c r="U15" i="62" s="1"/>
  <c r="V15" i="11"/>
  <c r="V15" i="62" s="1"/>
  <c r="W15" i="11"/>
  <c r="W15" i="62" s="1"/>
  <c r="X15" i="11"/>
  <c r="X15" i="62" s="1"/>
  <c r="E16" i="11"/>
  <c r="F16" i="11"/>
  <c r="G16" i="11"/>
  <c r="H16" i="11"/>
  <c r="I16" i="11"/>
  <c r="I16" i="62" s="1"/>
  <c r="J16" i="11"/>
  <c r="K16" i="11"/>
  <c r="K16" i="62" s="1"/>
  <c r="L16" i="11"/>
  <c r="L16" i="62" s="1"/>
  <c r="M16" i="11"/>
  <c r="N16" i="11"/>
  <c r="O16" i="11"/>
  <c r="P16" i="11"/>
  <c r="P16" i="62" s="1"/>
  <c r="Q16" i="11"/>
  <c r="Q16" i="62" s="1"/>
  <c r="R16" i="11"/>
  <c r="R16" i="62" s="1"/>
  <c r="S16" i="11"/>
  <c r="S16" i="62" s="1"/>
  <c r="T16" i="11"/>
  <c r="T16" i="62" s="1"/>
  <c r="U16" i="11"/>
  <c r="U16" i="62" s="1"/>
  <c r="V16" i="11"/>
  <c r="V16" i="62" s="1"/>
  <c r="W16" i="11"/>
  <c r="W16" i="62" s="1"/>
  <c r="X16" i="11"/>
  <c r="X16" i="62" s="1"/>
  <c r="E17" i="11"/>
  <c r="F17" i="11"/>
  <c r="G17" i="11"/>
  <c r="H17" i="11"/>
  <c r="I17" i="11"/>
  <c r="I17" i="62" s="1"/>
  <c r="J17" i="11"/>
  <c r="K17" i="11"/>
  <c r="L17" i="11"/>
  <c r="L17" i="62" s="1"/>
  <c r="M17" i="11"/>
  <c r="N17" i="11"/>
  <c r="O17" i="11"/>
  <c r="P17" i="11"/>
  <c r="Q17" i="11"/>
  <c r="Q17" i="62" s="1"/>
  <c r="R17" i="11"/>
  <c r="R17" i="62" s="1"/>
  <c r="S17" i="11"/>
  <c r="S17" i="62" s="1"/>
  <c r="T17" i="11"/>
  <c r="T17" i="62" s="1"/>
  <c r="U17" i="11"/>
  <c r="U17" i="62" s="1"/>
  <c r="V17" i="11"/>
  <c r="V17" i="62" s="1"/>
  <c r="W17" i="11"/>
  <c r="W17" i="62" s="1"/>
  <c r="X17" i="11"/>
  <c r="X17" i="62" s="1"/>
  <c r="E18" i="11"/>
  <c r="F18" i="11"/>
  <c r="G18" i="11"/>
  <c r="G18" i="62" s="1"/>
  <c r="H18" i="11"/>
  <c r="I18" i="11"/>
  <c r="J18" i="11"/>
  <c r="K18" i="11"/>
  <c r="L18" i="11"/>
  <c r="M18" i="11"/>
  <c r="N18" i="11"/>
  <c r="O18" i="11"/>
  <c r="P18" i="11"/>
  <c r="Q18" i="11"/>
  <c r="Q18" i="62" s="1"/>
  <c r="R18" i="11"/>
  <c r="R18" i="62" s="1"/>
  <c r="S18" i="11"/>
  <c r="S18" i="62" s="1"/>
  <c r="T18" i="11"/>
  <c r="T18" i="62" s="1"/>
  <c r="U18" i="11"/>
  <c r="U18" i="62" s="1"/>
  <c r="V18" i="11"/>
  <c r="V18" i="62" s="1"/>
  <c r="W18" i="11"/>
  <c r="W18" i="62" s="1"/>
  <c r="X18" i="11"/>
  <c r="X18" i="62" s="1"/>
  <c r="E19" i="11"/>
  <c r="F19" i="11"/>
  <c r="G19" i="11"/>
  <c r="G19" i="62" s="1"/>
  <c r="H19" i="11"/>
  <c r="I19" i="11"/>
  <c r="J19" i="11"/>
  <c r="K19" i="11"/>
  <c r="L19" i="11"/>
  <c r="M19" i="11"/>
  <c r="M19" i="62" s="1"/>
  <c r="N19" i="11"/>
  <c r="O19" i="11"/>
  <c r="P19" i="11"/>
  <c r="P19" i="62" s="1"/>
  <c r="Q19" i="11"/>
  <c r="Q19" i="62" s="1"/>
  <c r="R19" i="11"/>
  <c r="R19" i="62" s="1"/>
  <c r="S19" i="11"/>
  <c r="S19" i="62" s="1"/>
  <c r="T19" i="11"/>
  <c r="T19" i="62" s="1"/>
  <c r="U19" i="11"/>
  <c r="U19" i="62" s="1"/>
  <c r="V19" i="11"/>
  <c r="V19" i="62" s="1"/>
  <c r="W19" i="11"/>
  <c r="W19" i="62" s="1"/>
  <c r="X19" i="11"/>
  <c r="X19" i="62" s="1"/>
  <c r="E20" i="11"/>
  <c r="F20" i="11"/>
  <c r="G20" i="11"/>
  <c r="H20" i="11"/>
  <c r="I20" i="11"/>
  <c r="J20" i="11"/>
  <c r="K20" i="11"/>
  <c r="L20" i="11"/>
  <c r="M20" i="11"/>
  <c r="N20" i="11"/>
  <c r="O20" i="11"/>
  <c r="P20" i="11"/>
  <c r="Q20" i="11"/>
  <c r="Q20" i="62" s="1"/>
  <c r="R20" i="11"/>
  <c r="R20" i="62" s="1"/>
  <c r="S20" i="11"/>
  <c r="S20" i="62" s="1"/>
  <c r="T20" i="11"/>
  <c r="T20" i="62" s="1"/>
  <c r="U20" i="11"/>
  <c r="U20" i="62" s="1"/>
  <c r="V20" i="11"/>
  <c r="V20" i="62" s="1"/>
  <c r="W20" i="11"/>
  <c r="W20" i="62" s="1"/>
  <c r="X20" i="11"/>
  <c r="X20" i="62" s="1"/>
  <c r="E21" i="11"/>
  <c r="F21" i="11"/>
  <c r="G21" i="11"/>
  <c r="H21" i="11"/>
  <c r="I21" i="11"/>
  <c r="J21" i="11"/>
  <c r="K21" i="11"/>
  <c r="K21" i="62" s="1"/>
  <c r="L21" i="11"/>
  <c r="L21" i="62" s="1"/>
  <c r="M21" i="11"/>
  <c r="N21" i="11"/>
  <c r="O21" i="11"/>
  <c r="O21" i="62" s="1"/>
  <c r="P21" i="11"/>
  <c r="P21" i="62" s="1"/>
  <c r="Q21" i="11"/>
  <c r="Q21" i="62" s="1"/>
  <c r="R21" i="11"/>
  <c r="R21" i="62" s="1"/>
  <c r="S21" i="11"/>
  <c r="S21" i="62" s="1"/>
  <c r="T21" i="11"/>
  <c r="T21" i="62" s="1"/>
  <c r="U21" i="11"/>
  <c r="U21" i="62" s="1"/>
  <c r="V21" i="11"/>
  <c r="V21" i="62" s="1"/>
  <c r="W21" i="11"/>
  <c r="W21" i="62" s="1"/>
  <c r="X21" i="11"/>
  <c r="X21" i="62" s="1"/>
  <c r="E22" i="11"/>
  <c r="F22" i="11"/>
  <c r="G22" i="11"/>
  <c r="H22" i="11"/>
  <c r="I22" i="11"/>
  <c r="J22" i="11"/>
  <c r="J22" i="62" s="1"/>
  <c r="K22" i="11"/>
  <c r="L22" i="11"/>
  <c r="L22" i="62" s="1"/>
  <c r="M22" i="11"/>
  <c r="N22" i="11"/>
  <c r="O22" i="11"/>
  <c r="O22" i="62" s="1"/>
  <c r="P22" i="11"/>
  <c r="P22" i="62" s="1"/>
  <c r="Q22" i="11"/>
  <c r="Q22" i="62" s="1"/>
  <c r="R22" i="11"/>
  <c r="R22" i="62" s="1"/>
  <c r="S22" i="11"/>
  <c r="S22" i="62" s="1"/>
  <c r="T22" i="11"/>
  <c r="T22" i="62" s="1"/>
  <c r="U22" i="11"/>
  <c r="U22" i="62" s="1"/>
  <c r="V22" i="11"/>
  <c r="V22" i="62" s="1"/>
  <c r="W22" i="11"/>
  <c r="W22" i="62" s="1"/>
  <c r="X22" i="11"/>
  <c r="X22" i="62" s="1"/>
  <c r="E23" i="11"/>
  <c r="F23" i="11"/>
  <c r="G23" i="11"/>
  <c r="H23" i="11"/>
  <c r="I23" i="11"/>
  <c r="I23" i="62" s="1"/>
  <c r="J23" i="11"/>
  <c r="K23" i="11"/>
  <c r="K23" i="62" s="1"/>
  <c r="L23" i="11"/>
  <c r="L23" i="62" s="1"/>
  <c r="M23" i="11"/>
  <c r="N23" i="11"/>
  <c r="N23" i="62" s="1"/>
  <c r="O23" i="11"/>
  <c r="P23" i="11"/>
  <c r="Q23" i="11"/>
  <c r="Q23" i="62" s="1"/>
  <c r="R23" i="11"/>
  <c r="R23" i="62" s="1"/>
  <c r="S23" i="11"/>
  <c r="S23" i="62" s="1"/>
  <c r="T23" i="11"/>
  <c r="T23" i="62" s="1"/>
  <c r="U23" i="11"/>
  <c r="U23" i="62" s="1"/>
  <c r="V23" i="11"/>
  <c r="V23" i="62" s="1"/>
  <c r="W23" i="11"/>
  <c r="W23" i="62" s="1"/>
  <c r="X23" i="11"/>
  <c r="X23" i="62" s="1"/>
  <c r="E24" i="11"/>
  <c r="F24" i="11"/>
  <c r="G24" i="11"/>
  <c r="H24" i="11"/>
  <c r="I24" i="11"/>
  <c r="I24" i="62" s="1"/>
  <c r="J24" i="11"/>
  <c r="K24" i="11"/>
  <c r="L24" i="11"/>
  <c r="M24" i="11"/>
  <c r="N24" i="11"/>
  <c r="N24" i="62" s="1"/>
  <c r="O24" i="11"/>
  <c r="P24" i="11"/>
  <c r="P24" i="62" s="1"/>
  <c r="Q24" i="11"/>
  <c r="Q24" i="62" s="1"/>
  <c r="R24" i="11"/>
  <c r="R24" i="62" s="1"/>
  <c r="S24" i="11"/>
  <c r="S24" i="62" s="1"/>
  <c r="T24" i="11"/>
  <c r="T24" i="62" s="1"/>
  <c r="U24" i="11"/>
  <c r="U24" i="62" s="1"/>
  <c r="V24" i="11"/>
  <c r="V24" i="62" s="1"/>
  <c r="W24" i="11"/>
  <c r="W24" i="62" s="1"/>
  <c r="X24" i="11"/>
  <c r="X24" i="62" s="1"/>
  <c r="E25" i="11"/>
  <c r="F25" i="11"/>
  <c r="G25" i="11"/>
  <c r="G25" i="62" s="1"/>
  <c r="H25" i="11"/>
  <c r="I25" i="11"/>
  <c r="J25" i="11"/>
  <c r="K25" i="11"/>
  <c r="L25" i="11"/>
  <c r="M25" i="11"/>
  <c r="N25" i="11"/>
  <c r="O25" i="11"/>
  <c r="P25" i="11"/>
  <c r="Q25" i="11"/>
  <c r="Q25" i="62" s="1"/>
  <c r="R25" i="11"/>
  <c r="R25" i="62" s="1"/>
  <c r="S25" i="11"/>
  <c r="S25" i="62" s="1"/>
  <c r="T25" i="11"/>
  <c r="T25" i="62" s="1"/>
  <c r="U25" i="11"/>
  <c r="U25" i="62" s="1"/>
  <c r="V25" i="11"/>
  <c r="V25" i="62" s="1"/>
  <c r="W25" i="11"/>
  <c r="W25" i="62" s="1"/>
  <c r="X25" i="11"/>
  <c r="X25" i="62" s="1"/>
  <c r="E26" i="11"/>
  <c r="F26" i="11"/>
  <c r="G26" i="11"/>
  <c r="G26" i="62" s="1"/>
  <c r="H26" i="11"/>
  <c r="I26" i="11"/>
  <c r="J26" i="11"/>
  <c r="K26" i="11"/>
  <c r="K26" i="62" s="1"/>
  <c r="L26" i="11"/>
  <c r="M26" i="11"/>
  <c r="M26" i="62" s="1"/>
  <c r="N26" i="11"/>
  <c r="O26" i="11"/>
  <c r="P26" i="11"/>
  <c r="P26" i="62" s="1"/>
  <c r="Q26" i="11"/>
  <c r="Q26" i="62" s="1"/>
  <c r="R26" i="11"/>
  <c r="R26" i="62" s="1"/>
  <c r="S26" i="11"/>
  <c r="S26" i="62" s="1"/>
  <c r="T26" i="11"/>
  <c r="T26" i="62" s="1"/>
  <c r="U26" i="11"/>
  <c r="U26" i="62" s="1"/>
  <c r="V26" i="11"/>
  <c r="V26" i="62" s="1"/>
  <c r="W26" i="11"/>
  <c r="W26" i="62" s="1"/>
  <c r="X26" i="11"/>
  <c r="X26" i="62" s="1"/>
  <c r="E27" i="11"/>
  <c r="F27" i="11"/>
  <c r="G27" i="11"/>
  <c r="H27" i="11"/>
  <c r="I27" i="11"/>
  <c r="J27" i="11"/>
  <c r="K27" i="11"/>
  <c r="L27" i="11"/>
  <c r="M27" i="11"/>
  <c r="N27" i="11"/>
  <c r="O27" i="11"/>
  <c r="P27" i="11"/>
  <c r="Q27" i="11"/>
  <c r="R27" i="11"/>
  <c r="S27" i="11"/>
  <c r="T27" i="11"/>
  <c r="T27" i="62" s="1"/>
  <c r="U27" i="11"/>
  <c r="V27" i="11"/>
  <c r="W27" i="11"/>
  <c r="X27" i="11"/>
  <c r="X27" i="62" s="1"/>
  <c r="E28" i="11"/>
  <c r="F28" i="11"/>
  <c r="G28" i="11"/>
  <c r="G28" i="62" s="1"/>
  <c r="H28" i="11"/>
  <c r="I28" i="11"/>
  <c r="J28" i="11"/>
  <c r="K28" i="11"/>
  <c r="K28" i="62" s="1"/>
  <c r="L28" i="11"/>
  <c r="L28" i="62" s="1"/>
  <c r="M28" i="11"/>
  <c r="M28" i="62" s="1"/>
  <c r="N28" i="11"/>
  <c r="N28" i="62" s="1"/>
  <c r="O28" i="11"/>
  <c r="O28" i="62" s="1"/>
  <c r="P28" i="11"/>
  <c r="Q28" i="11"/>
  <c r="Q28" i="62" s="1"/>
  <c r="R28" i="11"/>
  <c r="R28" i="62" s="1"/>
  <c r="S28" i="11"/>
  <c r="S28" i="62" s="1"/>
  <c r="T28" i="11"/>
  <c r="T28" i="62" s="1"/>
  <c r="U28" i="11"/>
  <c r="U28" i="62" s="1"/>
  <c r="V28" i="11"/>
  <c r="V28" i="62" s="1"/>
  <c r="W28" i="11"/>
  <c r="W28" i="62" s="1"/>
  <c r="X28" i="11"/>
  <c r="X28" i="62" s="1"/>
  <c r="E29" i="11"/>
  <c r="F29" i="11"/>
  <c r="G29" i="11"/>
  <c r="G29" i="62" s="1"/>
  <c r="H29" i="11"/>
  <c r="I29" i="11"/>
  <c r="I29" i="62" s="1"/>
  <c r="J29" i="11"/>
  <c r="J29" i="62" s="1"/>
  <c r="K29" i="11"/>
  <c r="L29" i="11"/>
  <c r="L29" i="62" s="1"/>
  <c r="M29" i="11"/>
  <c r="M29" i="62" s="1"/>
  <c r="N29" i="11"/>
  <c r="O29" i="11"/>
  <c r="P29" i="11"/>
  <c r="P29" i="62" s="1"/>
  <c r="Q29" i="11"/>
  <c r="Q29" i="62" s="1"/>
  <c r="R29" i="11"/>
  <c r="R29" i="62" s="1"/>
  <c r="S29" i="11"/>
  <c r="S29" i="62" s="1"/>
  <c r="T29" i="11"/>
  <c r="T29" i="62" s="1"/>
  <c r="U29" i="11"/>
  <c r="U29" i="62" s="1"/>
  <c r="V29" i="11"/>
  <c r="V29" i="62" s="1"/>
  <c r="W29" i="11"/>
  <c r="W29" i="62" s="1"/>
  <c r="X29" i="11"/>
  <c r="X29" i="62" s="1"/>
  <c r="E30" i="11"/>
  <c r="F30" i="11"/>
  <c r="G30" i="11"/>
  <c r="G30" i="62" s="1"/>
  <c r="H30" i="11"/>
  <c r="I30" i="11"/>
  <c r="I30" i="62" s="1"/>
  <c r="J30" i="11"/>
  <c r="J30" i="62" s="1"/>
  <c r="K30" i="11"/>
  <c r="K30" i="62" s="1"/>
  <c r="L30" i="11"/>
  <c r="L30" i="62" s="1"/>
  <c r="M30" i="11"/>
  <c r="N30" i="11"/>
  <c r="O30" i="11"/>
  <c r="P30" i="11"/>
  <c r="Q30" i="11"/>
  <c r="Q30" i="62" s="1"/>
  <c r="R30" i="11"/>
  <c r="R30" i="62" s="1"/>
  <c r="S30" i="11"/>
  <c r="S30" i="62" s="1"/>
  <c r="T30" i="11"/>
  <c r="T30" i="62" s="1"/>
  <c r="U30" i="11"/>
  <c r="U30" i="62" s="1"/>
  <c r="V30" i="11"/>
  <c r="V30" i="62" s="1"/>
  <c r="W30" i="11"/>
  <c r="W30" i="62" s="1"/>
  <c r="X30" i="11"/>
  <c r="X30" i="62" s="1"/>
  <c r="E31" i="11"/>
  <c r="F31" i="11"/>
  <c r="G31" i="11"/>
  <c r="G31" i="62" s="1"/>
  <c r="H31" i="11"/>
  <c r="I31" i="11"/>
  <c r="J31" i="11"/>
  <c r="K31" i="11"/>
  <c r="L31" i="11"/>
  <c r="L31" i="62" s="1"/>
  <c r="M31" i="11"/>
  <c r="N31" i="11"/>
  <c r="N31" i="62" s="1"/>
  <c r="O31" i="11"/>
  <c r="P31" i="11"/>
  <c r="Q31" i="11"/>
  <c r="Q31" i="62" s="1"/>
  <c r="R31" i="11"/>
  <c r="R31" i="62" s="1"/>
  <c r="S31" i="11"/>
  <c r="S31" i="62" s="1"/>
  <c r="T31" i="11"/>
  <c r="T31" i="62" s="1"/>
  <c r="U31" i="11"/>
  <c r="U31" i="62" s="1"/>
  <c r="V31" i="11"/>
  <c r="V31" i="62" s="1"/>
  <c r="W31" i="11"/>
  <c r="W31" i="62" s="1"/>
  <c r="X31" i="11"/>
  <c r="X31" i="62" s="1"/>
  <c r="E32" i="11"/>
  <c r="F32" i="11"/>
  <c r="G32" i="11"/>
  <c r="G32" i="62" s="1"/>
  <c r="H32" i="11"/>
  <c r="H32" i="62" s="1"/>
  <c r="I32" i="11"/>
  <c r="J32" i="11"/>
  <c r="K32" i="11"/>
  <c r="L32" i="11"/>
  <c r="M32" i="11"/>
  <c r="N32" i="11"/>
  <c r="O32" i="11"/>
  <c r="P32" i="11"/>
  <c r="Q32" i="11"/>
  <c r="R32" i="11"/>
  <c r="R32" i="62" s="1"/>
  <c r="S32" i="11"/>
  <c r="S32" i="62" s="1"/>
  <c r="T32" i="11"/>
  <c r="T32" i="62" s="1"/>
  <c r="U32" i="11"/>
  <c r="U32" i="62" s="1"/>
  <c r="V32" i="11"/>
  <c r="V32" i="62" s="1"/>
  <c r="W32" i="11"/>
  <c r="W32" i="62" s="1"/>
  <c r="X32" i="11"/>
  <c r="X32" i="62" s="1"/>
  <c r="E33" i="11"/>
  <c r="F33" i="11"/>
  <c r="G33" i="11"/>
  <c r="G33" i="62" s="1"/>
  <c r="H33" i="11"/>
  <c r="I33" i="11"/>
  <c r="J33" i="11"/>
  <c r="K33" i="11"/>
  <c r="K33" i="62" s="1"/>
  <c r="L33" i="11"/>
  <c r="M33" i="11"/>
  <c r="M33" i="62" s="1"/>
  <c r="N33" i="11"/>
  <c r="O33" i="11"/>
  <c r="P33" i="11"/>
  <c r="Q33" i="11"/>
  <c r="R33" i="11"/>
  <c r="R33" i="62" s="1"/>
  <c r="S33" i="11"/>
  <c r="S33" i="62" s="1"/>
  <c r="T33" i="11"/>
  <c r="T33" i="62" s="1"/>
  <c r="U33" i="11"/>
  <c r="U33" i="62" s="1"/>
  <c r="V33" i="11"/>
  <c r="V33" i="62" s="1"/>
  <c r="W33" i="11"/>
  <c r="W33" i="62" s="1"/>
  <c r="X33" i="11"/>
  <c r="X33" i="62" s="1"/>
  <c r="E34" i="11"/>
  <c r="F34" i="11"/>
  <c r="G34" i="11"/>
  <c r="H34" i="11"/>
  <c r="I34" i="11"/>
  <c r="J34" i="11"/>
  <c r="K34" i="11"/>
  <c r="L34" i="11"/>
  <c r="M34" i="11"/>
  <c r="N34" i="11"/>
  <c r="O34" i="11"/>
  <c r="P34" i="11"/>
  <c r="Q34" i="11"/>
  <c r="R34" i="11"/>
  <c r="S34" i="11"/>
  <c r="T34" i="11"/>
  <c r="U34" i="11"/>
  <c r="V34" i="11"/>
  <c r="W34" i="11"/>
  <c r="X34" i="11"/>
  <c r="E35" i="11"/>
  <c r="F35" i="11"/>
  <c r="G35" i="11"/>
  <c r="G35" i="62" s="1"/>
  <c r="H35" i="11"/>
  <c r="I35" i="11"/>
  <c r="J35" i="11"/>
  <c r="J35" i="62" s="1"/>
  <c r="K35" i="11"/>
  <c r="K35" i="62" s="1"/>
  <c r="L35" i="11"/>
  <c r="L35" i="62" s="1"/>
  <c r="M35" i="11"/>
  <c r="N35" i="11"/>
  <c r="N35" i="62" s="1"/>
  <c r="O35" i="11"/>
  <c r="P35" i="11"/>
  <c r="P35" i="62" s="1"/>
  <c r="Q35" i="11"/>
  <c r="Q35" i="62" s="1"/>
  <c r="R35" i="11"/>
  <c r="R35" i="62" s="1"/>
  <c r="S35" i="11"/>
  <c r="S35" i="62" s="1"/>
  <c r="T35" i="11"/>
  <c r="T35" i="62" s="1"/>
  <c r="U35" i="11"/>
  <c r="U35" i="62" s="1"/>
  <c r="V35" i="11"/>
  <c r="V35" i="62" s="1"/>
  <c r="W35" i="11"/>
  <c r="W35" i="62" s="1"/>
  <c r="X35" i="11"/>
  <c r="X35" i="62" s="1"/>
  <c r="E36" i="11"/>
  <c r="F36" i="11"/>
  <c r="G36" i="11"/>
  <c r="G36" i="62" s="1"/>
  <c r="H36" i="11"/>
  <c r="I36" i="11"/>
  <c r="I36" i="62" s="1"/>
  <c r="J36" i="11"/>
  <c r="K36" i="11"/>
  <c r="K36" i="62" s="1"/>
  <c r="L36" i="11"/>
  <c r="L36" i="62" s="1"/>
  <c r="M36" i="11"/>
  <c r="N36" i="11"/>
  <c r="N36" i="62" s="1"/>
  <c r="O36" i="11"/>
  <c r="P36" i="11"/>
  <c r="P36" i="62" s="1"/>
  <c r="Q36" i="11"/>
  <c r="Q36" i="62" s="1"/>
  <c r="R36" i="11"/>
  <c r="R36" i="62" s="1"/>
  <c r="S36" i="11"/>
  <c r="S36" i="62" s="1"/>
  <c r="T36" i="11"/>
  <c r="T36" i="62" s="1"/>
  <c r="U36" i="11"/>
  <c r="U36" i="62" s="1"/>
  <c r="V36" i="11"/>
  <c r="V36" i="62" s="1"/>
  <c r="W36" i="11"/>
  <c r="W36" i="62" s="1"/>
  <c r="X36" i="11"/>
  <c r="X36" i="62" s="1"/>
  <c r="E37" i="11"/>
  <c r="F37" i="11"/>
  <c r="G37" i="11"/>
  <c r="G37" i="62" s="1"/>
  <c r="H37" i="11"/>
  <c r="I37" i="11"/>
  <c r="I37" i="62" s="1"/>
  <c r="J37" i="11"/>
  <c r="J37" i="62" s="1"/>
  <c r="K37" i="11"/>
  <c r="K37" i="62" s="1"/>
  <c r="L37" i="11"/>
  <c r="L37" i="62" s="1"/>
  <c r="M37" i="11"/>
  <c r="N37" i="11"/>
  <c r="O37" i="11"/>
  <c r="P37" i="11"/>
  <c r="P37" i="62" s="1"/>
  <c r="Q37" i="11"/>
  <c r="Q37" i="62" s="1"/>
  <c r="R37" i="11"/>
  <c r="R37" i="62" s="1"/>
  <c r="S37" i="11"/>
  <c r="S37" i="62" s="1"/>
  <c r="T37" i="11"/>
  <c r="T37" i="62" s="1"/>
  <c r="U37" i="11"/>
  <c r="U37" i="62" s="1"/>
  <c r="V37" i="11"/>
  <c r="V37" i="62" s="1"/>
  <c r="W37" i="11"/>
  <c r="W37" i="62" s="1"/>
  <c r="X37" i="11"/>
  <c r="X37" i="62" s="1"/>
  <c r="E38" i="11"/>
  <c r="F38" i="11"/>
  <c r="G38" i="11"/>
  <c r="G38" i="62" s="1"/>
  <c r="H38" i="11"/>
  <c r="I38" i="11"/>
  <c r="J38" i="11"/>
  <c r="K38" i="11"/>
  <c r="L38" i="11"/>
  <c r="L38" i="62" s="1"/>
  <c r="M38" i="11"/>
  <c r="N38" i="11"/>
  <c r="N38" i="62" s="1"/>
  <c r="O38" i="11"/>
  <c r="O38" i="62" s="1"/>
  <c r="P38" i="11"/>
  <c r="Q38" i="11"/>
  <c r="Q38" i="62" s="1"/>
  <c r="R38" i="11"/>
  <c r="R38" i="62" s="1"/>
  <c r="S38" i="11"/>
  <c r="S38" i="62" s="1"/>
  <c r="T38" i="11"/>
  <c r="T38" i="62" s="1"/>
  <c r="U38" i="11"/>
  <c r="U38" i="62" s="1"/>
  <c r="V38" i="11"/>
  <c r="V38" i="62" s="1"/>
  <c r="W38" i="11"/>
  <c r="W38" i="62" s="1"/>
  <c r="X38" i="11"/>
  <c r="X38" i="62" s="1"/>
  <c r="E39" i="11"/>
  <c r="F39" i="11"/>
  <c r="G39" i="11"/>
  <c r="H39" i="11"/>
  <c r="H39" i="62" s="1"/>
  <c r="I39" i="11"/>
  <c r="J39" i="11"/>
  <c r="K39" i="11"/>
  <c r="L39" i="11"/>
  <c r="M39" i="11"/>
  <c r="M39" i="62" s="1"/>
  <c r="N39" i="11"/>
  <c r="O39" i="11"/>
  <c r="P39" i="11"/>
  <c r="Q39" i="11"/>
  <c r="R39" i="11"/>
  <c r="R39" i="62" s="1"/>
  <c r="S39" i="11"/>
  <c r="S39" i="62" s="1"/>
  <c r="T39" i="11"/>
  <c r="T39" i="62" s="1"/>
  <c r="U39" i="11"/>
  <c r="U39" i="62" s="1"/>
  <c r="V39" i="11"/>
  <c r="V39" i="62" s="1"/>
  <c r="W39" i="11"/>
  <c r="W39" i="62" s="1"/>
  <c r="X39" i="11"/>
  <c r="X39" i="62" s="1"/>
  <c r="E40" i="11"/>
  <c r="F40" i="11"/>
  <c r="F40" i="62" s="1"/>
  <c r="G40" i="11"/>
  <c r="G40" i="62" s="1"/>
  <c r="H40" i="11"/>
  <c r="I40" i="11"/>
  <c r="J40" i="11"/>
  <c r="K40" i="11"/>
  <c r="K40" i="62" s="1"/>
  <c r="L40" i="11"/>
  <c r="M40" i="11"/>
  <c r="M40" i="62" s="1"/>
  <c r="N40" i="11"/>
  <c r="O40" i="11"/>
  <c r="P40" i="11"/>
  <c r="P40" i="62" s="1"/>
  <c r="Q40" i="11"/>
  <c r="Q40" i="62" s="1"/>
  <c r="R40" i="11"/>
  <c r="R40" i="62" s="1"/>
  <c r="S40" i="11"/>
  <c r="S40" i="62" s="1"/>
  <c r="T40" i="11"/>
  <c r="T40" i="62" s="1"/>
  <c r="U40" i="11"/>
  <c r="U40" i="62" s="1"/>
  <c r="V40" i="11"/>
  <c r="V40" i="62" s="1"/>
  <c r="W40" i="11"/>
  <c r="W40" i="62" s="1"/>
  <c r="X40" i="11"/>
  <c r="X40" i="62" s="1"/>
  <c r="E41" i="11"/>
  <c r="F41" i="11"/>
  <c r="G41" i="11"/>
  <c r="H41" i="11"/>
  <c r="I41" i="11"/>
  <c r="J41" i="11"/>
  <c r="K41" i="11"/>
  <c r="L41" i="11"/>
  <c r="L41" i="62" s="1"/>
  <c r="M41" i="11"/>
  <c r="N41" i="11"/>
  <c r="O41" i="11"/>
  <c r="P41" i="11"/>
  <c r="Q41" i="11"/>
  <c r="R41" i="11"/>
  <c r="S41" i="11"/>
  <c r="T41" i="11"/>
  <c r="U41" i="11"/>
  <c r="U41" i="62" s="1"/>
  <c r="V41" i="11"/>
  <c r="W41" i="11"/>
  <c r="X41" i="11"/>
  <c r="E42" i="11"/>
  <c r="F42" i="11"/>
  <c r="G42" i="11"/>
  <c r="G42" i="62" s="1"/>
  <c r="H42" i="11"/>
  <c r="H42" i="62" s="1"/>
  <c r="I42" i="11"/>
  <c r="I42" i="62" s="1"/>
  <c r="J42" i="11"/>
  <c r="J42" i="62" s="1"/>
  <c r="K42" i="11"/>
  <c r="K42" i="62" s="1"/>
  <c r="L42" i="11"/>
  <c r="L42" i="62" s="1"/>
  <c r="M42" i="11"/>
  <c r="M42" i="62" s="1"/>
  <c r="N42" i="11"/>
  <c r="N42" i="62" s="1"/>
  <c r="O42" i="11"/>
  <c r="O42" i="62" s="1"/>
  <c r="P42" i="11"/>
  <c r="P42" i="62" s="1"/>
  <c r="Q42" i="11"/>
  <c r="Q42" i="62" s="1"/>
  <c r="R42" i="11"/>
  <c r="R42" i="62" s="1"/>
  <c r="S42" i="11"/>
  <c r="S42" i="62" s="1"/>
  <c r="T42" i="11"/>
  <c r="T42" i="62" s="1"/>
  <c r="U42" i="11"/>
  <c r="U42" i="62" s="1"/>
  <c r="V42" i="11"/>
  <c r="V42" i="62" s="1"/>
  <c r="W42" i="11"/>
  <c r="W42" i="62" s="1"/>
  <c r="X42" i="11"/>
  <c r="X42" i="62" s="1"/>
  <c r="E43" i="11"/>
  <c r="F43" i="11"/>
  <c r="F43" i="62" s="1"/>
  <c r="G43" i="11"/>
  <c r="G43" i="62" s="1"/>
  <c r="H43" i="11"/>
  <c r="H43" i="62" s="1"/>
  <c r="I43" i="11"/>
  <c r="I43" i="62" s="1"/>
  <c r="J43" i="11"/>
  <c r="J43" i="62" s="1"/>
  <c r="K43" i="11"/>
  <c r="K43" i="62" s="1"/>
  <c r="L43" i="11"/>
  <c r="L43" i="62" s="1"/>
  <c r="M43" i="11"/>
  <c r="M43" i="62" s="1"/>
  <c r="N43" i="11"/>
  <c r="N43" i="62" s="1"/>
  <c r="O43" i="11"/>
  <c r="O43" i="62" s="1"/>
  <c r="P43" i="11"/>
  <c r="P43" i="62" s="1"/>
  <c r="Q43" i="11"/>
  <c r="Q43" i="62" s="1"/>
  <c r="R43" i="11"/>
  <c r="R43" i="62" s="1"/>
  <c r="S43" i="11"/>
  <c r="S43" i="62" s="1"/>
  <c r="T43" i="11"/>
  <c r="T43" i="62" s="1"/>
  <c r="U43" i="11"/>
  <c r="U43" i="62" s="1"/>
  <c r="V43" i="11"/>
  <c r="V43" i="62" s="1"/>
  <c r="W43" i="11"/>
  <c r="W43" i="62" s="1"/>
  <c r="X43" i="11"/>
  <c r="X43" i="62" s="1"/>
  <c r="E44" i="11"/>
  <c r="F44" i="11"/>
  <c r="F44" i="62" s="1"/>
  <c r="G44" i="11"/>
  <c r="G44" i="62" s="1"/>
  <c r="H44" i="11"/>
  <c r="H44" i="62" s="1"/>
  <c r="I44" i="11"/>
  <c r="J44" i="11"/>
  <c r="J44" i="62" s="1"/>
  <c r="K44" i="11"/>
  <c r="K44" i="62" s="1"/>
  <c r="L44" i="11"/>
  <c r="L44" i="62" s="1"/>
  <c r="M44" i="11"/>
  <c r="M44" i="62" s="1"/>
  <c r="N44" i="11"/>
  <c r="N44" i="62" s="1"/>
  <c r="O44" i="11"/>
  <c r="O44" i="62" s="1"/>
  <c r="P44" i="11"/>
  <c r="P44" i="62" s="1"/>
  <c r="Q44" i="11"/>
  <c r="Q44" i="62" s="1"/>
  <c r="R44" i="11"/>
  <c r="R44" i="62" s="1"/>
  <c r="S44" i="11"/>
  <c r="S44" i="62" s="1"/>
  <c r="T44" i="11"/>
  <c r="T44" i="62" s="1"/>
  <c r="U44" i="11"/>
  <c r="U44" i="62" s="1"/>
  <c r="V44" i="11"/>
  <c r="V44" i="62" s="1"/>
  <c r="W44" i="11"/>
  <c r="W44" i="62" s="1"/>
  <c r="X44" i="11"/>
  <c r="X44" i="62" s="1"/>
  <c r="E45" i="11"/>
  <c r="F45" i="11"/>
  <c r="F45" i="62" s="1"/>
  <c r="G45" i="11"/>
  <c r="G45" i="62" s="1"/>
  <c r="H45" i="11"/>
  <c r="H45" i="62" s="1"/>
  <c r="I45" i="11"/>
  <c r="I45" i="62" s="1"/>
  <c r="J45" i="11"/>
  <c r="J45" i="62" s="1"/>
  <c r="K45" i="11"/>
  <c r="K45" i="62" s="1"/>
  <c r="L45" i="11"/>
  <c r="L45" i="62" s="1"/>
  <c r="M45" i="11"/>
  <c r="M45" i="62" s="1"/>
  <c r="N45" i="11"/>
  <c r="N45" i="62" s="1"/>
  <c r="O45" i="11"/>
  <c r="O45" i="62" s="1"/>
  <c r="P45" i="11"/>
  <c r="P45" i="62" s="1"/>
  <c r="Q45" i="11"/>
  <c r="Q45" i="62" s="1"/>
  <c r="R45" i="11"/>
  <c r="R45" i="62" s="1"/>
  <c r="S45" i="11"/>
  <c r="S45" i="62" s="1"/>
  <c r="T45" i="11"/>
  <c r="T45" i="62" s="1"/>
  <c r="U45" i="11"/>
  <c r="U45" i="62" s="1"/>
  <c r="V45" i="11"/>
  <c r="V45" i="62" s="1"/>
  <c r="W45" i="11"/>
  <c r="W45" i="62" s="1"/>
  <c r="X45" i="11"/>
  <c r="X45" i="62" s="1"/>
  <c r="E46" i="11"/>
  <c r="F46" i="11"/>
  <c r="F46" i="62" s="1"/>
  <c r="G46" i="11"/>
  <c r="G46" i="62" s="1"/>
  <c r="H46" i="11"/>
  <c r="H46" i="62" s="1"/>
  <c r="I46" i="11"/>
  <c r="J46" i="11"/>
  <c r="J46" i="62" s="1"/>
  <c r="K46" i="11"/>
  <c r="K46" i="62" s="1"/>
  <c r="L46" i="11"/>
  <c r="L46" i="62" s="1"/>
  <c r="M46" i="11"/>
  <c r="M46" i="62" s="1"/>
  <c r="N46" i="11"/>
  <c r="N46" i="62" s="1"/>
  <c r="O46" i="11"/>
  <c r="O46" i="62" s="1"/>
  <c r="P46" i="11"/>
  <c r="P46" i="62" s="1"/>
  <c r="Q46" i="11"/>
  <c r="Q46" i="62" s="1"/>
  <c r="R46" i="11"/>
  <c r="R46" i="62" s="1"/>
  <c r="S46" i="11"/>
  <c r="S46" i="62" s="1"/>
  <c r="T46" i="11"/>
  <c r="T46" i="62" s="1"/>
  <c r="U46" i="11"/>
  <c r="U46" i="62" s="1"/>
  <c r="V46" i="11"/>
  <c r="V46" i="62" s="1"/>
  <c r="W46" i="11"/>
  <c r="W46" i="62" s="1"/>
  <c r="X46" i="11"/>
  <c r="X46" i="62" s="1"/>
  <c r="E47" i="11"/>
  <c r="F47" i="11"/>
  <c r="F47" i="62" s="1"/>
  <c r="G47" i="11"/>
  <c r="G47" i="62" s="1"/>
  <c r="H47" i="11"/>
  <c r="H47" i="62" s="1"/>
  <c r="I47" i="11"/>
  <c r="I47" i="62" s="1"/>
  <c r="J47" i="11"/>
  <c r="J47" i="62" s="1"/>
  <c r="K47" i="11"/>
  <c r="K47" i="62" s="1"/>
  <c r="L47" i="11"/>
  <c r="L47" i="62" s="1"/>
  <c r="M47" i="11"/>
  <c r="M47" i="62" s="1"/>
  <c r="N47" i="11"/>
  <c r="N47" i="62" s="1"/>
  <c r="O47" i="11"/>
  <c r="O47" i="62" s="1"/>
  <c r="P47" i="11"/>
  <c r="P47" i="62" s="1"/>
  <c r="Q47" i="11"/>
  <c r="Q47" i="62" s="1"/>
  <c r="R47" i="11"/>
  <c r="R47" i="62" s="1"/>
  <c r="S47" i="11"/>
  <c r="S47" i="62" s="1"/>
  <c r="T47" i="11"/>
  <c r="T47" i="62" s="1"/>
  <c r="U47" i="11"/>
  <c r="U47" i="62" s="1"/>
  <c r="V47" i="11"/>
  <c r="V47" i="62" s="1"/>
  <c r="W47" i="11"/>
  <c r="W47" i="62" s="1"/>
  <c r="X47" i="11"/>
  <c r="X47" i="62" s="1"/>
  <c r="I2" i="1"/>
  <c r="B3" i="6"/>
  <c r="G26" i="6" s="1"/>
  <c r="K5" i="6"/>
  <c r="Q5" i="6"/>
  <c r="V5" i="6"/>
  <c r="AA5" i="6"/>
  <c r="K26" i="6"/>
  <c r="P26" i="6" s="1"/>
  <c r="Z26" i="6" s="1"/>
  <c r="AG2" i="10"/>
  <c r="AG3" i="10"/>
  <c r="E13" i="10"/>
  <c r="F13" i="10"/>
  <c r="G13" i="10"/>
  <c r="H13" i="10"/>
  <c r="I13" i="10"/>
  <c r="J13" i="10"/>
  <c r="K13" i="10"/>
  <c r="L13" i="10"/>
  <c r="M13" i="10"/>
  <c r="N13" i="10"/>
  <c r="O13" i="10"/>
  <c r="P13" i="10"/>
  <c r="Q13" i="10"/>
  <c r="R13" i="10"/>
  <c r="S13" i="10"/>
  <c r="T13" i="10"/>
  <c r="U13" i="10"/>
  <c r="V13" i="10"/>
  <c r="W13" i="10"/>
  <c r="X13" i="10"/>
  <c r="AG13" i="10"/>
  <c r="E14" i="10"/>
  <c r="F14" i="10"/>
  <c r="G14" i="10"/>
  <c r="H14" i="10"/>
  <c r="I14" i="10"/>
  <c r="J14" i="10"/>
  <c r="K14" i="10"/>
  <c r="L14" i="10"/>
  <c r="M14" i="10"/>
  <c r="N14" i="10"/>
  <c r="O14" i="10"/>
  <c r="P14" i="10"/>
  <c r="Q14" i="10"/>
  <c r="R14" i="10"/>
  <c r="S14" i="10"/>
  <c r="T14" i="10"/>
  <c r="U14" i="10"/>
  <c r="V14" i="10"/>
  <c r="W14" i="10"/>
  <c r="X14" i="10"/>
  <c r="AG14" i="10"/>
  <c r="E15" i="10"/>
  <c r="F15" i="10"/>
  <c r="G15" i="10"/>
  <c r="H15" i="10"/>
  <c r="I15" i="10"/>
  <c r="J15" i="10"/>
  <c r="K15" i="10"/>
  <c r="L15" i="10"/>
  <c r="M15" i="10"/>
  <c r="N15" i="10"/>
  <c r="O15" i="10"/>
  <c r="P15" i="10"/>
  <c r="Q15" i="10"/>
  <c r="R15" i="10"/>
  <c r="S15" i="10"/>
  <c r="T15" i="10"/>
  <c r="U15" i="10"/>
  <c r="V15" i="10"/>
  <c r="W15" i="10"/>
  <c r="X15" i="10"/>
  <c r="AG15" i="10"/>
  <c r="E16" i="10"/>
  <c r="F16" i="10"/>
  <c r="G16" i="10"/>
  <c r="H16" i="10"/>
  <c r="I16" i="10"/>
  <c r="J16" i="10"/>
  <c r="K16" i="10"/>
  <c r="L16" i="10"/>
  <c r="M16" i="10"/>
  <c r="N16" i="10"/>
  <c r="O16" i="10"/>
  <c r="P16" i="10"/>
  <c r="Q16" i="10"/>
  <c r="R16" i="10"/>
  <c r="S16" i="10"/>
  <c r="T16" i="10"/>
  <c r="U16" i="10"/>
  <c r="V16" i="10"/>
  <c r="W16" i="10"/>
  <c r="X16" i="10"/>
  <c r="AG16" i="10"/>
  <c r="E17" i="10"/>
  <c r="F17" i="10"/>
  <c r="G17" i="10"/>
  <c r="H17" i="10"/>
  <c r="I17" i="10"/>
  <c r="J17" i="10"/>
  <c r="K17" i="10"/>
  <c r="L17" i="10"/>
  <c r="M17" i="10"/>
  <c r="N17" i="10"/>
  <c r="O17" i="10"/>
  <c r="P17" i="10"/>
  <c r="Q17" i="10"/>
  <c r="R17" i="10"/>
  <c r="S17" i="10"/>
  <c r="T17" i="10"/>
  <c r="U17" i="10"/>
  <c r="V17" i="10"/>
  <c r="W17" i="10"/>
  <c r="X17" i="10"/>
  <c r="AG17" i="10"/>
  <c r="E18" i="10"/>
  <c r="F18" i="10"/>
  <c r="G18" i="10"/>
  <c r="H18" i="10"/>
  <c r="I18" i="10"/>
  <c r="J18" i="10"/>
  <c r="K18" i="10"/>
  <c r="L18" i="10"/>
  <c r="M18" i="10"/>
  <c r="N18" i="10"/>
  <c r="O18" i="10"/>
  <c r="P18" i="10"/>
  <c r="Q18" i="10"/>
  <c r="R18" i="10"/>
  <c r="S18" i="10"/>
  <c r="T18" i="10"/>
  <c r="U18" i="10"/>
  <c r="V18" i="10"/>
  <c r="W18" i="10"/>
  <c r="X18" i="10"/>
  <c r="AG18" i="10"/>
  <c r="E19" i="10"/>
  <c r="F19" i="10"/>
  <c r="G19" i="10"/>
  <c r="H19" i="10"/>
  <c r="I19" i="10"/>
  <c r="J19" i="10"/>
  <c r="K19" i="10"/>
  <c r="L19" i="10"/>
  <c r="M19" i="10"/>
  <c r="N19" i="10"/>
  <c r="O19" i="10"/>
  <c r="P19" i="10"/>
  <c r="Q19" i="10"/>
  <c r="R19" i="10"/>
  <c r="S19" i="10"/>
  <c r="T19" i="10"/>
  <c r="U19" i="10"/>
  <c r="V19" i="10"/>
  <c r="W19" i="10"/>
  <c r="X19" i="10"/>
  <c r="AG19" i="10"/>
  <c r="E20" i="10"/>
  <c r="F20" i="10"/>
  <c r="G20" i="10"/>
  <c r="H20" i="10"/>
  <c r="I20" i="10"/>
  <c r="J20" i="10"/>
  <c r="K20" i="10"/>
  <c r="L20" i="10"/>
  <c r="M20" i="10"/>
  <c r="N20" i="10"/>
  <c r="O20" i="10"/>
  <c r="P20" i="10"/>
  <c r="Q20" i="10"/>
  <c r="R20" i="10"/>
  <c r="S20" i="10"/>
  <c r="T20" i="10"/>
  <c r="U20" i="10"/>
  <c r="V20" i="10"/>
  <c r="W20" i="10"/>
  <c r="X20" i="10"/>
  <c r="AG20" i="10"/>
  <c r="E21" i="10"/>
  <c r="F21" i="10"/>
  <c r="G21" i="10"/>
  <c r="H21" i="10"/>
  <c r="I21" i="10"/>
  <c r="J21" i="10"/>
  <c r="K21" i="10"/>
  <c r="L21" i="10"/>
  <c r="M21" i="10"/>
  <c r="N21" i="10"/>
  <c r="O21" i="10"/>
  <c r="P21" i="10"/>
  <c r="Q21" i="10"/>
  <c r="R21" i="10"/>
  <c r="S21" i="10"/>
  <c r="T21" i="10"/>
  <c r="U21" i="10"/>
  <c r="V21" i="10"/>
  <c r="W21" i="10"/>
  <c r="X21" i="10"/>
  <c r="AG21" i="10"/>
  <c r="F22" i="10"/>
  <c r="G22" i="10"/>
  <c r="H22" i="10"/>
  <c r="I22" i="10"/>
  <c r="J22" i="10"/>
  <c r="K22" i="10"/>
  <c r="L22" i="10"/>
  <c r="M22" i="10"/>
  <c r="N22" i="10"/>
  <c r="O22" i="10"/>
  <c r="P22" i="10"/>
  <c r="Q22" i="10"/>
  <c r="R22" i="10"/>
  <c r="S22" i="10"/>
  <c r="T22" i="10"/>
  <c r="U22" i="10"/>
  <c r="V22" i="10"/>
  <c r="W22" i="10"/>
  <c r="X22" i="10"/>
  <c r="AG22" i="10"/>
  <c r="F23" i="10"/>
  <c r="G23" i="10"/>
  <c r="H23" i="10"/>
  <c r="I23" i="10"/>
  <c r="J23" i="10"/>
  <c r="K23" i="10"/>
  <c r="L23" i="10"/>
  <c r="M23" i="10"/>
  <c r="N23" i="10"/>
  <c r="O23" i="10"/>
  <c r="P23" i="10"/>
  <c r="Q23" i="10"/>
  <c r="R23" i="10"/>
  <c r="S23" i="10"/>
  <c r="T23" i="10"/>
  <c r="U23" i="10"/>
  <c r="V23" i="10"/>
  <c r="W23" i="10"/>
  <c r="X23" i="10"/>
  <c r="AG23" i="10"/>
  <c r="F24" i="10"/>
  <c r="G24" i="10"/>
  <c r="H24" i="10"/>
  <c r="I24" i="10"/>
  <c r="J24" i="10"/>
  <c r="K24" i="10"/>
  <c r="L24" i="10"/>
  <c r="M24" i="10"/>
  <c r="N24" i="10"/>
  <c r="O24" i="10"/>
  <c r="P24" i="10"/>
  <c r="Q24" i="10"/>
  <c r="R24" i="10"/>
  <c r="S24" i="10"/>
  <c r="T24" i="10"/>
  <c r="U24" i="10"/>
  <c r="V24" i="10"/>
  <c r="W24" i="10"/>
  <c r="X24" i="10"/>
  <c r="AG24" i="10"/>
  <c r="F25" i="10"/>
  <c r="G25" i="10"/>
  <c r="H25" i="10"/>
  <c r="I25" i="10"/>
  <c r="J25" i="10"/>
  <c r="K25" i="10"/>
  <c r="L25" i="10"/>
  <c r="M25" i="10"/>
  <c r="N25" i="10"/>
  <c r="O25" i="10"/>
  <c r="P25" i="10"/>
  <c r="Q25" i="10"/>
  <c r="R25" i="10"/>
  <c r="S25" i="10"/>
  <c r="T25" i="10"/>
  <c r="U25" i="10"/>
  <c r="V25" i="10"/>
  <c r="W25" i="10"/>
  <c r="X25" i="10"/>
  <c r="AG25" i="10"/>
  <c r="E26" i="10"/>
  <c r="F26" i="10"/>
  <c r="G26" i="10"/>
  <c r="H26" i="10"/>
  <c r="I26" i="10"/>
  <c r="J26" i="10"/>
  <c r="K26" i="10"/>
  <c r="L26" i="10"/>
  <c r="M26" i="10"/>
  <c r="N26" i="10"/>
  <c r="O26" i="10"/>
  <c r="P26" i="10"/>
  <c r="Q26" i="10"/>
  <c r="R26" i="10"/>
  <c r="S26" i="10"/>
  <c r="T26" i="10"/>
  <c r="U26" i="10"/>
  <c r="V26" i="10"/>
  <c r="W26" i="10"/>
  <c r="X26" i="10"/>
  <c r="AG26" i="10"/>
  <c r="E34" i="10"/>
  <c r="F34" i="10"/>
  <c r="G34" i="10"/>
  <c r="H34" i="10"/>
  <c r="I34" i="10"/>
  <c r="J34" i="10"/>
  <c r="K34" i="10"/>
  <c r="L34" i="10"/>
  <c r="M34" i="10"/>
  <c r="N34" i="10"/>
  <c r="O34" i="10"/>
  <c r="P34" i="10"/>
  <c r="Q34" i="10"/>
  <c r="R34" i="10"/>
  <c r="S34" i="10"/>
  <c r="T34" i="10"/>
  <c r="U34" i="10"/>
  <c r="V34" i="10"/>
  <c r="W34" i="10"/>
  <c r="X34" i="10"/>
  <c r="AG34" i="10"/>
  <c r="E35" i="10"/>
  <c r="F35" i="10"/>
  <c r="G35" i="10"/>
  <c r="H35" i="10"/>
  <c r="I35" i="10"/>
  <c r="J35" i="10"/>
  <c r="K35" i="10"/>
  <c r="L35" i="10"/>
  <c r="M35" i="10"/>
  <c r="N35" i="10"/>
  <c r="O35" i="10"/>
  <c r="P35" i="10"/>
  <c r="Q35" i="10"/>
  <c r="R35" i="10"/>
  <c r="S35" i="10"/>
  <c r="T35" i="10"/>
  <c r="U35" i="10"/>
  <c r="V35" i="10"/>
  <c r="W35" i="10"/>
  <c r="X35" i="10"/>
  <c r="AG35" i="10"/>
  <c r="E36" i="10"/>
  <c r="F36" i="10"/>
  <c r="G36" i="10"/>
  <c r="H36" i="10"/>
  <c r="I36" i="10"/>
  <c r="J36" i="10"/>
  <c r="K36" i="10"/>
  <c r="L36" i="10"/>
  <c r="M36" i="10"/>
  <c r="N36" i="10"/>
  <c r="O36" i="10"/>
  <c r="P36" i="10"/>
  <c r="Q36" i="10"/>
  <c r="R36" i="10"/>
  <c r="S36" i="10"/>
  <c r="T36" i="10"/>
  <c r="U36" i="10"/>
  <c r="V36" i="10"/>
  <c r="W36" i="10"/>
  <c r="X36" i="10"/>
  <c r="AG36" i="10"/>
  <c r="E37" i="10"/>
  <c r="F37" i="10"/>
  <c r="G37" i="10"/>
  <c r="H37" i="10"/>
  <c r="I37" i="10"/>
  <c r="J37" i="10"/>
  <c r="K37" i="10"/>
  <c r="L37" i="10"/>
  <c r="M37" i="10"/>
  <c r="N37" i="10"/>
  <c r="O37" i="10"/>
  <c r="P37" i="10"/>
  <c r="Q37" i="10"/>
  <c r="R37" i="10"/>
  <c r="S37" i="10"/>
  <c r="T37" i="10"/>
  <c r="U37" i="10"/>
  <c r="V37" i="10"/>
  <c r="W37" i="10"/>
  <c r="X37" i="10"/>
  <c r="AG37" i="10"/>
  <c r="E38" i="10"/>
  <c r="F38" i="10"/>
  <c r="G38" i="10"/>
  <c r="H38" i="10"/>
  <c r="I38" i="10"/>
  <c r="J38" i="10"/>
  <c r="K38" i="10"/>
  <c r="L38" i="10"/>
  <c r="M38" i="10"/>
  <c r="N38" i="10"/>
  <c r="O38" i="10"/>
  <c r="P38" i="10"/>
  <c r="Q38" i="10"/>
  <c r="R38" i="10"/>
  <c r="S38" i="10"/>
  <c r="T38" i="10"/>
  <c r="U38" i="10"/>
  <c r="V38" i="10"/>
  <c r="W38" i="10"/>
  <c r="X38" i="10"/>
  <c r="AG38" i="10"/>
  <c r="E39" i="10"/>
  <c r="F39" i="10"/>
  <c r="G39" i="10"/>
  <c r="H39" i="10"/>
  <c r="I39" i="10"/>
  <c r="J39" i="10"/>
  <c r="K39" i="10"/>
  <c r="L39" i="10"/>
  <c r="M39" i="10"/>
  <c r="N39" i="10"/>
  <c r="O39" i="10"/>
  <c r="P39" i="10"/>
  <c r="Q39" i="10"/>
  <c r="R39" i="10"/>
  <c r="S39" i="10"/>
  <c r="T39" i="10"/>
  <c r="U39" i="10"/>
  <c r="V39" i="10"/>
  <c r="W39" i="10"/>
  <c r="X39" i="10"/>
  <c r="AG39" i="10"/>
  <c r="E40" i="10"/>
  <c r="F40" i="10"/>
  <c r="G40" i="10"/>
  <c r="H40" i="10"/>
  <c r="I40" i="10"/>
  <c r="J40" i="10"/>
  <c r="K40" i="10"/>
  <c r="L40" i="10"/>
  <c r="M40" i="10"/>
  <c r="N40" i="10"/>
  <c r="O40" i="10"/>
  <c r="P40" i="10"/>
  <c r="Q40" i="10"/>
  <c r="R40" i="10"/>
  <c r="S40" i="10"/>
  <c r="T40" i="10"/>
  <c r="U40" i="10"/>
  <c r="V40" i="10"/>
  <c r="W40" i="10"/>
  <c r="X40" i="10"/>
  <c r="AG40" i="10"/>
  <c r="B13" i="3"/>
  <c r="I13" i="3" s="1"/>
  <c r="AD27" i="3"/>
  <c r="AE27" i="3"/>
  <c r="AD28" i="3"/>
  <c r="AE28" i="3"/>
  <c r="AD29" i="3"/>
  <c r="AE29" i="3"/>
  <c r="AD30" i="3"/>
  <c r="AE30" i="3"/>
  <c r="I37" i="3"/>
  <c r="V37" i="3" s="1"/>
  <c r="J2" i="2"/>
  <c r="B3" i="2"/>
  <c r="K3" i="2"/>
  <c r="I3" i="2" s="1"/>
  <c r="B21" i="2" s="1"/>
  <c r="B22" i="2" s="1"/>
  <c r="B4" i="34"/>
  <c r="F5" i="34"/>
  <c r="H5" i="34"/>
  <c r="H7" i="34"/>
  <c r="T5" i="7"/>
  <c r="T6" i="7"/>
  <c r="T7" i="7"/>
  <c r="T10" i="7"/>
  <c r="T11" i="7"/>
  <c r="T15" i="7"/>
  <c r="T18" i="7"/>
  <c r="T21" i="7"/>
  <c r="T25" i="7"/>
  <c r="T26" i="7"/>
  <c r="T28" i="7"/>
  <c r="T30" i="7"/>
  <c r="T31" i="7"/>
  <c r="T36" i="7"/>
  <c r="T38" i="7"/>
  <c r="T40" i="7"/>
  <c r="T45" i="7"/>
  <c r="T47" i="7"/>
  <c r="T49" i="7"/>
  <c r="T51" i="7"/>
  <c r="T56" i="7"/>
  <c r="T58" i="7"/>
  <c r="T60" i="7"/>
  <c r="T61" i="7"/>
  <c r="T57" i="7"/>
  <c r="T50" i="7"/>
  <c r="T46" i="7"/>
  <c r="T39" i="7"/>
  <c r="T35" i="7"/>
  <c r="T20" i="7"/>
  <c r="T19" i="7"/>
  <c r="T17" i="7"/>
  <c r="T9" i="7"/>
  <c r="T8" i="7"/>
  <c r="T27" i="7"/>
  <c r="T37" i="7"/>
  <c r="T59" i="7"/>
  <c r="T29" i="7"/>
  <c r="T48" i="7"/>
  <c r="T55" i="7"/>
  <c r="T41" i="7"/>
  <c r="V35" i="3"/>
  <c r="B2" i="62"/>
  <c r="B2" i="10"/>
  <c r="B2" i="8"/>
  <c r="B6" i="7"/>
  <c r="B3" i="8" s="1"/>
  <c r="U24" i="6"/>
  <c r="P24" i="6"/>
  <c r="Z24" i="6" s="1"/>
  <c r="P15" i="62"/>
  <c r="L2" i="10" l="1"/>
  <c r="AF3" i="10"/>
  <c r="W16" i="7"/>
  <c r="L12" i="7"/>
  <c r="G13" i="34" s="1"/>
  <c r="G15" i="34" s="1"/>
  <c r="AA16" i="7"/>
  <c r="L52" i="7"/>
  <c r="G13" i="38" s="1"/>
  <c r="G14" i="38" s="1"/>
  <c r="Z16" i="7"/>
  <c r="L42" i="7"/>
  <c r="G13" i="37" s="1"/>
  <c r="G14" i="37" s="1"/>
  <c r="Y19" i="7"/>
  <c r="L32" i="7"/>
  <c r="G13" i="36" s="1"/>
  <c r="G14" i="36" s="1"/>
  <c r="AA3" i="62"/>
  <c r="X2" i="9"/>
  <c r="AB3" i="11"/>
  <c r="L2" i="8"/>
  <c r="G3" i="8"/>
  <c r="H2" i="11"/>
  <c r="H2" i="10"/>
  <c r="L2" i="9"/>
  <c r="Z2" i="8"/>
  <c r="AC3" i="10"/>
  <c r="AD2" i="8"/>
  <c r="AD2" i="11"/>
  <c r="Z3" i="9"/>
  <c r="R2" i="8"/>
  <c r="Z2" i="11"/>
  <c r="AD3" i="10"/>
  <c r="Z3" i="8"/>
  <c r="Z2" i="10"/>
  <c r="Y2" i="9"/>
  <c r="AC2" i="10"/>
  <c r="H3" i="62"/>
  <c r="M3" i="10"/>
  <c r="L3" i="9"/>
  <c r="L3" i="62"/>
  <c r="L3" i="10"/>
  <c r="Q3" i="11"/>
  <c r="R29" i="4"/>
  <c r="B20" i="6"/>
  <c r="K20" i="6" s="1"/>
  <c r="P20" i="6" s="1"/>
  <c r="Z20" i="6" s="1"/>
  <c r="Y3" i="10"/>
  <c r="Q3" i="9"/>
  <c r="N3" i="11"/>
  <c r="M29" i="4"/>
  <c r="K36" i="7"/>
  <c r="I55" i="7"/>
  <c r="M55" i="7" s="1"/>
  <c r="F38" i="5" s="1"/>
  <c r="I56" i="7"/>
  <c r="M56" i="7" s="1"/>
  <c r="F39" i="5" s="1"/>
  <c r="I27" i="7"/>
  <c r="M27" i="7" s="1"/>
  <c r="F19" i="5" s="1"/>
  <c r="J25" i="7"/>
  <c r="J20" i="7"/>
  <c r="I19" i="7"/>
  <c r="M19" i="7" s="1"/>
  <c r="F14" i="5" s="1"/>
  <c r="I16" i="7"/>
  <c r="M16" i="7" s="1"/>
  <c r="F11" i="5" s="1"/>
  <c r="G11" i="7"/>
  <c r="W11" i="7" s="1"/>
  <c r="J6" i="7"/>
  <c r="G5" i="7"/>
  <c r="I10" i="7"/>
  <c r="M10" i="7" s="1"/>
  <c r="F8" i="5" s="1"/>
  <c r="E2" i="10"/>
  <c r="V20" i="3"/>
  <c r="K3" i="62"/>
  <c r="V21" i="3"/>
  <c r="V25" i="3"/>
  <c r="V32" i="3"/>
  <c r="U21" i="6"/>
  <c r="O3" i="11"/>
  <c r="AA2" i="8"/>
  <c r="AD3" i="11"/>
  <c r="Z3" i="11"/>
  <c r="Z2" i="9"/>
  <c r="J2" i="10"/>
  <c r="V3" i="8"/>
  <c r="Z3" i="62"/>
  <c r="AD2" i="10"/>
  <c r="Z3" i="10"/>
  <c r="W3" i="11"/>
  <c r="K3" i="8"/>
  <c r="V3" i="62"/>
  <c r="N29" i="4"/>
  <c r="O2" i="8"/>
  <c r="S2" i="62"/>
  <c r="R2" i="9"/>
  <c r="K3" i="10"/>
  <c r="AE2" i="9"/>
  <c r="S3" i="8"/>
  <c r="S2" i="11"/>
  <c r="W2" i="10"/>
  <c r="S3" i="11"/>
  <c r="K2" i="11"/>
  <c r="AA3" i="10"/>
  <c r="AA2" i="9"/>
  <c r="AA3" i="8"/>
  <c r="S29" i="4"/>
  <c r="S2" i="8"/>
  <c r="AE2" i="62"/>
  <c r="O29" i="4"/>
  <c r="K29" i="4"/>
  <c r="AA2" i="10"/>
  <c r="W2" i="11"/>
  <c r="W2" i="8"/>
  <c r="AA3" i="9"/>
  <c r="W2" i="62"/>
  <c r="G3" i="11"/>
  <c r="K2" i="10"/>
  <c r="R3" i="8"/>
  <c r="O3" i="8"/>
  <c r="V2" i="62"/>
  <c r="O2" i="62"/>
  <c r="K2" i="8"/>
  <c r="G3" i="10"/>
  <c r="K3" i="11"/>
  <c r="R3" i="9"/>
  <c r="V2" i="9"/>
  <c r="V2" i="11"/>
  <c r="O2" i="9"/>
  <c r="U3" i="11"/>
  <c r="R3" i="62"/>
  <c r="V3" i="10"/>
  <c r="K2" i="62"/>
  <c r="V2" i="10"/>
  <c r="R2" i="10"/>
  <c r="V3" i="11"/>
  <c r="G2" i="62"/>
  <c r="K3" i="9"/>
  <c r="K2" i="9"/>
  <c r="R3" i="10"/>
  <c r="V3" i="9"/>
  <c r="U2" i="11"/>
  <c r="O2" i="11"/>
  <c r="R2" i="62"/>
  <c r="V29" i="4"/>
  <c r="R3" i="11"/>
  <c r="Z5" i="6"/>
  <c r="U5" i="6"/>
  <c r="G61" i="7"/>
  <c r="G57" i="7"/>
  <c r="AB7" i="7" s="1"/>
  <c r="G56" i="7"/>
  <c r="V22" i="3"/>
  <c r="AF2" i="9"/>
  <c r="AF3" i="11"/>
  <c r="X3" i="10"/>
  <c r="AB3" i="8"/>
  <c r="T3" i="10"/>
  <c r="M3" i="62"/>
  <c r="W54" i="11"/>
  <c r="K18" i="7"/>
  <c r="G60" i="7"/>
  <c r="AB10" i="7" s="1"/>
  <c r="G59" i="7"/>
  <c r="AB9" i="7" s="1"/>
  <c r="G58" i="7"/>
  <c r="AB8" i="7" s="1"/>
  <c r="B22" i="6"/>
  <c r="K22" i="6" s="1"/>
  <c r="U22" i="6" s="1"/>
  <c r="V33" i="3"/>
  <c r="M2" i="9"/>
  <c r="AB3" i="10"/>
  <c r="U26" i="6"/>
  <c r="K61" i="7"/>
  <c r="X16" i="7"/>
  <c r="L22" i="7"/>
  <c r="G13" i="35" s="1"/>
  <c r="G15" i="35" s="1"/>
  <c r="I9" i="7"/>
  <c r="M9" i="7" s="1"/>
  <c r="F7" i="5" s="1"/>
  <c r="J60" i="7"/>
  <c r="J29" i="7"/>
  <c r="J16" i="7"/>
  <c r="J9" i="7"/>
  <c r="AF3" i="62"/>
  <c r="AF2" i="11"/>
  <c r="AF2" i="62"/>
  <c r="AB2" i="11"/>
  <c r="AB3" i="9"/>
  <c r="AB2" i="9"/>
  <c r="AB2" i="10"/>
  <c r="AB2" i="8"/>
  <c r="X2" i="11"/>
  <c r="X3" i="62"/>
  <c r="X3" i="8"/>
  <c r="X29" i="4"/>
  <c r="X2" i="10"/>
  <c r="X3" i="9"/>
  <c r="X2" i="62"/>
  <c r="X3" i="11"/>
  <c r="T3" i="8"/>
  <c r="T3" i="9"/>
  <c r="AF3" i="9"/>
  <c r="AF2" i="10"/>
  <c r="AF3" i="8"/>
  <c r="P2" i="8"/>
  <c r="AB3" i="62"/>
  <c r="P52" i="11"/>
  <c r="I11" i="7"/>
  <c r="M11" i="7" s="1"/>
  <c r="F9" i="5" s="1"/>
  <c r="J46" i="7"/>
  <c r="J28" i="7"/>
  <c r="J21" i="7"/>
  <c r="J18" i="7"/>
  <c r="J15" i="7"/>
  <c r="J11" i="7"/>
  <c r="J7" i="7"/>
  <c r="AC3" i="8"/>
  <c r="AC3" i="11"/>
  <c r="AC3" i="9"/>
  <c r="AC3" i="62"/>
  <c r="Y2" i="11"/>
  <c r="Y3" i="8"/>
  <c r="Y3" i="9"/>
  <c r="U2" i="62"/>
  <c r="U3" i="62"/>
  <c r="U29" i="4"/>
  <c r="Q3" i="10"/>
  <c r="Q2" i="62"/>
  <c r="Q2" i="11"/>
  <c r="N2" i="8"/>
  <c r="N3" i="62"/>
  <c r="N3" i="8"/>
  <c r="N2" i="10"/>
  <c r="J2" i="8"/>
  <c r="J29" i="4"/>
  <c r="J3" i="8"/>
  <c r="J2" i="62"/>
  <c r="F2" i="62"/>
  <c r="F2" i="8"/>
  <c r="K6" i="7"/>
  <c r="I60" i="7"/>
  <c r="I46" i="7"/>
  <c r="M46" i="7" s="1"/>
  <c r="F32" i="5" s="1"/>
  <c r="I20" i="7"/>
  <c r="M20" i="7" s="1"/>
  <c r="F15" i="5" s="1"/>
  <c r="I5" i="7"/>
  <c r="G10" i="7"/>
  <c r="W10" i="7" s="1"/>
  <c r="G7" i="7"/>
  <c r="W7" i="7" s="1"/>
  <c r="G55" i="7"/>
  <c r="AB5" i="7" s="1"/>
  <c r="E47" i="62"/>
  <c r="AN47" i="11"/>
  <c r="E46" i="62"/>
  <c r="AN46" i="11"/>
  <c r="AN45" i="11"/>
  <c r="E44" i="62"/>
  <c r="AN44" i="11"/>
  <c r="AN43" i="11"/>
  <c r="X41" i="62"/>
  <c r="X54" i="62" s="1"/>
  <c r="X54" i="11"/>
  <c r="T41" i="62"/>
  <c r="T54" i="62" s="1"/>
  <c r="T54" i="11"/>
  <c r="R41" i="62"/>
  <c r="R54" i="62" s="1"/>
  <c r="R54" i="11"/>
  <c r="Q54" i="11"/>
  <c r="N41" i="62"/>
  <c r="N54" i="62" s="1"/>
  <c r="N54" i="11"/>
  <c r="M54" i="11"/>
  <c r="K41" i="62"/>
  <c r="K54" i="62" s="1"/>
  <c r="K54" i="11"/>
  <c r="J54" i="11"/>
  <c r="H54" i="11"/>
  <c r="F41" i="62"/>
  <c r="F54" i="11"/>
  <c r="AN38" i="11"/>
  <c r="I38" i="62" s="1"/>
  <c r="AN36" i="11"/>
  <c r="AN35" i="11"/>
  <c r="W53" i="11"/>
  <c r="W34" i="62"/>
  <c r="W53" i="62" s="1"/>
  <c r="U53" i="11"/>
  <c r="U34" i="62"/>
  <c r="U53" i="62" s="1"/>
  <c r="S53" i="11"/>
  <c r="S34" i="62"/>
  <c r="S53" i="62" s="1"/>
  <c r="Q53" i="11"/>
  <c r="Q34" i="62"/>
  <c r="O53" i="11"/>
  <c r="M53" i="11"/>
  <c r="M34" i="62"/>
  <c r="J53" i="11"/>
  <c r="AN33" i="11"/>
  <c r="I33" i="62" s="1"/>
  <c r="AN32" i="11"/>
  <c r="AN31" i="11"/>
  <c r="W27" i="62"/>
  <c r="W52" i="62" s="1"/>
  <c r="W52" i="11"/>
  <c r="R52" i="11"/>
  <c r="R27" i="62"/>
  <c r="R52" i="62" s="1"/>
  <c r="N52" i="11"/>
  <c r="L52" i="11"/>
  <c r="AN23" i="11"/>
  <c r="AN22" i="11"/>
  <c r="M51" i="11"/>
  <c r="M20" i="62"/>
  <c r="K20" i="62"/>
  <c r="K51" i="11"/>
  <c r="AN19" i="11"/>
  <c r="E19" i="62"/>
  <c r="AN16" i="11"/>
  <c r="P50" i="11"/>
  <c r="M50" i="11"/>
  <c r="J50" i="11"/>
  <c r="H50" i="11"/>
  <c r="F50" i="11"/>
  <c r="AN12" i="11"/>
  <c r="E12" i="62"/>
  <c r="W6" i="62"/>
  <c r="W49" i="62" s="1"/>
  <c r="W49" i="11"/>
  <c r="R49" i="11"/>
  <c r="R6" i="62"/>
  <c r="R49" i="62" s="1"/>
  <c r="P49" i="11"/>
  <c r="N49" i="11"/>
  <c r="L49" i="11"/>
  <c r="I49" i="11"/>
  <c r="F49" i="11"/>
  <c r="I58" i="7"/>
  <c r="J61" i="7"/>
  <c r="J57" i="7"/>
  <c r="P6" i="62"/>
  <c r="F3" i="8"/>
  <c r="H2" i="8"/>
  <c r="L3" i="8"/>
  <c r="L2" i="11"/>
  <c r="V19" i="3"/>
  <c r="V36" i="3"/>
  <c r="P25" i="6"/>
  <c r="Z25" i="6" s="1"/>
  <c r="H3" i="10"/>
  <c r="P5" i="6"/>
  <c r="Y2" i="8"/>
  <c r="Y2" i="10"/>
  <c r="AE2" i="10"/>
  <c r="AE3" i="10"/>
  <c r="AE3" i="9"/>
  <c r="AE3" i="11"/>
  <c r="B2" i="11"/>
  <c r="B2" i="9"/>
  <c r="F29" i="4"/>
  <c r="J2" i="11"/>
  <c r="J3" i="10"/>
  <c r="J3" i="9"/>
  <c r="L29" i="4"/>
  <c r="L3" i="11"/>
  <c r="N3" i="10"/>
  <c r="N2" i="9"/>
  <c r="Q2" i="8"/>
  <c r="U3" i="10"/>
  <c r="S2" i="10"/>
  <c r="S3" i="9"/>
  <c r="W3" i="10"/>
  <c r="Q2" i="10"/>
  <c r="Q3" i="8"/>
  <c r="S2" i="9"/>
  <c r="U3" i="8"/>
  <c r="U2" i="9"/>
  <c r="U2" i="8"/>
  <c r="U2" i="10"/>
  <c r="W2" i="9"/>
  <c r="W3" i="8"/>
  <c r="W29" i="4"/>
  <c r="B17" i="6"/>
  <c r="K17" i="6" s="1"/>
  <c r="U17" i="6" s="1"/>
  <c r="N3" i="9"/>
  <c r="J3" i="11"/>
  <c r="Q29" i="4"/>
  <c r="Y3" i="11"/>
  <c r="AE2" i="11"/>
  <c r="S3" i="10"/>
  <c r="AA3" i="11"/>
  <c r="Q2" i="9"/>
  <c r="AC2" i="11"/>
  <c r="AC2" i="8"/>
  <c r="Q3" i="62"/>
  <c r="J3" i="62"/>
  <c r="N2" i="62"/>
  <c r="N2" i="11"/>
  <c r="Y3" i="62"/>
  <c r="AC2" i="62"/>
  <c r="W3" i="62"/>
  <c r="AA2" i="62"/>
  <c r="AE3" i="62"/>
  <c r="AE3" i="8"/>
  <c r="K55" i="7"/>
  <c r="D8" i="1"/>
  <c r="G48" i="7"/>
  <c r="AA8" i="7" s="1"/>
  <c r="G47" i="7"/>
  <c r="AA7" i="7" s="1"/>
  <c r="G28" i="7"/>
  <c r="Y8" i="7" s="1"/>
  <c r="G15" i="7"/>
  <c r="AN42" i="11"/>
  <c r="E42" i="62" s="1"/>
  <c r="W41" i="62"/>
  <c r="W54" i="62" s="1"/>
  <c r="V41" i="62"/>
  <c r="V54" i="62" s="1"/>
  <c r="V54" i="11"/>
  <c r="U54" i="11"/>
  <c r="S41" i="62"/>
  <c r="S54" i="62" s="1"/>
  <c r="S54" i="11"/>
  <c r="Q41" i="62"/>
  <c r="Q54" i="62" s="1"/>
  <c r="P41" i="62"/>
  <c r="P54" i="62" s="1"/>
  <c r="P54" i="11"/>
  <c r="O54" i="11"/>
  <c r="M41" i="62"/>
  <c r="M54" i="62" s="1"/>
  <c r="L54" i="11"/>
  <c r="J41" i="62"/>
  <c r="J54" i="62" s="1"/>
  <c r="I41" i="62"/>
  <c r="I54" i="11"/>
  <c r="G54" i="11"/>
  <c r="E54" i="11"/>
  <c r="AN41" i="11"/>
  <c r="G41" i="62" s="1"/>
  <c r="G54" i="62" s="1"/>
  <c r="E40" i="62"/>
  <c r="AN40" i="11"/>
  <c r="AN39" i="11"/>
  <c r="AN37" i="11"/>
  <c r="X53" i="11"/>
  <c r="X34" i="62"/>
  <c r="X53" i="62" s="1"/>
  <c r="V53" i="11"/>
  <c r="V34" i="62"/>
  <c r="V53" i="62" s="1"/>
  <c r="T53" i="11"/>
  <c r="T34" i="62"/>
  <c r="T53" i="62" s="1"/>
  <c r="R53" i="11"/>
  <c r="R34" i="62"/>
  <c r="R53" i="62" s="1"/>
  <c r="P53" i="11"/>
  <c r="P34" i="62"/>
  <c r="N53" i="11"/>
  <c r="I53" i="11"/>
  <c r="G34" i="62"/>
  <c r="G53" i="11"/>
  <c r="E53" i="11"/>
  <c r="AN34" i="11"/>
  <c r="AN29" i="11"/>
  <c r="V52" i="11"/>
  <c r="V27" i="62"/>
  <c r="V52" i="62" s="1"/>
  <c r="S27" i="62"/>
  <c r="S52" i="62" s="1"/>
  <c r="S52" i="11"/>
  <c r="K52" i="11"/>
  <c r="K27" i="62"/>
  <c r="H52" i="11"/>
  <c r="F52" i="11"/>
  <c r="P51" i="11"/>
  <c r="N51" i="11"/>
  <c r="J51" i="11"/>
  <c r="H51" i="11"/>
  <c r="F51" i="11"/>
  <c r="AN17" i="11"/>
  <c r="V49" i="11"/>
  <c r="V6" i="62"/>
  <c r="V49" i="62" s="1"/>
  <c r="S6" i="62"/>
  <c r="S49" i="62" s="1"/>
  <c r="S49" i="11"/>
  <c r="L53" i="11"/>
  <c r="K53" i="11"/>
  <c r="H53" i="11"/>
  <c r="F53" i="11"/>
  <c r="AN30" i="11"/>
  <c r="AN28" i="11"/>
  <c r="X52" i="11"/>
  <c r="U27" i="62"/>
  <c r="U52" i="62" s="1"/>
  <c r="U52" i="11"/>
  <c r="T52" i="11"/>
  <c r="Q27" i="62"/>
  <c r="Q52" i="11"/>
  <c r="O27" i="62"/>
  <c r="O52" i="11"/>
  <c r="M52" i="11"/>
  <c r="J52" i="11"/>
  <c r="I52" i="11"/>
  <c r="G52" i="11"/>
  <c r="E52" i="11"/>
  <c r="AN27" i="11"/>
  <c r="M27" i="62" s="1"/>
  <c r="E26" i="62"/>
  <c r="AN26" i="11"/>
  <c r="AN25" i="11"/>
  <c r="AN24" i="11"/>
  <c r="X51" i="11"/>
  <c r="W51" i="11"/>
  <c r="V51" i="11"/>
  <c r="U51" i="11"/>
  <c r="T51" i="11"/>
  <c r="S51" i="11"/>
  <c r="R51" i="11"/>
  <c r="Q51" i="11"/>
  <c r="O20" i="62"/>
  <c r="O51" i="11"/>
  <c r="L51" i="11"/>
  <c r="I51" i="11"/>
  <c r="G51" i="11"/>
  <c r="AN20" i="11"/>
  <c r="AN15" i="11"/>
  <c r="AN14" i="11"/>
  <c r="X50" i="11"/>
  <c r="W50" i="11"/>
  <c r="V50" i="11"/>
  <c r="U50" i="11"/>
  <c r="T50" i="11"/>
  <c r="S50" i="11"/>
  <c r="R50" i="11"/>
  <c r="Q50" i="11"/>
  <c r="O13" i="62"/>
  <c r="O50" i="11"/>
  <c r="N50" i="11"/>
  <c r="L50" i="11"/>
  <c r="K50" i="11"/>
  <c r="I50" i="11"/>
  <c r="G50" i="11"/>
  <c r="AN13" i="11"/>
  <c r="AN11" i="11"/>
  <c r="AN9" i="11"/>
  <c r="AN8" i="11"/>
  <c r="AN7" i="11"/>
  <c r="X49" i="11"/>
  <c r="U6" i="62"/>
  <c r="U49" i="62" s="1"/>
  <c r="U49" i="11"/>
  <c r="T49" i="11"/>
  <c r="Q6" i="62"/>
  <c r="Q49" i="62" s="1"/>
  <c r="Q49" i="11"/>
  <c r="O6" i="62"/>
  <c r="O49" i="11"/>
  <c r="M6" i="62"/>
  <c r="M49" i="11"/>
  <c r="K6" i="62"/>
  <c r="K49" i="11"/>
  <c r="J49" i="11"/>
  <c r="H49" i="11"/>
  <c r="G49" i="11"/>
  <c r="E49" i="11"/>
  <c r="AN6" i="11"/>
  <c r="I61" i="7"/>
  <c r="M61" i="7" s="1"/>
  <c r="F44" i="5" s="1"/>
  <c r="I30" i="7"/>
  <c r="M30" i="7" s="1"/>
  <c r="F22" i="5" s="1"/>
  <c r="I25" i="7"/>
  <c r="M25" i="7" s="1"/>
  <c r="F17" i="5" s="1"/>
  <c r="AN10" i="11"/>
  <c r="E51" i="11"/>
  <c r="AN21" i="11"/>
  <c r="AN18" i="11"/>
  <c r="E50" i="11"/>
  <c r="B19" i="6"/>
  <c r="K19" i="6" s="1"/>
  <c r="V26" i="3"/>
  <c r="B3" i="10"/>
  <c r="B3" i="11"/>
  <c r="U23" i="6"/>
  <c r="T2" i="9"/>
  <c r="T2" i="10"/>
  <c r="T2" i="11"/>
  <c r="V34" i="3"/>
  <c r="T29" i="4"/>
  <c r="P3" i="62"/>
  <c r="P2" i="11"/>
  <c r="T3" i="11"/>
  <c r="T2" i="62"/>
  <c r="T2" i="8"/>
  <c r="H2" i="62"/>
  <c r="E29" i="4"/>
  <c r="H2" i="9"/>
  <c r="I2" i="8"/>
  <c r="H3" i="8"/>
  <c r="H3" i="9"/>
  <c r="H3" i="11"/>
  <c r="E3" i="8"/>
  <c r="B11" i="6"/>
  <c r="K11" i="6" s="1"/>
  <c r="P11" i="6" s="1"/>
  <c r="Z11" i="6" s="1"/>
  <c r="G2" i="11"/>
  <c r="G2" i="9"/>
  <c r="G3" i="62"/>
  <c r="G3" i="9"/>
  <c r="G29" i="4"/>
  <c r="G2" i="8"/>
  <c r="G2" i="10"/>
  <c r="B7" i="6"/>
  <c r="K7" i="6" s="1"/>
  <c r="P7" i="6" s="1"/>
  <c r="Z7" i="6" s="1"/>
  <c r="V14" i="3"/>
  <c r="F3" i="11"/>
  <c r="F2" i="9"/>
  <c r="F2" i="10"/>
  <c r="F2" i="11"/>
  <c r="F3" i="62"/>
  <c r="F3" i="10"/>
  <c r="W50" i="62"/>
  <c r="U50" i="62"/>
  <c r="S50" i="62"/>
  <c r="X50" i="62"/>
  <c r="R50" i="62"/>
  <c r="R51" i="62"/>
  <c r="L54" i="62"/>
  <c r="B6" i="6"/>
  <c r="K6" i="6" s="1"/>
  <c r="P6" i="6" s="1"/>
  <c r="Z6" i="6" s="1"/>
  <c r="V13" i="3"/>
  <c r="V17" i="3"/>
  <c r="B10" i="6"/>
  <c r="K10" i="6" s="1"/>
  <c r="U12" i="6"/>
  <c r="P12" i="6"/>
  <c r="Z12" i="6" s="1"/>
  <c r="P9" i="6"/>
  <c r="Z9" i="6" s="1"/>
  <c r="U9" i="6"/>
  <c r="B8" i="6"/>
  <c r="K8" i="6" s="1"/>
  <c r="V15" i="3"/>
  <c r="E2" i="9"/>
  <c r="I2" i="11"/>
  <c r="I2" i="9"/>
  <c r="P13" i="6"/>
  <c r="Z13" i="6" s="1"/>
  <c r="M3" i="11"/>
  <c r="M2" i="11"/>
  <c r="E3" i="9"/>
  <c r="P3" i="10"/>
  <c r="P3" i="9"/>
  <c r="I3" i="62"/>
  <c r="M2" i="62"/>
  <c r="X52" i="62"/>
  <c r="T52" i="62"/>
  <c r="T50" i="62"/>
  <c r="E3" i="11"/>
  <c r="E2" i="11"/>
  <c r="V16" i="3"/>
  <c r="I3" i="11"/>
  <c r="I29" i="4"/>
  <c r="I3" i="9"/>
  <c r="M2" i="10"/>
  <c r="M3" i="9"/>
  <c r="P2" i="9"/>
  <c r="P3" i="8"/>
  <c r="E3" i="62"/>
  <c r="I2" i="62"/>
  <c r="M3" i="8"/>
  <c r="P29" i="4"/>
  <c r="E3" i="10"/>
  <c r="E2" i="8"/>
  <c r="I3" i="10"/>
  <c r="I3" i="8"/>
  <c r="M2" i="8"/>
  <c r="P3" i="11"/>
  <c r="B16" i="6"/>
  <c r="K16" i="6" s="1"/>
  <c r="P16" i="6" s="1"/>
  <c r="Z16" i="6" s="1"/>
  <c r="P2" i="62"/>
  <c r="G36" i="7"/>
  <c r="Z6" i="7" s="1"/>
  <c r="K39" i="7"/>
  <c r="K27" i="7"/>
  <c r="K28" i="7"/>
  <c r="U51" i="62"/>
  <c r="Q51" i="62"/>
  <c r="K9" i="7"/>
  <c r="K8" i="7"/>
  <c r="T49" i="62"/>
  <c r="I36" i="7"/>
  <c r="M36" i="7" s="1"/>
  <c r="F25" i="5" s="1"/>
  <c r="K21" i="7"/>
  <c r="K20" i="7"/>
  <c r="K5" i="7"/>
  <c r="I49" i="7"/>
  <c r="M49" i="7" s="1"/>
  <c r="F35" i="5" s="1"/>
  <c r="K35" i="7"/>
  <c r="V51" i="62"/>
  <c r="K26" i="7"/>
  <c r="I41" i="7"/>
  <c r="M41" i="7" s="1"/>
  <c r="F30" i="5" s="1"/>
  <c r="K29" i="62"/>
  <c r="K37" i="7"/>
  <c r="Q50" i="62"/>
  <c r="K11" i="7"/>
  <c r="K31" i="7"/>
  <c r="G30" i="7"/>
  <c r="G21" i="7"/>
  <c r="X11" i="7" s="1"/>
  <c r="G18" i="7"/>
  <c r="K48" i="7"/>
  <c r="X51" i="62"/>
  <c r="G11" i="62"/>
  <c r="K10" i="7"/>
  <c r="I47" i="7"/>
  <c r="M47" i="7" s="1"/>
  <c r="F33" i="5" s="1"/>
  <c r="I31" i="7"/>
  <c r="M31" i="7" s="1"/>
  <c r="F23" i="5" s="1"/>
  <c r="I29" i="7"/>
  <c r="I28" i="7"/>
  <c r="I26" i="7"/>
  <c r="M26" i="7" s="1"/>
  <c r="F18" i="5" s="1"/>
  <c r="I21" i="7"/>
  <c r="M21" i="7" s="1"/>
  <c r="F16" i="5" s="1"/>
  <c r="I18" i="7"/>
  <c r="I15" i="7"/>
  <c r="M15" i="7" s="1"/>
  <c r="F10" i="5" s="1"/>
  <c r="I7" i="7"/>
  <c r="M7" i="7" s="1"/>
  <c r="F5" i="5" s="1"/>
  <c r="I6" i="7"/>
  <c r="J48" i="7"/>
  <c r="J31" i="7"/>
  <c r="J30" i="7"/>
  <c r="J27" i="7"/>
  <c r="J26" i="7"/>
  <c r="J19" i="7"/>
  <c r="J10" i="7"/>
  <c r="J8" i="7"/>
  <c r="J5" i="7"/>
  <c r="W18" i="7"/>
  <c r="G9" i="7"/>
  <c r="G6" i="7"/>
  <c r="J35" i="7"/>
  <c r="G37" i="7"/>
  <c r="Z7" i="7" s="1"/>
  <c r="J47" i="7"/>
  <c r="G39" i="7"/>
  <c r="G35" i="7"/>
  <c r="T51" i="62"/>
  <c r="S51" i="62"/>
  <c r="J38" i="7"/>
  <c r="G41" i="7"/>
  <c r="G50" i="7"/>
  <c r="AA10" i="7" s="1"/>
  <c r="J51" i="7"/>
  <c r="U15" i="6"/>
  <c r="P15" i="6"/>
  <c r="Z15" i="6" s="1"/>
  <c r="P14" i="6"/>
  <c r="Z14" i="6" s="1"/>
  <c r="U14" i="6"/>
  <c r="G49" i="7"/>
  <c r="G46" i="7"/>
  <c r="G31" i="7"/>
  <c r="G29" i="7"/>
  <c r="G27" i="7"/>
  <c r="G25" i="7"/>
  <c r="G20" i="7"/>
  <c r="G16" i="7"/>
  <c r="I46" i="62"/>
  <c r="K60" i="7"/>
  <c r="E45" i="62"/>
  <c r="K59" i="7"/>
  <c r="Q59" i="7" s="1"/>
  <c r="I44" i="62"/>
  <c r="K58" i="7"/>
  <c r="E43" i="62"/>
  <c r="K57" i="7"/>
  <c r="U54" i="62"/>
  <c r="G39" i="62"/>
  <c r="K50" i="7"/>
  <c r="P18" i="6"/>
  <c r="Z18" i="6" s="1"/>
  <c r="B3" i="62"/>
  <c r="B3" i="9"/>
  <c r="K40" i="7"/>
  <c r="K30" i="7"/>
  <c r="K29" i="7"/>
  <c r="K19" i="7"/>
  <c r="J50" i="7"/>
  <c r="J49" i="7"/>
  <c r="O3" i="62"/>
  <c r="AD2" i="9"/>
  <c r="AD3" i="9"/>
  <c r="O3" i="9"/>
  <c r="AD2" i="62"/>
  <c r="F42" i="62"/>
  <c r="K56" i="7"/>
  <c r="P56" i="7" s="1"/>
  <c r="K38" i="7"/>
  <c r="V50" i="62"/>
  <c r="K16" i="7"/>
  <c r="J56" i="7"/>
  <c r="R56" i="7" s="1"/>
  <c r="J55" i="7"/>
  <c r="O3" i="10"/>
  <c r="K17" i="7"/>
  <c r="K25" i="7"/>
  <c r="AD3" i="62"/>
  <c r="K46" i="7"/>
  <c r="G51" i="7"/>
  <c r="G26" i="7"/>
  <c r="G19" i="7"/>
  <c r="W51" i="62"/>
  <c r="K15" i="7"/>
  <c r="P8" i="62"/>
  <c r="K7" i="7"/>
  <c r="X49" i="62"/>
  <c r="I59" i="7"/>
  <c r="J36" i="7"/>
  <c r="I57" i="7"/>
  <c r="I48" i="7"/>
  <c r="I35" i="7"/>
  <c r="J37" i="7"/>
  <c r="K41" i="7"/>
  <c r="F3" i="9"/>
  <c r="I37" i="7"/>
  <c r="I51" i="7"/>
  <c r="M51" i="7" s="1"/>
  <c r="F37" i="5" s="1"/>
  <c r="I50" i="7"/>
  <c r="M50" i="7" s="1"/>
  <c r="F36" i="5" s="1"/>
  <c r="J59" i="7"/>
  <c r="J58" i="7"/>
  <c r="I38" i="7"/>
  <c r="J39" i="7"/>
  <c r="G38" i="7"/>
  <c r="I39" i="7"/>
  <c r="J41" i="7"/>
  <c r="J17" i="7"/>
  <c r="G8" i="7"/>
  <c r="W8" i="7" s="1"/>
  <c r="G45" i="7"/>
  <c r="AA5" i="7" s="1"/>
  <c r="J45" i="7"/>
  <c r="I45" i="7"/>
  <c r="I8" i="7"/>
  <c r="G17" i="7"/>
  <c r="I17" i="7"/>
  <c r="J7" i="3"/>
  <c r="C8" i="3"/>
  <c r="B23" i="2"/>
  <c r="K51" i="7"/>
  <c r="K49" i="7"/>
  <c r="K3" i="6"/>
  <c r="P3" i="6" s="1"/>
  <c r="Z3" i="6" s="1"/>
  <c r="K45" i="7"/>
  <c r="K47" i="7"/>
  <c r="G40" i="7"/>
  <c r="J40" i="7"/>
  <c r="I40" i="7"/>
  <c r="O56" i="7" l="1"/>
  <c r="J52" i="7"/>
  <c r="M38" i="62"/>
  <c r="X5" i="7"/>
  <c r="G22" i="7"/>
  <c r="C13" i="35" s="1"/>
  <c r="W5" i="7"/>
  <c r="G12" i="7"/>
  <c r="C13" i="34" s="1"/>
  <c r="K52" i="7"/>
  <c r="Q54" i="7" s="1"/>
  <c r="I42" i="7"/>
  <c r="J42" i="7"/>
  <c r="K42" i="7"/>
  <c r="Q44" i="7" s="1"/>
  <c r="M45" i="7"/>
  <c r="F31" i="5" s="1"/>
  <c r="I52" i="7"/>
  <c r="J12" i="7"/>
  <c r="K12" i="7"/>
  <c r="Q14" i="7" s="1"/>
  <c r="M5" i="7"/>
  <c r="F3" i="5" s="1"/>
  <c r="I12" i="7"/>
  <c r="G52" i="7"/>
  <c r="I53" i="7" s="1"/>
  <c r="G42" i="7"/>
  <c r="C13" i="37" s="1"/>
  <c r="K32" i="7"/>
  <c r="Q34" i="7" s="1"/>
  <c r="G32" i="7"/>
  <c r="J32" i="7"/>
  <c r="M29" i="7"/>
  <c r="F21" i="5" s="1"/>
  <c r="I32" i="7"/>
  <c r="Q57" i="7"/>
  <c r="Q60" i="7"/>
  <c r="AB6" i="7"/>
  <c r="G27" i="62"/>
  <c r="G52" i="62" s="1"/>
  <c r="U20" i="6"/>
  <c r="O35" i="62"/>
  <c r="P19" i="7"/>
  <c r="H33" i="62"/>
  <c r="AK33" i="62" s="1"/>
  <c r="M32" i="62"/>
  <c r="I31" i="62"/>
  <c r="P55" i="7"/>
  <c r="Q7" i="7"/>
  <c r="R58" i="7"/>
  <c r="R27" i="7"/>
  <c r="R16" i="7"/>
  <c r="P21" i="7"/>
  <c r="P27" i="7"/>
  <c r="R55" i="7"/>
  <c r="O60" i="7"/>
  <c r="Q18" i="7"/>
  <c r="Q55" i="7"/>
  <c r="O55" i="7"/>
  <c r="Q50" i="7"/>
  <c r="R49" i="7"/>
  <c r="Q48" i="7"/>
  <c r="P16" i="7"/>
  <c r="G15" i="38"/>
  <c r="G15" i="36"/>
  <c r="R36" i="7"/>
  <c r="Q61" i="7"/>
  <c r="P49" i="7"/>
  <c r="R19" i="7"/>
  <c r="R59" i="7"/>
  <c r="R46" i="7"/>
  <c r="O47" i="7"/>
  <c r="R47" i="7"/>
  <c r="Q49" i="7"/>
  <c r="R41" i="7"/>
  <c r="P41" i="7"/>
  <c r="P17" i="6"/>
  <c r="Z17" i="6" s="1"/>
  <c r="Q36" i="7"/>
  <c r="Q41" i="7"/>
  <c r="R31" i="7"/>
  <c r="P31" i="7"/>
  <c r="P30" i="7"/>
  <c r="P29" i="7"/>
  <c r="G14" i="35"/>
  <c r="R21" i="7"/>
  <c r="R20" i="7"/>
  <c r="P20" i="7"/>
  <c r="Q17" i="7"/>
  <c r="Q11" i="7"/>
  <c r="G14" i="34"/>
  <c r="R10" i="7"/>
  <c r="P10" i="7"/>
  <c r="Q10" i="7"/>
  <c r="R5" i="7"/>
  <c r="R9" i="7"/>
  <c r="O11" i="7"/>
  <c r="P5" i="7"/>
  <c r="AL36" i="11"/>
  <c r="AM37" i="11"/>
  <c r="O17" i="7"/>
  <c r="AB11" i="7"/>
  <c r="P46" i="7"/>
  <c r="X7" i="7"/>
  <c r="R45" i="7"/>
  <c r="Q38" i="7"/>
  <c r="G15" i="37"/>
  <c r="AJ17" i="11"/>
  <c r="O15" i="7"/>
  <c r="U16" i="6"/>
  <c r="R25" i="7"/>
  <c r="Q28" i="7"/>
  <c r="P22" i="6"/>
  <c r="Z22" i="6" s="1"/>
  <c r="I22" i="7"/>
  <c r="J22" i="7"/>
  <c r="Q46" i="7"/>
  <c r="O7" i="7"/>
  <c r="Q5" i="7"/>
  <c r="O10" i="7"/>
  <c r="O36" i="7"/>
  <c r="R60" i="7"/>
  <c r="M60" i="7"/>
  <c r="F43" i="5" s="1"/>
  <c r="Q21" i="7"/>
  <c r="G53" i="62"/>
  <c r="O21" i="7"/>
  <c r="R30" i="7"/>
  <c r="R11" i="7"/>
  <c r="O5" i="7"/>
  <c r="R29" i="7"/>
  <c r="AL27" i="11"/>
  <c r="J2" i="4"/>
  <c r="M58" i="7"/>
  <c r="F41" i="5" s="1"/>
  <c r="O58" i="7"/>
  <c r="P61" i="7"/>
  <c r="O61" i="7"/>
  <c r="M17" i="7"/>
  <c r="F12" i="5" s="1"/>
  <c r="Q37" i="7"/>
  <c r="R61" i="7"/>
  <c r="U7" i="6"/>
  <c r="U19" i="6"/>
  <c r="P19" i="6"/>
  <c r="Z19" i="6" s="1"/>
  <c r="AJ20" i="11"/>
  <c r="AK11" i="11"/>
  <c r="AM17" i="11"/>
  <c r="AK44" i="11"/>
  <c r="AI37" i="11"/>
  <c r="AI18" i="11"/>
  <c r="AI25" i="11"/>
  <c r="U11" i="6"/>
  <c r="AI32" i="10"/>
  <c r="AK25" i="10"/>
  <c r="AK41" i="11"/>
  <c r="AI31" i="11"/>
  <c r="AM27" i="11"/>
  <c r="AL21" i="11"/>
  <c r="AL22" i="11"/>
  <c r="AJ26" i="11"/>
  <c r="AK14" i="11"/>
  <c r="AK36" i="11"/>
  <c r="AM18" i="11"/>
  <c r="AL16" i="11"/>
  <c r="AM24" i="11"/>
  <c r="AM19" i="11"/>
  <c r="AM23" i="11"/>
  <c r="AM13" i="11"/>
  <c r="AM43" i="11"/>
  <c r="AI29" i="11"/>
  <c r="AI45" i="11"/>
  <c r="AM40" i="11"/>
  <c r="AJ12" i="11"/>
  <c r="AK30" i="11"/>
  <c r="AM6" i="11"/>
  <c r="AK47" i="11"/>
  <c r="AI36" i="11"/>
  <c r="AI28" i="11"/>
  <c r="AL6" i="11"/>
  <c r="AJ21" i="11"/>
  <c r="AL34" i="11"/>
  <c r="AL42" i="11"/>
  <c r="AI21" i="11"/>
  <c r="AK24" i="11"/>
  <c r="AI6" i="11"/>
  <c r="AI44" i="11"/>
  <c r="AI34" i="10"/>
  <c r="U6" i="6"/>
  <c r="Q9" i="7"/>
  <c r="AK28" i="11"/>
  <c r="AJ14" i="11"/>
  <c r="AI16" i="11"/>
  <c r="AI39" i="11"/>
  <c r="AL33" i="11"/>
  <c r="AK10" i="11"/>
  <c r="AJ10" i="11"/>
  <c r="AJ15" i="11"/>
  <c r="AJ45" i="11"/>
  <c r="AJ30" i="11"/>
  <c r="AL41" i="11"/>
  <c r="AM20" i="11"/>
  <c r="AJ19" i="11"/>
  <c r="AL30" i="11"/>
  <c r="AJ6" i="11"/>
  <c r="AJ22" i="11"/>
  <c r="AI41" i="11"/>
  <c r="AJ24" i="11"/>
  <c r="AI15" i="11"/>
  <c r="AI34" i="11"/>
  <c r="AM7" i="11"/>
  <c r="AJ43" i="11"/>
  <c r="AK6" i="11"/>
  <c r="AL45" i="11"/>
  <c r="AK18" i="11"/>
  <c r="AL11" i="11"/>
  <c r="AL9" i="11"/>
  <c r="AM21" i="11"/>
  <c r="AL7" i="11"/>
  <c r="AJ40" i="11"/>
  <c r="AL39" i="11"/>
  <c r="AL8" i="11"/>
  <c r="AK35" i="11"/>
  <c r="AJ8" i="11"/>
  <c r="AJ18" i="11"/>
  <c r="AK33" i="11"/>
  <c r="AJ28" i="11"/>
  <c r="AI20" i="11"/>
  <c r="AK22" i="11"/>
  <c r="AI19" i="11"/>
  <c r="AM16" i="11"/>
  <c r="P10" i="6"/>
  <c r="Z10" i="6" s="1"/>
  <c r="U10" i="6"/>
  <c r="AK34" i="11"/>
  <c r="AJ36" i="11"/>
  <c r="AL40" i="11"/>
  <c r="AL9" i="10"/>
  <c r="AJ42" i="62"/>
  <c r="AM39" i="11"/>
  <c r="AM34" i="11"/>
  <c r="AJ16" i="11"/>
  <c r="AM46" i="11"/>
  <c r="AM29" i="11"/>
  <c r="AL12" i="11"/>
  <c r="AL31" i="11"/>
  <c r="AI26" i="11"/>
  <c r="AL38" i="11"/>
  <c r="AL20" i="11"/>
  <c r="AK13" i="11"/>
  <c r="AM9" i="11"/>
  <c r="AK25" i="11"/>
  <c r="AI8" i="11"/>
  <c r="AJ38" i="11"/>
  <c r="AJ35" i="11"/>
  <c r="AI7" i="11"/>
  <c r="AI11" i="11"/>
  <c r="AK39" i="11"/>
  <c r="AJ11" i="11"/>
  <c r="AM25" i="11"/>
  <c r="AM35" i="11"/>
  <c r="AK27" i="11"/>
  <c r="AM22" i="11"/>
  <c r="AK17" i="11"/>
  <c r="AJ29" i="11"/>
  <c r="AK29" i="11"/>
  <c r="AI9" i="11"/>
  <c r="AJ41" i="11"/>
  <c r="AJ34" i="11"/>
  <c r="AM15" i="11"/>
  <c r="AI47" i="11"/>
  <c r="AK16" i="11"/>
  <c r="AI32" i="11"/>
  <c r="AL19" i="11"/>
  <c r="AJ47" i="11"/>
  <c r="AI38" i="11"/>
  <c r="AK34" i="10"/>
  <c r="AK38" i="11"/>
  <c r="AL46" i="11"/>
  <c r="AL13" i="11"/>
  <c r="AK40" i="11"/>
  <c r="AJ37" i="11"/>
  <c r="AK15" i="11"/>
  <c r="AI13" i="11"/>
  <c r="AI10" i="11"/>
  <c r="AL35" i="11"/>
  <c r="AI12" i="11"/>
  <c r="AK32" i="11"/>
  <c r="AK37" i="11"/>
  <c r="AK23" i="11"/>
  <c r="AJ9" i="11"/>
  <c r="AM45" i="11"/>
  <c r="AM47" i="11"/>
  <c r="AL23" i="11"/>
  <c r="AL44" i="11"/>
  <c r="AK7" i="11"/>
  <c r="AL17" i="11"/>
  <c r="AM36" i="11"/>
  <c r="AM26" i="11"/>
  <c r="AK26" i="11"/>
  <c r="AL14" i="11"/>
  <c r="AM14" i="11"/>
  <c r="AK19" i="11"/>
  <c r="AJ31" i="11"/>
  <c r="AK46" i="11"/>
  <c r="AJ39" i="11"/>
  <c r="AI27" i="11"/>
  <c r="AJ27" i="11"/>
  <c r="AK42" i="11"/>
  <c r="AI46" i="11"/>
  <c r="AM8" i="11"/>
  <c r="AK8" i="11"/>
  <c r="AL47" i="11"/>
  <c r="AM38" i="11"/>
  <c r="AL10" i="11"/>
  <c r="AM30" i="11"/>
  <c r="AL37" i="11"/>
  <c r="AI43" i="11"/>
  <c r="AL29" i="11"/>
  <c r="AM11" i="11"/>
  <c r="AM12" i="11"/>
  <c r="AL32" i="11"/>
  <c r="AI40" i="11"/>
  <c r="AK21" i="11"/>
  <c r="AK20" i="11"/>
  <c r="AM10" i="11"/>
  <c r="AM44" i="11"/>
  <c r="AJ23" i="11"/>
  <c r="AJ32" i="11"/>
  <c r="AI24" i="11"/>
  <c r="AK31" i="11"/>
  <c r="AJ7" i="11"/>
  <c r="AI23" i="11"/>
  <c r="AI17" i="11"/>
  <c r="AM33" i="11"/>
  <c r="AL28" i="11"/>
  <c r="AL25" i="11"/>
  <c r="AK9" i="11"/>
  <c r="AK43" i="11"/>
  <c r="AI14" i="11"/>
  <c r="AK12" i="11"/>
  <c r="AM42" i="11"/>
  <c r="AM32" i="11"/>
  <c r="AM31" i="11"/>
  <c r="AI33" i="11"/>
  <c r="AK45" i="11"/>
  <c r="AI22" i="11"/>
  <c r="AL26" i="11"/>
  <c r="AJ42" i="11"/>
  <c r="AM28" i="11"/>
  <c r="AJ33" i="11"/>
  <c r="AM41" i="11"/>
  <c r="AI35" i="11"/>
  <c r="AL18" i="11"/>
  <c r="AL15" i="11"/>
  <c r="AL24" i="11"/>
  <c r="AI42" i="11"/>
  <c r="AJ46" i="11"/>
  <c r="AJ44" i="11"/>
  <c r="AJ13" i="11"/>
  <c r="AL43" i="11"/>
  <c r="AI30" i="11"/>
  <c r="AJ25" i="11"/>
  <c r="P8" i="6"/>
  <c r="Z8" i="6" s="1"/>
  <c r="U8" i="6"/>
  <c r="M28" i="7"/>
  <c r="F20" i="5" s="1"/>
  <c r="R28" i="7"/>
  <c r="O28" i="7"/>
  <c r="R17" i="7"/>
  <c r="Q8" i="7"/>
  <c r="R15" i="7"/>
  <c r="W6" i="7"/>
  <c r="O6" i="7"/>
  <c r="Q6" i="7"/>
  <c r="R26" i="7"/>
  <c r="M18" i="7"/>
  <c r="F13" i="5" s="1"/>
  <c r="P18" i="7"/>
  <c r="R18" i="7"/>
  <c r="P11" i="7"/>
  <c r="P36" i="7"/>
  <c r="P17" i="7"/>
  <c r="P15" i="7"/>
  <c r="O18" i="7"/>
  <c r="Z5" i="7"/>
  <c r="Q35" i="7"/>
  <c r="O9" i="7"/>
  <c r="W9" i="7"/>
  <c r="M6" i="7"/>
  <c r="F4" i="5" s="1"/>
  <c r="P6" i="7"/>
  <c r="R6" i="7"/>
  <c r="Y10" i="7"/>
  <c r="O30" i="7"/>
  <c r="R7" i="7"/>
  <c r="P9" i="7"/>
  <c r="P28" i="7"/>
  <c r="X8" i="7"/>
  <c r="O41" i="7"/>
  <c r="Z11" i="7"/>
  <c r="Z9" i="7"/>
  <c r="Q39" i="7"/>
  <c r="P26" i="7"/>
  <c r="O45" i="7"/>
  <c r="P39" i="7"/>
  <c r="M39" i="7"/>
  <c r="F28" i="5" s="1"/>
  <c r="O39" i="7"/>
  <c r="P57" i="7"/>
  <c r="M57" i="7"/>
  <c r="F40" i="5" s="1"/>
  <c r="O57" i="7"/>
  <c r="F54" i="62"/>
  <c r="AJ45" i="62"/>
  <c r="AK39" i="62"/>
  <c r="AI12" i="62"/>
  <c r="AI19" i="62"/>
  <c r="AJ44" i="62"/>
  <c r="X6" i="7"/>
  <c r="O16" i="7"/>
  <c r="Q16" i="7"/>
  <c r="Q29" i="7"/>
  <c r="O29" i="7"/>
  <c r="Y9" i="7"/>
  <c r="AA9" i="7"/>
  <c r="O49" i="7"/>
  <c r="P60" i="7"/>
  <c r="AL15" i="10"/>
  <c r="AJ34" i="10"/>
  <c r="AL34" i="10"/>
  <c r="AK37" i="10"/>
  <c r="AJ19" i="10"/>
  <c r="AM42" i="10"/>
  <c r="AM22" i="10"/>
  <c r="AL11" i="10"/>
  <c r="AJ40" i="10"/>
  <c r="AM13" i="10"/>
  <c r="AK28" i="10"/>
  <c r="AK36" i="10"/>
  <c r="AI33" i="10"/>
  <c r="AK27" i="10"/>
  <c r="AL17" i="10"/>
  <c r="AJ28" i="10"/>
  <c r="AJ30" i="10"/>
  <c r="AL10" i="10"/>
  <c r="AI20" i="10"/>
  <c r="AI40" i="10"/>
  <c r="AL33" i="10"/>
  <c r="AL32" i="10"/>
  <c r="AM29" i="10"/>
  <c r="AK7" i="10"/>
  <c r="AJ16" i="10"/>
  <c r="AI23" i="10"/>
  <c r="Z8" i="7"/>
  <c r="O38" i="7"/>
  <c r="R37" i="7"/>
  <c r="M59" i="7"/>
  <c r="F42" i="5" s="1"/>
  <c r="O59" i="7"/>
  <c r="P59" i="7"/>
  <c r="O19" i="7"/>
  <c r="Q19" i="7"/>
  <c r="X9" i="7"/>
  <c r="AK10" i="10"/>
  <c r="AM34" i="10"/>
  <c r="AM39" i="10"/>
  <c r="AM6" i="10"/>
  <c r="AK46" i="10"/>
  <c r="AI15" i="10"/>
  <c r="AJ6" i="10"/>
  <c r="AK8" i="10"/>
  <c r="AK44" i="10"/>
  <c r="AL40" i="10"/>
  <c r="AI43" i="10"/>
  <c r="AL25" i="10"/>
  <c r="AK24" i="10"/>
  <c r="AJ31" i="10"/>
  <c r="AL38" i="10"/>
  <c r="AM45" i="10"/>
  <c r="AI16" i="10"/>
  <c r="AI26" i="10"/>
  <c r="AL45" i="10"/>
  <c r="AM47" i="10"/>
  <c r="AI12" i="10"/>
  <c r="AK33" i="10"/>
  <c r="AI11" i="10"/>
  <c r="AJ41" i="10"/>
  <c r="AM15" i="10"/>
  <c r="AM33" i="10"/>
  <c r="AI6" i="10"/>
  <c r="AK43" i="10"/>
  <c r="AJ11" i="10"/>
  <c r="AM43" i="10"/>
  <c r="AM38" i="10"/>
  <c r="AL24" i="10"/>
  <c r="AI36" i="10"/>
  <c r="AL37" i="10"/>
  <c r="AJ32" i="10"/>
  <c r="AJ39" i="10"/>
  <c r="AK17" i="10"/>
  <c r="AK15" i="10"/>
  <c r="AI8" i="10"/>
  <c r="AL16" i="10"/>
  <c r="AL43" i="10"/>
  <c r="AJ13" i="10"/>
  <c r="AM17" i="10"/>
  <c r="AK23" i="10"/>
  <c r="AI44" i="10"/>
  <c r="AL6" i="10"/>
  <c r="AL36" i="10"/>
  <c r="AL44" i="10"/>
  <c r="AL46" i="10"/>
  <c r="AM18" i="10"/>
  <c r="AL13" i="10"/>
  <c r="AI37" i="10"/>
  <c r="AM24" i="10"/>
  <c r="AK35" i="10"/>
  <c r="AK18" i="10"/>
  <c r="AI14" i="10"/>
  <c r="AL28" i="10"/>
  <c r="AJ25" i="10"/>
  <c r="AK16" i="10"/>
  <c r="AJ27" i="10"/>
  <c r="AK11" i="10"/>
  <c r="AI7" i="10"/>
  <c r="AL47" i="10"/>
  <c r="AK22" i="10"/>
  <c r="AL14" i="10"/>
  <c r="AM46" i="10"/>
  <c r="AM8" i="10"/>
  <c r="AJ18" i="10"/>
  <c r="AM44" i="10"/>
  <c r="AJ42" i="10"/>
  <c r="AM28" i="10"/>
  <c r="AM37" i="10"/>
  <c r="AJ24" i="10"/>
  <c r="AM16" i="10"/>
  <c r="AM10" i="10"/>
  <c r="AJ47" i="10"/>
  <c r="AI24" i="10"/>
  <c r="AI13" i="10"/>
  <c r="AJ33" i="10"/>
  <c r="AL8" i="10"/>
  <c r="AJ12" i="10"/>
  <c r="AI38" i="10"/>
  <c r="AJ37" i="10"/>
  <c r="AJ46" i="10"/>
  <c r="AM31" i="10"/>
  <c r="AK30" i="10"/>
  <c r="AI35" i="10"/>
  <c r="AM14" i="10"/>
  <c r="AL35" i="10"/>
  <c r="AL23" i="10"/>
  <c r="AK20" i="10"/>
  <c r="AI25" i="10"/>
  <c r="AI39" i="10"/>
  <c r="AJ26" i="10"/>
  <c r="AI19" i="10"/>
  <c r="AK32" i="10"/>
  <c r="AL22" i="10"/>
  <c r="AK6" i="10"/>
  <c r="R50" i="7"/>
  <c r="P7" i="7"/>
  <c r="AK42" i="62"/>
  <c r="AK45" i="62"/>
  <c r="AK47" i="62"/>
  <c r="AM46" i="62"/>
  <c r="R51" i="7"/>
  <c r="P50" i="7"/>
  <c r="Q58" i="7"/>
  <c r="P58" i="7"/>
  <c r="AI45" i="62"/>
  <c r="X10" i="7"/>
  <c r="Q20" i="7"/>
  <c r="O20" i="7"/>
  <c r="Y11" i="7"/>
  <c r="O31" i="7"/>
  <c r="Q31" i="7"/>
  <c r="AJ44" i="10"/>
  <c r="AM20" i="10"/>
  <c r="AK12" i="10"/>
  <c r="AK39" i="10"/>
  <c r="AL26" i="10"/>
  <c r="AJ22" i="10"/>
  <c r="AK29" i="10"/>
  <c r="AL27" i="10"/>
  <c r="AI28" i="10"/>
  <c r="AM36" i="10"/>
  <c r="AL19" i="10"/>
  <c r="AJ38" i="10"/>
  <c r="AM41" i="10"/>
  <c r="AI22" i="10"/>
  <c r="AI17" i="10"/>
  <c r="AJ29" i="10"/>
  <c r="AJ43" i="10"/>
  <c r="AK21" i="10"/>
  <c r="AK31" i="10"/>
  <c r="AI21" i="10"/>
  <c r="AM27" i="10"/>
  <c r="AJ15" i="10"/>
  <c r="AL39" i="10"/>
  <c r="AJ8" i="10"/>
  <c r="AL21" i="10"/>
  <c r="AJ7" i="10"/>
  <c r="AI29" i="10"/>
  <c r="Q30" i="7"/>
  <c r="R39" i="7"/>
  <c r="M37" i="7"/>
  <c r="F26" i="5" s="1"/>
  <c r="O37" i="7"/>
  <c r="P37" i="7"/>
  <c r="R35" i="7"/>
  <c r="O35" i="7"/>
  <c r="M35" i="7"/>
  <c r="F24" i="5" s="1"/>
  <c r="P35" i="7"/>
  <c r="Y6" i="7"/>
  <c r="Q26" i="7"/>
  <c r="O26" i="7"/>
  <c r="AJ41" i="62"/>
  <c r="AI46" i="62"/>
  <c r="AJ47" i="62"/>
  <c r="AM42" i="62"/>
  <c r="AL42" i="62"/>
  <c r="AI42" i="62"/>
  <c r="AK44" i="62"/>
  <c r="AK32" i="62"/>
  <c r="AK43" i="62"/>
  <c r="AL47" i="62"/>
  <c r="AI40" i="62"/>
  <c r="AM43" i="62"/>
  <c r="AI47" i="62"/>
  <c r="AJ40" i="62"/>
  <c r="AK12" i="62"/>
  <c r="AJ43" i="62"/>
  <c r="AL44" i="62"/>
  <c r="AL46" i="62"/>
  <c r="AI44" i="62"/>
  <c r="AM44" i="62"/>
  <c r="AM47" i="62"/>
  <c r="I54" i="62"/>
  <c r="Q25" i="7"/>
  <c r="Y5" i="7"/>
  <c r="O25" i="7"/>
  <c r="AI30" i="10"/>
  <c r="AI10" i="10"/>
  <c r="AI41" i="10"/>
  <c r="AJ21" i="10"/>
  <c r="AJ20" i="10"/>
  <c r="AJ23" i="10"/>
  <c r="AI47" i="10"/>
  <c r="AL12" i="10"/>
  <c r="AM7" i="10"/>
  <c r="AK40" i="10"/>
  <c r="AI9" i="10"/>
  <c r="AJ35" i="10"/>
  <c r="AL31" i="10"/>
  <c r="AI45" i="10"/>
  <c r="AI18" i="10"/>
  <c r="AJ10" i="10"/>
  <c r="AJ45" i="10"/>
  <c r="AI27" i="10"/>
  <c r="AI46" i="10"/>
  <c r="AJ14" i="10"/>
  <c r="AK26" i="10"/>
  <c r="AK14" i="10"/>
  <c r="AL18" i="10"/>
  <c r="AJ9" i="10"/>
  <c r="AM12" i="10"/>
  <c r="AK41" i="10"/>
  <c r="AM9" i="10"/>
  <c r="AL45" i="62"/>
  <c r="O50" i="7"/>
  <c r="R38" i="7"/>
  <c r="M38" i="7"/>
  <c r="F27" i="5" s="1"/>
  <c r="R48" i="7"/>
  <c r="P48" i="7"/>
  <c r="M48" i="7"/>
  <c r="F34" i="5" s="1"/>
  <c r="K22" i="7"/>
  <c r="Q15" i="7"/>
  <c r="AA11" i="7"/>
  <c r="O51" i="7"/>
  <c r="P25" i="7"/>
  <c r="P38" i="7"/>
  <c r="AL43" i="62"/>
  <c r="AJ12" i="62"/>
  <c r="AI26" i="62"/>
  <c r="AK46" i="62"/>
  <c r="AM45" i="62"/>
  <c r="Q56" i="7"/>
  <c r="R57" i="7"/>
  <c r="AI43" i="62"/>
  <c r="Q27" i="7"/>
  <c r="Y7" i="7"/>
  <c r="O27" i="7"/>
  <c r="AA6" i="7"/>
  <c r="O46" i="7"/>
  <c r="AM11" i="10"/>
  <c r="AM21" i="10"/>
  <c r="AK38" i="10"/>
  <c r="AM26" i="10"/>
  <c r="AJ17" i="10"/>
  <c r="AI31" i="10"/>
  <c r="AK19" i="10"/>
  <c r="AI42" i="10"/>
  <c r="AL29" i="10"/>
  <c r="AM40" i="10"/>
  <c r="AM25" i="10"/>
  <c r="AM23" i="10"/>
  <c r="AL30" i="10"/>
  <c r="AL41" i="10"/>
  <c r="AK45" i="10"/>
  <c r="AJ36" i="10"/>
  <c r="AL42" i="10"/>
  <c r="AL20" i="10"/>
  <c r="AK9" i="10"/>
  <c r="AM35" i="10"/>
  <c r="AK13" i="10"/>
  <c r="AM30" i="10"/>
  <c r="AM19" i="10"/>
  <c r="AK47" i="10"/>
  <c r="AM32" i="10"/>
  <c r="AL7" i="10"/>
  <c r="AK42" i="10"/>
  <c r="AJ46" i="62"/>
  <c r="O48" i="7"/>
  <c r="O8" i="7"/>
  <c r="M8" i="7"/>
  <c r="F6" i="5" s="1"/>
  <c r="R8" i="7"/>
  <c r="P8" i="7"/>
  <c r="U3" i="6"/>
  <c r="B24" i="2"/>
  <c r="C7" i="3"/>
  <c r="Q51" i="7"/>
  <c r="P51" i="7"/>
  <c r="Q45" i="7"/>
  <c r="P45" i="7"/>
  <c r="Q47" i="7"/>
  <c r="P47" i="7"/>
  <c r="Z10" i="7"/>
  <c r="Q40" i="7"/>
  <c r="R40" i="7"/>
  <c r="O40" i="7"/>
  <c r="M40" i="7"/>
  <c r="P40" i="7"/>
  <c r="R12" i="7" l="1"/>
  <c r="O52" i="7"/>
  <c r="C13" i="38"/>
  <c r="C15" i="38" s="1"/>
  <c r="R42" i="7"/>
  <c r="I43" i="7"/>
  <c r="L43" i="7"/>
  <c r="Q42" i="7"/>
  <c r="I33" i="7"/>
  <c r="C13" i="36"/>
  <c r="R22" i="7"/>
  <c r="O12" i="7"/>
  <c r="I13" i="7"/>
  <c r="L13" i="7"/>
  <c r="Q12" i="7"/>
  <c r="P22" i="7"/>
  <c r="L53" i="7"/>
  <c r="O14" i="7"/>
  <c r="M12" i="7"/>
  <c r="P12" i="7"/>
  <c r="O54" i="7"/>
  <c r="P52" i="7"/>
  <c r="M52" i="7"/>
  <c r="P42" i="7"/>
  <c r="O44" i="7"/>
  <c r="M42" i="7"/>
  <c r="Q52" i="7"/>
  <c r="L23" i="7"/>
  <c r="Q22" i="7"/>
  <c r="I23" i="7"/>
  <c r="O22" i="7"/>
  <c r="O42" i="7"/>
  <c r="R52" i="7"/>
  <c r="L33" i="7"/>
  <c r="Q32" i="7"/>
  <c r="O34" i="7"/>
  <c r="R32" i="7"/>
  <c r="M32" i="7"/>
  <c r="O32" i="7"/>
  <c r="P32" i="7"/>
  <c r="H13" i="38"/>
  <c r="Q24" i="7"/>
  <c r="O24" i="7"/>
  <c r="M22" i="7"/>
  <c r="H13" i="36"/>
  <c r="H13" i="35"/>
  <c r="D13" i="35"/>
  <c r="L24" i="7"/>
  <c r="C14" i="34"/>
  <c r="H13" i="34"/>
  <c r="B25" i="2"/>
  <c r="F29" i="5"/>
  <c r="H13" i="37"/>
  <c r="C14" i="38" l="1"/>
  <c r="D13" i="38"/>
  <c r="D15" i="38" s="1"/>
  <c r="E13" i="38"/>
  <c r="E14" i="38" s="1"/>
  <c r="F13" i="38"/>
  <c r="F15" i="38" s="1"/>
  <c r="E13" i="37"/>
  <c r="E15" i="37" s="1"/>
  <c r="C14" i="35"/>
  <c r="E13" i="35"/>
  <c r="E15" i="35" s="1"/>
  <c r="C15" i="35"/>
  <c r="F13" i="35"/>
  <c r="F14" i="35" s="1"/>
  <c r="F13" i="34"/>
  <c r="F15" i="34" s="1"/>
  <c r="E13" i="34"/>
  <c r="E14" i="34" s="1"/>
  <c r="C15" i="34"/>
  <c r="D13" i="34"/>
  <c r="D15" i="34" s="1"/>
  <c r="F13" i="37"/>
  <c r="F14" i="37" s="1"/>
  <c r="C15" i="36"/>
  <c r="E13" i="36"/>
  <c r="F13" i="36"/>
  <c r="D13" i="36"/>
  <c r="C14" i="36"/>
  <c r="D14" i="35"/>
  <c r="D15" i="35"/>
  <c r="B26" i="2"/>
  <c r="C14" i="37"/>
  <c r="D13" i="37"/>
  <c r="C15" i="37"/>
  <c r="E15" i="38" l="1"/>
  <c r="D14" i="38"/>
  <c r="F14" i="38"/>
  <c r="E14" i="37"/>
  <c r="F15" i="37"/>
  <c r="E14" i="35"/>
  <c r="F15" i="35"/>
  <c r="E15" i="34"/>
  <c r="F14" i="34"/>
  <c r="D14" i="34"/>
  <c r="D15" i="36"/>
  <c r="D14" i="36"/>
  <c r="F15" i="36"/>
  <c r="F14" i="36"/>
  <c r="E15" i="36"/>
  <c r="E14" i="36"/>
  <c r="B27" i="2"/>
  <c r="D14" i="37"/>
  <c r="D15" i="37"/>
  <c r="L13" i="62" l="1"/>
  <c r="L6" i="62"/>
  <c r="P11" i="62"/>
  <c r="L11" i="62"/>
  <c r="P49" i="62" l="1"/>
  <c r="P17" i="62" l="1"/>
  <c r="K17" i="62"/>
  <c r="P18" i="62" l="1"/>
  <c r="P50" i="62" l="1"/>
  <c r="L20" i="62" l="1"/>
  <c r="P20" i="62"/>
  <c r="P23" i="62" l="1"/>
  <c r="K24" i="62" l="1"/>
  <c r="P25" i="62" l="1"/>
  <c r="P51" i="62" l="1"/>
  <c r="L27" i="62" l="1"/>
  <c r="P27" i="62"/>
  <c r="P30" i="62" l="1"/>
  <c r="K31" i="62" l="1"/>
  <c r="P32" i="62" l="1"/>
  <c r="P33" i="62" l="1"/>
  <c r="N33" i="62"/>
  <c r="L34" i="62" l="1"/>
  <c r="E35" i="62" l="1"/>
  <c r="AI35" i="62" s="1"/>
  <c r="L39" i="62" l="1"/>
  <c r="P39" i="62"/>
  <c r="O11" i="62" l="1"/>
  <c r="O12" i="62"/>
  <c r="K10" i="62"/>
  <c r="N12" i="62"/>
  <c r="O9" i="62"/>
  <c r="J14" i="62"/>
  <c r="J15" i="62"/>
  <c r="O16" i="62"/>
  <c r="O17" i="62"/>
  <c r="O18" i="62"/>
  <c r="K18" i="62"/>
  <c r="F19" i="62"/>
  <c r="AJ19" i="62" s="1"/>
  <c r="O19" i="62"/>
  <c r="J20" i="62"/>
  <c r="J21" i="62"/>
  <c r="N22" i="62"/>
  <c r="O23" i="62"/>
  <c r="O24" i="62"/>
  <c r="O25" i="62"/>
  <c r="J7" i="62"/>
  <c r="O50" i="62" l="1"/>
  <c r="F26" i="62"/>
  <c r="AJ26" i="62" s="1"/>
  <c r="O26" i="62"/>
  <c r="O51" i="62" s="1"/>
  <c r="O49" i="62"/>
  <c r="P28" i="62" l="1"/>
  <c r="O31" i="62"/>
  <c r="Q33" i="62"/>
  <c r="K34" i="62"/>
  <c r="J36" i="62"/>
  <c r="J28" i="62"/>
  <c r="O29" i="62"/>
  <c r="N30" i="62"/>
  <c r="P31" i="62"/>
  <c r="Q32" i="62"/>
  <c r="K32" i="62"/>
  <c r="N29" i="62"/>
  <c r="O34" i="62"/>
  <c r="J34" i="62"/>
  <c r="O37" i="62"/>
  <c r="F27" i="62"/>
  <c r="O33" i="62"/>
  <c r="O36" i="62"/>
  <c r="N37" i="62"/>
  <c r="AL30" i="62" l="1"/>
  <c r="Q52" i="62"/>
  <c r="P52" i="62"/>
  <c r="AJ27" i="62"/>
  <c r="K52" i="62"/>
  <c r="AM29" i="62"/>
  <c r="Q39" i="62" l="1"/>
  <c r="E41" i="62"/>
  <c r="H40" i="62"/>
  <c r="AK40" i="62" s="1"/>
  <c r="H41" i="62"/>
  <c r="AL41" i="62" s="1"/>
  <c r="O40" i="62"/>
  <c r="N40" i="62"/>
  <c r="P38" i="62"/>
  <c r="K39" i="62"/>
  <c r="K38" i="62"/>
  <c r="O41" i="62"/>
  <c r="Q53" i="62" l="1"/>
  <c r="AI41" i="62"/>
  <c r="E54" i="62"/>
  <c r="O54" i="62"/>
  <c r="AM41" i="62"/>
  <c r="K53" i="62"/>
  <c r="P53" i="62"/>
  <c r="H54" i="62"/>
  <c r="AK41" i="62"/>
  <c r="E20" i="62" l="1"/>
  <c r="M24" i="62"/>
  <c r="M22" i="62"/>
  <c r="J25" i="62"/>
  <c r="M13" i="62"/>
  <c r="I21" i="62"/>
  <c r="AL21" i="62" s="1"/>
  <c r="AI20" i="62" l="1"/>
  <c r="F32" i="62"/>
  <c r="AJ32" i="62" s="1"/>
  <c r="F33" i="62"/>
  <c r="AJ33" i="62" s="1"/>
  <c r="F39" i="62"/>
  <c r="AJ39" i="62" s="1"/>
  <c r="I20" i="62"/>
  <c r="I22" i="62"/>
  <c r="AL22" i="62" s="1"/>
  <c r="I27" i="62"/>
  <c r="I28" i="62"/>
  <c r="I34" i="62"/>
  <c r="I35" i="62"/>
  <c r="L32" i="62"/>
  <c r="E6" i="62"/>
  <c r="J24" i="62"/>
  <c r="E18" i="62"/>
  <c r="AI18" i="62" s="1"/>
  <c r="M18" i="62"/>
  <c r="O30" i="62"/>
  <c r="O32" i="62"/>
  <c r="O39" i="62"/>
  <c r="O53" i="62" s="1"/>
  <c r="J27" i="62"/>
  <c r="E34" i="62"/>
  <c r="M21" i="62"/>
  <c r="M31" i="62"/>
  <c r="M36" i="62"/>
  <c r="AM36" i="62" s="1"/>
  <c r="AL29" i="62" l="1"/>
  <c r="AL35" i="62"/>
  <c r="AL28" i="62"/>
  <c r="AM28" i="62"/>
  <c r="AL34" i="62"/>
  <c r="AL36" i="62"/>
  <c r="AL38" i="62"/>
  <c r="AM38" i="62"/>
  <c r="AM31" i="62"/>
  <c r="AL37" i="62"/>
  <c r="AL20" i="62"/>
  <c r="O52" i="62"/>
  <c r="AI6" i="62"/>
  <c r="AI34" i="62"/>
  <c r="AL27" i="62"/>
  <c r="E9" i="62" l="1"/>
  <c r="AI9" i="62" s="1"/>
  <c r="E10" i="62"/>
  <c r="AI10" i="62" s="1"/>
  <c r="N13" i="62"/>
  <c r="N15" i="62"/>
  <c r="AM15" i="62" s="1"/>
  <c r="N16" i="62"/>
  <c r="J17" i="62"/>
  <c r="M17" i="62"/>
  <c r="J18" i="62"/>
  <c r="J19" i="62"/>
  <c r="AL8" i="62" l="1"/>
  <c r="J6" i="62" l="1"/>
  <c r="G6" i="62"/>
  <c r="F6" i="62"/>
  <c r="AJ6" i="62" l="1"/>
  <c r="E25" i="62" l="1"/>
  <c r="AI25" i="62" s="1"/>
  <c r="G20" i="62"/>
  <c r="G21" i="62"/>
  <c r="G22" i="62"/>
  <c r="G23" i="62"/>
  <c r="G24" i="62"/>
  <c r="H24" i="62"/>
  <c r="AK24" i="62" s="1"/>
  <c r="H25" i="62"/>
  <c r="AK25" i="62" s="1"/>
  <c r="I25" i="62"/>
  <c r="AL25" i="62" s="1"/>
  <c r="I26" i="62"/>
  <c r="AL26" i="62" s="1"/>
  <c r="J23" i="62"/>
  <c r="J26" i="62"/>
  <c r="K22" i="62"/>
  <c r="K25" i="62"/>
  <c r="L25" i="62"/>
  <c r="L7" i="62"/>
  <c r="AM7" i="62" s="1"/>
  <c r="L14" i="62"/>
  <c r="AM14" i="62" s="1"/>
  <c r="F13" i="62"/>
  <c r="AJ13" i="62" s="1"/>
  <c r="G7" i="62"/>
  <c r="G9" i="62"/>
  <c r="G10" i="62"/>
  <c r="G13" i="62"/>
  <c r="G14" i="62"/>
  <c r="G15" i="62"/>
  <c r="G16" i="62"/>
  <c r="G17" i="62"/>
  <c r="I18" i="62"/>
  <c r="I19" i="62"/>
  <c r="AL19" i="62" s="1"/>
  <c r="H11" i="62"/>
  <c r="H17" i="62"/>
  <c r="AK17" i="62" s="1"/>
  <c r="H18" i="62"/>
  <c r="E7" i="62"/>
  <c r="AI7" i="62" s="1"/>
  <c r="E8" i="62"/>
  <c r="E11" i="62"/>
  <c r="AI11" i="62" s="1"/>
  <c r="K11" i="62"/>
  <c r="K49" i="62" s="1"/>
  <c r="K13" i="62"/>
  <c r="K19" i="62"/>
  <c r="J9" i="62"/>
  <c r="J13" i="62"/>
  <c r="J16" i="62"/>
  <c r="AL9" i="62"/>
  <c r="AM22" i="62"/>
  <c r="AL16" i="62"/>
  <c r="AL24" i="62"/>
  <c r="AK11" i="62" l="1"/>
  <c r="AL18" i="62"/>
  <c r="AK18" i="62"/>
  <c r="AM13" i="62"/>
  <c r="K51" i="62"/>
  <c r="I51" i="62"/>
  <c r="J51" i="62"/>
  <c r="G50" i="62"/>
  <c r="G51" i="62"/>
  <c r="K50" i="62"/>
  <c r="AI8" i="62"/>
  <c r="E49" i="62"/>
  <c r="G49" i="62"/>
  <c r="J50" i="62"/>
  <c r="AL17" i="62"/>
  <c r="E15" i="62" l="1"/>
  <c r="N9" i="62"/>
  <c r="M9" i="62"/>
  <c r="F9" i="62"/>
  <c r="H9" i="62"/>
  <c r="J10" i="62"/>
  <c r="M10" i="62"/>
  <c r="AM10" i="62" s="1"/>
  <c r="F10" i="62"/>
  <c r="AJ10" i="62" s="1"/>
  <c r="H10" i="62"/>
  <c r="L8" i="62"/>
  <c r="H8" i="62"/>
  <c r="AK8" i="62" s="1"/>
  <c r="F8" i="62"/>
  <c r="AJ8" i="62" s="1"/>
  <c r="I7" i="62"/>
  <c r="AL7" i="62" s="1"/>
  <c r="F7" i="62"/>
  <c r="F11" i="62"/>
  <c r="AJ11" i="62" s="1"/>
  <c r="I11" i="62"/>
  <c r="N11" i="62"/>
  <c r="AM11" i="62" s="1"/>
  <c r="H7" i="62"/>
  <c r="AK7" i="62" s="1"/>
  <c r="J11" i="62"/>
  <c r="N6" i="62"/>
  <c r="H6" i="62"/>
  <c r="I6" i="62"/>
  <c r="L12" i="62"/>
  <c r="J12" i="62"/>
  <c r="I12" i="62"/>
  <c r="AL12" i="62" s="1"/>
  <c r="H13" i="62"/>
  <c r="I13" i="62"/>
  <c r="E13" i="62"/>
  <c r="AI13" i="62" s="1"/>
  <c r="H14" i="62"/>
  <c r="AK14" i="62" s="1"/>
  <c r="F14" i="62"/>
  <c r="E14" i="62"/>
  <c r="AI14" i="62" s="1"/>
  <c r="I14" i="62"/>
  <c r="AL14" i="62" s="1"/>
  <c r="H15" i="62"/>
  <c r="F15" i="62"/>
  <c r="AJ15" i="62" s="1"/>
  <c r="E16" i="62"/>
  <c r="AI16" i="62" s="1"/>
  <c r="H16" i="62"/>
  <c r="AK16" i="62" s="1"/>
  <c r="F16" i="62"/>
  <c r="AJ16" i="62" s="1"/>
  <c r="M16" i="62"/>
  <c r="N17" i="62"/>
  <c r="F17" i="62"/>
  <c r="AJ17" i="62" s="1"/>
  <c r="E17" i="62"/>
  <c r="AI17" i="62" s="1"/>
  <c r="N18" i="62"/>
  <c r="F18" i="62"/>
  <c r="AJ18" i="62" s="1"/>
  <c r="L18" i="62"/>
  <c r="H19" i="62"/>
  <c r="AK19" i="62" s="1"/>
  <c r="L19" i="62"/>
  <c r="N19" i="62"/>
  <c r="N20" i="62"/>
  <c r="AM20" i="62" s="1"/>
  <c r="F20" i="62"/>
  <c r="H20" i="62"/>
  <c r="N21" i="62"/>
  <c r="AM21" i="62" s="1"/>
  <c r="E21" i="62"/>
  <c r="F21" i="62"/>
  <c r="AJ21" i="62" s="1"/>
  <c r="H21" i="62"/>
  <c r="AK21" i="62" s="1"/>
  <c r="H22" i="62"/>
  <c r="AK22" i="62" s="1"/>
  <c r="F22" i="62"/>
  <c r="AJ22" i="62" s="1"/>
  <c r="E22" i="62"/>
  <c r="AI22" i="62" s="1"/>
  <c r="E23" i="62"/>
  <c r="AI23" i="62" s="1"/>
  <c r="F23" i="62"/>
  <c r="AJ23" i="62" s="1"/>
  <c r="M23" i="62"/>
  <c r="H23" i="62"/>
  <c r="L24" i="62"/>
  <c r="E24" i="62"/>
  <c r="AI24" i="62" s="1"/>
  <c r="F24" i="62"/>
  <c r="AJ24" i="62" s="1"/>
  <c r="F25" i="62"/>
  <c r="AJ25" i="62" s="1"/>
  <c r="H26" i="62"/>
  <c r="AK26" i="62" s="1"/>
  <c r="N26" i="62"/>
  <c r="L26" i="62"/>
  <c r="AM26" i="62" s="1"/>
  <c r="N25" i="62"/>
  <c r="AI15" i="62"/>
  <c r="AL23" i="62" l="1"/>
  <c r="AK23" i="62"/>
  <c r="AL10" i="62"/>
  <c r="AK10" i="62"/>
  <c r="AJ7" i="62"/>
  <c r="F49" i="62"/>
  <c r="N51" i="62"/>
  <c r="M50" i="62"/>
  <c r="AM16" i="62"/>
  <c r="AL6" i="62"/>
  <c r="I49" i="62"/>
  <c r="J49" i="62"/>
  <c r="AL11" i="62"/>
  <c r="AM19" i="62"/>
  <c r="AM18" i="62"/>
  <c r="L50" i="62"/>
  <c r="AL13" i="62"/>
  <c r="I50" i="62"/>
  <c r="H50" i="62"/>
  <c r="AK13" i="62"/>
  <c r="AK6" i="62"/>
  <c r="H49" i="62"/>
  <c r="AK9" i="62"/>
  <c r="AJ14" i="62"/>
  <c r="F50" i="62"/>
  <c r="AM23" i="62"/>
  <c r="AM12" i="62"/>
  <c r="E50" i="62"/>
  <c r="AI21" i="62"/>
  <c r="E51" i="62"/>
  <c r="N49" i="62"/>
  <c r="AM6" i="62"/>
  <c r="AJ9" i="62"/>
  <c r="AM8" i="62"/>
  <c r="L49" i="62"/>
  <c r="M49" i="62"/>
  <c r="AM9" i="62"/>
  <c r="AK20" i="62"/>
  <c r="H51" i="62"/>
  <c r="AM24" i="62"/>
  <c r="L51" i="62"/>
  <c r="AM17" i="62"/>
  <c r="N50" i="62"/>
  <c r="AJ20" i="62"/>
  <c r="F51" i="62"/>
  <c r="AL15" i="62"/>
  <c r="AK15" i="62"/>
  <c r="AM25" i="62"/>
  <c r="F29" i="62" l="1"/>
  <c r="AJ29" i="62" s="1"/>
  <c r="H30" i="62"/>
  <c r="AK30" i="62" s="1"/>
  <c r="M30" i="62"/>
  <c r="E30" i="62"/>
  <c r="AI30" i="62" s="1"/>
  <c r="F30" i="62"/>
  <c r="AJ30" i="62" s="1"/>
  <c r="N27" i="62"/>
  <c r="E27" i="62"/>
  <c r="H27" i="62"/>
  <c r="F28" i="62"/>
  <c r="H28" i="62"/>
  <c r="AK28" i="62" s="1"/>
  <c r="E28" i="62"/>
  <c r="AI28" i="62" s="1"/>
  <c r="H29" i="62"/>
  <c r="AK29" i="62" s="1"/>
  <c r="AJ28" i="62" l="1"/>
  <c r="E31" i="62"/>
  <c r="AI31" i="62" s="1"/>
  <c r="H31" i="62"/>
  <c r="AK31" i="62" s="1"/>
  <c r="J31" i="62"/>
  <c r="F31" i="62"/>
  <c r="AJ31" i="62" s="1"/>
  <c r="AK27" i="62"/>
  <c r="AI27" i="62"/>
  <c r="AM30" i="62"/>
  <c r="M52" i="62"/>
  <c r="AM27" i="62"/>
  <c r="H52" i="62" l="1"/>
  <c r="N32" i="62"/>
  <c r="I32" i="62"/>
  <c r="E32" i="62"/>
  <c r="J32" i="62"/>
  <c r="AL31" i="62"/>
  <c r="F52" i="62"/>
  <c r="AI32" i="62" l="1"/>
  <c r="I52" i="62"/>
  <c r="E33" i="62"/>
  <c r="AI33" i="62" s="1"/>
  <c r="L33" i="62"/>
  <c r="J33" i="62"/>
  <c r="AM32" i="62"/>
  <c r="N52" i="62"/>
  <c r="AL32" i="62"/>
  <c r="AL33" i="62" l="1"/>
  <c r="J52" i="62"/>
  <c r="AM33" i="62"/>
  <c r="L52" i="62"/>
  <c r="N34" i="62"/>
  <c r="F34" i="62"/>
  <c r="H34" i="62"/>
  <c r="AJ34" i="62" l="1"/>
  <c r="M35" i="62"/>
  <c r="H35" i="62"/>
  <c r="AK35" i="62" s="1"/>
  <c r="F35" i="62"/>
  <c r="AJ35" i="62" s="1"/>
  <c r="AM34" i="62"/>
  <c r="AK34" i="62"/>
  <c r="E36" i="62" l="1"/>
  <c r="H36" i="62"/>
  <c r="F36" i="62"/>
  <c r="AM35" i="62"/>
  <c r="F37" i="62" l="1"/>
  <c r="H37" i="62"/>
  <c r="AK37" i="62" s="1"/>
  <c r="M37" i="62"/>
  <c r="E37" i="62"/>
  <c r="AI37" i="62" s="1"/>
  <c r="AJ36" i="62"/>
  <c r="AK36" i="62"/>
  <c r="AI36" i="62"/>
  <c r="J38" i="62" l="1"/>
  <c r="E38" i="62"/>
  <c r="AI38" i="62" s="1"/>
  <c r="F38" i="62"/>
  <c r="F53" i="62" s="1"/>
  <c r="H38" i="62"/>
  <c r="AM37" i="62"/>
  <c r="M53" i="62"/>
  <c r="AJ37" i="62"/>
  <c r="AK38" i="62" l="1"/>
  <c r="H53" i="62"/>
  <c r="N39" i="62"/>
  <c r="I39" i="62"/>
  <c r="J39" i="62"/>
  <c r="AL39" i="62" s="1"/>
  <c r="E39" i="62"/>
  <c r="AJ38" i="62"/>
  <c r="AM39" i="62" l="1"/>
  <c r="N53" i="62"/>
  <c r="AI39" i="62"/>
  <c r="L40" i="62"/>
  <c r="I40" i="62"/>
  <c r="AL40" i="62" s="1"/>
  <c r="J40" i="62"/>
  <c r="E53" i="62"/>
  <c r="I53" i="62" l="1"/>
  <c r="AM40" i="62"/>
  <c r="L53" i="62"/>
  <c r="J53" i="62"/>
  <c r="E7" i="7" l="1"/>
  <c r="E29" i="62"/>
  <c r="E52" i="62" s="1"/>
  <c r="M25" i="62"/>
  <c r="M51" i="62" s="1"/>
  <c r="AI29" i="62"/>
  <c r="E6" i="7" l="1"/>
  <c r="C7" i="8" s="1"/>
  <c r="E8" i="7"/>
  <c r="C8" i="10"/>
  <c r="B5" i="5" s="1"/>
  <c r="C8" i="9"/>
  <c r="C7" i="11"/>
  <c r="C8" i="62"/>
  <c r="C7" i="62"/>
  <c r="H7" i="7"/>
  <c r="H6" i="7"/>
  <c r="C7" i="9"/>
  <c r="C8" i="8"/>
  <c r="C8" i="11"/>
  <c r="C7" i="10"/>
  <c r="B4" i="5" s="1"/>
  <c r="E5" i="7"/>
  <c r="G3" i="7" s="1" a="1"/>
  <c r="E9" i="7" l="1"/>
  <c r="C9" i="11"/>
  <c r="C9" i="10"/>
  <c r="B6" i="5" s="1"/>
  <c r="C9" i="9"/>
  <c r="C9" i="62"/>
  <c r="H8" i="7"/>
  <c r="C9" i="8"/>
  <c r="F25" i="1"/>
  <c r="C6" i="11"/>
  <c r="C6" i="10"/>
  <c r="C6" i="8"/>
  <c r="C6" i="9"/>
  <c r="C6" i="62"/>
  <c r="H5" i="7"/>
  <c r="E10" i="7" l="1"/>
  <c r="C10" i="62"/>
  <c r="H9" i="7"/>
  <c r="C10" i="11"/>
  <c r="C10" i="10"/>
  <c r="B7" i="5" s="1"/>
  <c r="C10" i="9"/>
  <c r="C10" i="8"/>
  <c r="G16" i="2" a="1"/>
  <c r="AE4" i="11" a="1"/>
  <c r="AA4" i="11" a="1"/>
  <c r="I16" i="2" a="1"/>
  <c r="AG4" i="11" a="1"/>
  <c r="AB4" i="11" a="1"/>
  <c r="E16" i="2" a="1"/>
  <c r="AF4" i="11" a="1"/>
  <c r="Z4" i="11" a="1"/>
  <c r="F16" i="2" a="1"/>
  <c r="AC4" i="11" a="1"/>
  <c r="D16" i="2" a="1"/>
  <c r="Y4" i="11" a="1"/>
  <c r="AD4" i="11" a="1"/>
  <c r="D14" i="2" a="1"/>
  <c r="E14" i="2" a="1"/>
  <c r="F14" i="2" a="1"/>
  <c r="I14" i="2" a="1"/>
  <c r="G14" i="2" a="1"/>
  <c r="B3" i="5"/>
  <c r="V7" i="4"/>
  <c r="J7" i="4"/>
  <c r="F7" i="4"/>
  <c r="X7" i="4"/>
  <c r="Q7" i="4"/>
  <c r="P7" i="4"/>
  <c r="W7" i="4"/>
  <c r="H7" i="4"/>
  <c r="M7" i="4"/>
  <c r="I7" i="4"/>
  <c r="E7" i="4"/>
  <c r="O7" i="4"/>
  <c r="U7" i="4"/>
  <c r="T7" i="4"/>
  <c r="L7" i="4"/>
  <c r="R7" i="4"/>
  <c r="S7" i="4"/>
  <c r="G7" i="4"/>
  <c r="N7" i="4"/>
  <c r="K7" i="4"/>
  <c r="G25" i="1"/>
  <c r="O15" i="1"/>
  <c r="G15" i="1" s="1"/>
  <c r="F35" i="1"/>
  <c r="E11" i="7" l="1"/>
  <c r="C11" i="10"/>
  <c r="C11" i="62"/>
  <c r="C11" i="8"/>
  <c r="C11" i="9"/>
  <c r="H10" i="7"/>
  <c r="H11" i="7" s="1"/>
  <c r="C11" i="11"/>
  <c r="T9" i="4"/>
  <c r="T10" i="4"/>
  <c r="U9" i="4"/>
  <c r="U10" i="4"/>
  <c r="K9" i="4"/>
  <c r="K10" i="4"/>
  <c r="N10" i="4"/>
  <c r="N9" i="4"/>
  <c r="S10" i="4"/>
  <c r="S9" i="4"/>
  <c r="I10" i="4"/>
  <c r="I9" i="4"/>
  <c r="P9" i="4"/>
  <c r="P10" i="4"/>
  <c r="J9" i="4"/>
  <c r="J10" i="4"/>
  <c r="R9" i="4"/>
  <c r="R10" i="4"/>
  <c r="M9" i="4"/>
  <c r="M10" i="4"/>
  <c r="Q9" i="4"/>
  <c r="Q10" i="4"/>
  <c r="V10" i="4"/>
  <c r="V9" i="4"/>
  <c r="H25" i="1"/>
  <c r="G35" i="1"/>
  <c r="G10" i="4"/>
  <c r="G9" i="4"/>
  <c r="E10" i="4"/>
  <c r="E9" i="4"/>
  <c r="W9" i="4"/>
  <c r="W10" i="4"/>
  <c r="F9" i="4"/>
  <c r="F10" i="4"/>
  <c r="L9" i="4"/>
  <c r="L10" i="4"/>
  <c r="O10" i="4"/>
  <c r="O9" i="4"/>
  <c r="H9" i="4"/>
  <c r="H10" i="4"/>
  <c r="X10" i="4"/>
  <c r="X9" i="4"/>
  <c r="B8" i="5" l="1"/>
  <c r="C12" i="11"/>
  <c r="C49" i="11" s="1"/>
  <c r="D7" i="34"/>
  <c r="C12" i="8"/>
  <c r="E15" i="7"/>
  <c r="H15" i="7" s="1"/>
  <c r="C12" i="62"/>
  <c r="C49" i="62" s="1"/>
  <c r="B12" i="7"/>
  <c r="C12" i="10"/>
  <c r="B9" i="5" s="1"/>
  <c r="C12" i="9"/>
  <c r="I25" i="1"/>
  <c r="H35" i="1"/>
  <c r="C13" i="9" l="1"/>
  <c r="E16" i="7"/>
  <c r="C13" i="8"/>
  <c r="C13" i="62"/>
  <c r="C13" i="11"/>
  <c r="C13" i="10"/>
  <c r="J25" i="1"/>
  <c r="I35" i="1"/>
  <c r="C14" i="9" l="1"/>
  <c r="C14" i="10"/>
  <c r="H16" i="7"/>
  <c r="C14" i="8"/>
  <c r="C14" i="62"/>
  <c r="E17" i="7"/>
  <c r="C14" i="11"/>
  <c r="B10" i="5"/>
  <c r="K25" i="1"/>
  <c r="J35" i="1"/>
  <c r="C15" i="9" l="1"/>
  <c r="C15" i="62"/>
  <c r="E18" i="7"/>
  <c r="C15" i="11"/>
  <c r="C15" i="8"/>
  <c r="C15" i="10"/>
  <c r="H17" i="7"/>
  <c r="B11" i="5"/>
  <c r="L25" i="1"/>
  <c r="K35" i="1"/>
  <c r="B12" i="5" l="1"/>
  <c r="H18" i="7"/>
  <c r="C16" i="11"/>
  <c r="C16" i="8"/>
  <c r="E19" i="7"/>
  <c r="C16" i="9"/>
  <c r="C16" i="62"/>
  <c r="C16" i="10"/>
  <c r="M25" i="1"/>
  <c r="L35" i="1"/>
  <c r="P15" i="1"/>
  <c r="H15" i="1" s="1"/>
  <c r="C17" i="11" l="1"/>
  <c r="C17" i="9"/>
  <c r="C17" i="62"/>
  <c r="E20" i="7"/>
  <c r="C17" i="8"/>
  <c r="C17" i="10"/>
  <c r="B14" i="5" s="1"/>
  <c r="H19" i="7"/>
  <c r="B13" i="5"/>
  <c r="N25" i="1"/>
  <c r="M35" i="1"/>
  <c r="O16" i="1"/>
  <c r="G16" i="1" s="1"/>
  <c r="C18" i="11" l="1"/>
  <c r="C18" i="10"/>
  <c r="C18" i="8"/>
  <c r="E21" i="7"/>
  <c r="C18" i="62"/>
  <c r="C18" i="9"/>
  <c r="H20" i="7"/>
  <c r="O25" i="1"/>
  <c r="N35" i="1"/>
  <c r="B22" i="7" l="1"/>
  <c r="C19" i="9"/>
  <c r="E25" i="7"/>
  <c r="C19" i="10"/>
  <c r="B16" i="5" s="1"/>
  <c r="D7" i="35"/>
  <c r="C19" i="11"/>
  <c r="H21" i="7"/>
  <c r="C19" i="8"/>
  <c r="C19" i="62"/>
  <c r="B15" i="5"/>
  <c r="P25" i="1"/>
  <c r="O35" i="1"/>
  <c r="E26" i="7" l="1"/>
  <c r="C20" i="11"/>
  <c r="C20" i="62"/>
  <c r="H25" i="7"/>
  <c r="C20" i="8"/>
  <c r="C20" i="10"/>
  <c r="B17" i="5" s="1"/>
  <c r="C20" i="9"/>
  <c r="C50" i="11"/>
  <c r="C50" i="62"/>
  <c r="Q25" i="1"/>
  <c r="P35" i="1"/>
  <c r="C21" i="10" l="1"/>
  <c r="B18" i="5" s="1"/>
  <c r="H26" i="7"/>
  <c r="C21" i="11"/>
  <c r="E27" i="7"/>
  <c r="C21" i="8"/>
  <c r="C21" i="62"/>
  <c r="C21" i="9"/>
  <c r="R25" i="1"/>
  <c r="Q35" i="1"/>
  <c r="C22" i="10" l="1"/>
  <c r="B19" i="5" s="1"/>
  <c r="C22" i="62"/>
  <c r="C22" i="8"/>
  <c r="H27" i="7"/>
  <c r="C22" i="11"/>
  <c r="E28" i="7"/>
  <c r="C22" i="9"/>
  <c r="S25" i="1"/>
  <c r="R35" i="1"/>
  <c r="C23" i="62" l="1"/>
  <c r="C23" i="8"/>
  <c r="C23" i="10"/>
  <c r="B20" i="5" s="1"/>
  <c r="E29" i="7"/>
  <c r="C23" i="9"/>
  <c r="H28" i="7"/>
  <c r="C23" i="11"/>
  <c r="T25" i="1"/>
  <c r="S35" i="1"/>
  <c r="P16" i="1"/>
  <c r="H16" i="1" s="1"/>
  <c r="C24" i="11" l="1"/>
  <c r="C24" i="62"/>
  <c r="C24" i="8"/>
  <c r="C24" i="9"/>
  <c r="C24" i="10"/>
  <c r="B21" i="5" s="1"/>
  <c r="E30" i="7"/>
  <c r="H29" i="7"/>
  <c r="U25" i="1"/>
  <c r="T35" i="1"/>
  <c r="O17" i="1"/>
  <c r="G17" i="1" s="1"/>
  <c r="C25" i="9" l="1"/>
  <c r="C25" i="62"/>
  <c r="C25" i="10"/>
  <c r="B22" i="5" s="1"/>
  <c r="C25" i="11"/>
  <c r="E31" i="7"/>
  <c r="H30" i="7"/>
  <c r="C25" i="8"/>
  <c r="V25" i="1"/>
  <c r="U35" i="1"/>
  <c r="B32" i="7" l="1"/>
  <c r="C26" i="11"/>
  <c r="C51" i="11" s="1"/>
  <c r="C26" i="9"/>
  <c r="C26" i="62"/>
  <c r="E35" i="7"/>
  <c r="H31" i="7"/>
  <c r="C26" i="10"/>
  <c r="B23" i="5" s="1"/>
  <c r="D7" i="36"/>
  <c r="C26" i="8"/>
  <c r="W25" i="1"/>
  <c r="V35" i="1"/>
  <c r="C27" i="11" l="1"/>
  <c r="E36" i="7"/>
  <c r="C27" i="62"/>
  <c r="C27" i="8"/>
  <c r="C27" i="10"/>
  <c r="B24" i="5" s="1"/>
  <c r="H35" i="7"/>
  <c r="C27" i="9"/>
  <c r="G21" i="2"/>
  <c r="G29" i="2" s="1"/>
  <c r="D9" i="2" s="1"/>
  <c r="I26" i="2"/>
  <c r="F26" i="2"/>
  <c r="D22" i="2"/>
  <c r="I23" i="2"/>
  <c r="I24" i="2"/>
  <c r="J27" i="2"/>
  <c r="F27" i="2"/>
  <c r="J21" i="2"/>
  <c r="I27" i="2"/>
  <c r="G27" i="2"/>
  <c r="E27" i="2"/>
  <c r="D23" i="2"/>
  <c r="F23" i="2"/>
  <c r="J26" i="2"/>
  <c r="F22" i="2"/>
  <c r="E24" i="2"/>
  <c r="F24" i="2"/>
  <c r="G26" i="2"/>
  <c r="D26" i="2"/>
  <c r="I25" i="2"/>
  <c r="G22" i="2"/>
  <c r="E23" i="2"/>
  <c r="D21" i="2"/>
  <c r="D29" i="2" s="1"/>
  <c r="D6" i="2" s="1"/>
  <c r="D27" i="2"/>
  <c r="E26" i="2"/>
  <c r="G25" i="2"/>
  <c r="J22" i="2"/>
  <c r="E22" i="2"/>
  <c r="F25" i="2"/>
  <c r="D24" i="2"/>
  <c r="J25" i="2"/>
  <c r="I22" i="2"/>
  <c r="I29" i="2" s="1"/>
  <c r="D10" i="2" s="1"/>
  <c r="G23" i="2"/>
  <c r="J24" i="2"/>
  <c r="D25" i="2"/>
  <c r="G24" i="2"/>
  <c r="F21" i="2"/>
  <c r="F29" i="2" s="1"/>
  <c r="D8" i="2" s="1"/>
  <c r="J23" i="2"/>
  <c r="E25" i="2"/>
  <c r="E21" i="2"/>
  <c r="E29" i="2" s="1"/>
  <c r="I21" i="2"/>
  <c r="C21" i="3"/>
  <c r="C33" i="3"/>
  <c r="C18" i="3"/>
  <c r="C26" i="3"/>
  <c r="C13" i="3"/>
  <c r="C16" i="3"/>
  <c r="C25" i="3"/>
  <c r="C15" i="3"/>
  <c r="C36" i="3"/>
  <c r="C32" i="3"/>
  <c r="C24" i="3"/>
  <c r="C20" i="3"/>
  <c r="C31" i="3"/>
  <c r="C19" i="3"/>
  <c r="C35" i="3"/>
  <c r="C22" i="3"/>
  <c r="C17" i="3"/>
  <c r="C34" i="3"/>
  <c r="C14" i="3"/>
  <c r="C23" i="3"/>
  <c r="C51" i="62"/>
  <c r="X25" i="1"/>
  <c r="W35" i="1"/>
  <c r="D7" i="2" l="1"/>
  <c r="J29" i="2"/>
  <c r="F16" i="3"/>
  <c r="F15" i="3"/>
  <c r="F14" i="3"/>
  <c r="F21" i="3"/>
  <c r="F23" i="3"/>
  <c r="M17" i="3"/>
  <c r="F36" i="3"/>
  <c r="M16" i="3"/>
  <c r="M23" i="3"/>
  <c r="M31" i="3"/>
  <c r="F22" i="3"/>
  <c r="M35" i="3"/>
  <c r="M25" i="3"/>
  <c r="M32" i="3"/>
  <c r="F18" i="3"/>
  <c r="M19" i="3"/>
  <c r="F13" i="3"/>
  <c r="F39" i="3" s="1"/>
  <c r="F31" i="3"/>
  <c r="M22" i="3"/>
  <c r="M21" i="3"/>
  <c r="F25" i="3"/>
  <c r="M18" i="3"/>
  <c r="F32" i="3"/>
  <c r="M34" i="3"/>
  <c r="M24" i="3"/>
  <c r="F20" i="3"/>
  <c r="M20" i="3"/>
  <c r="F34" i="3"/>
  <c r="F24" i="3"/>
  <c r="F17" i="3"/>
  <c r="M36" i="3"/>
  <c r="M33" i="3"/>
  <c r="F19" i="3"/>
  <c r="F35" i="3"/>
  <c r="F33" i="3"/>
  <c r="M14" i="3"/>
  <c r="M26" i="3"/>
  <c r="M15" i="3"/>
  <c r="F26" i="3"/>
  <c r="M13" i="3"/>
  <c r="E14" i="3"/>
  <c r="E22" i="3"/>
  <c r="E31" i="3"/>
  <c r="E19" i="3"/>
  <c r="E32" i="3"/>
  <c r="L5" i="13"/>
  <c r="I9" i="2"/>
  <c r="I6" i="2"/>
  <c r="I8" i="2"/>
  <c r="C39" i="3"/>
  <c r="E26" i="3" s="1"/>
  <c r="E13" i="3"/>
  <c r="E35" i="3"/>
  <c r="E24" i="3"/>
  <c r="E18" i="3"/>
  <c r="E23" i="3"/>
  <c r="E36" i="3"/>
  <c r="E16" i="3"/>
  <c r="E33" i="3"/>
  <c r="E17" i="3"/>
  <c r="E21" i="3"/>
  <c r="H36" i="7"/>
  <c r="C28" i="10"/>
  <c r="B25" i="5" s="1"/>
  <c r="C28" i="9"/>
  <c r="E37" i="7"/>
  <c r="C28" i="11"/>
  <c r="C28" i="62"/>
  <c r="C28" i="8"/>
  <c r="E34" i="3"/>
  <c r="E20" i="3"/>
  <c r="Y25" i="1"/>
  <c r="X35" i="1"/>
  <c r="K15" i="13" l="1"/>
  <c r="C15" i="6"/>
  <c r="D15" i="6" s="1"/>
  <c r="C5" i="72"/>
  <c r="K24" i="13"/>
  <c r="C24" i="6"/>
  <c r="D24" i="6" s="1"/>
  <c r="C5" i="83"/>
  <c r="K11" i="13"/>
  <c r="C11" i="6"/>
  <c r="D11" i="6" s="1"/>
  <c r="C5" i="70"/>
  <c r="C20" i="6"/>
  <c r="D20" i="6" s="1"/>
  <c r="C5" i="80"/>
  <c r="K20" i="13"/>
  <c r="C5" i="74"/>
  <c r="C14" i="6"/>
  <c r="D14" i="6" s="1"/>
  <c r="K14" i="13"/>
  <c r="C12" i="6"/>
  <c r="D12" i="6" s="1"/>
  <c r="C5" i="71"/>
  <c r="K12" i="13"/>
  <c r="C5" i="78"/>
  <c r="C18" i="6"/>
  <c r="D18" i="6" s="1"/>
  <c r="K18" i="13"/>
  <c r="K16" i="13"/>
  <c r="C5" i="75"/>
  <c r="C16" i="6"/>
  <c r="D16" i="6" s="1"/>
  <c r="C29" i="10"/>
  <c r="B26" i="5" s="1"/>
  <c r="C29" i="8"/>
  <c r="C29" i="11"/>
  <c r="E38" i="7"/>
  <c r="C29" i="9"/>
  <c r="C29" i="62"/>
  <c r="H37" i="7"/>
  <c r="C7" i="6"/>
  <c r="D7" i="6" s="1"/>
  <c r="K7" i="13"/>
  <c r="C5" i="66"/>
  <c r="K9" i="13"/>
  <c r="C5" i="68"/>
  <c r="C9" i="6"/>
  <c r="D9" i="6" s="1"/>
  <c r="K25" i="13"/>
  <c r="C5" i="84"/>
  <c r="C25" i="6"/>
  <c r="D25" i="6" s="1"/>
  <c r="K10" i="13"/>
  <c r="C5" i="69"/>
  <c r="C10" i="6"/>
  <c r="D10" i="6" s="1"/>
  <c r="K21" i="13"/>
  <c r="C21" i="6"/>
  <c r="D21" i="6" s="1"/>
  <c r="C5" i="77"/>
  <c r="C5" i="73"/>
  <c r="C13" i="6"/>
  <c r="D13" i="6" s="1"/>
  <c r="K13" i="13"/>
  <c r="E25" i="3"/>
  <c r="C6" i="6"/>
  <c r="D6" i="6" s="1"/>
  <c r="K6" i="13"/>
  <c r="M39" i="3"/>
  <c r="C5" i="14"/>
  <c r="K8" i="13"/>
  <c r="C5" i="67"/>
  <c r="C8" i="6"/>
  <c r="D8" i="6" s="1"/>
  <c r="J5" i="13"/>
  <c r="K8" i="2"/>
  <c r="K17" i="13"/>
  <c r="C5" i="76"/>
  <c r="C17" i="6"/>
  <c r="D17" i="6" s="1"/>
  <c r="K19" i="13"/>
  <c r="C5" i="79"/>
  <c r="C19" i="6"/>
  <c r="D19" i="6" s="1"/>
  <c r="C5" i="81"/>
  <c r="K22" i="13"/>
  <c r="C22" i="6"/>
  <c r="D22" i="6" s="1"/>
  <c r="K6" i="2"/>
  <c r="I5" i="13"/>
  <c r="C23" i="6"/>
  <c r="D23" i="6" s="1"/>
  <c r="C5" i="82"/>
  <c r="K23" i="13"/>
  <c r="E15" i="3"/>
  <c r="E39" i="3" s="1"/>
  <c r="K9" i="2"/>
  <c r="G5" i="13"/>
  <c r="I7" i="2"/>
  <c r="I10" i="2"/>
  <c r="K10" i="2" s="1"/>
  <c r="Z25" i="1"/>
  <c r="Y35" i="1"/>
  <c r="K7" i="2" l="1"/>
  <c r="H5" i="13"/>
  <c r="E39" i="7"/>
  <c r="C30" i="9"/>
  <c r="C30" i="8"/>
  <c r="H38" i="7"/>
  <c r="C30" i="11"/>
  <c r="C30" i="10"/>
  <c r="B27" i="5" s="1"/>
  <c r="C30" i="62"/>
  <c r="P17" i="1"/>
  <c r="AA25" i="1"/>
  <c r="Z35" i="1"/>
  <c r="E40" i="7" l="1"/>
  <c r="C31" i="11"/>
  <c r="C31" i="8"/>
  <c r="C31" i="9"/>
  <c r="H39" i="7"/>
  <c r="C31" i="10"/>
  <c r="B28" i="5" s="1"/>
  <c r="C31" i="62"/>
  <c r="AB25" i="1"/>
  <c r="O18" i="1"/>
  <c r="G18" i="1" s="1"/>
  <c r="AA35" i="1"/>
  <c r="N8" i="3"/>
  <c r="J9" i="3"/>
  <c r="C9" i="3"/>
  <c r="H17" i="1"/>
  <c r="G8" i="3"/>
  <c r="C32" i="8" l="1"/>
  <c r="C32" i="10"/>
  <c r="B29" i="5" s="1"/>
  <c r="H40" i="7"/>
  <c r="C32" i="11"/>
  <c r="C32" i="62"/>
  <c r="E41" i="7"/>
  <c r="C32" i="9"/>
  <c r="N10" i="3"/>
  <c r="C26" i="6"/>
  <c r="N9" i="3"/>
  <c r="N7" i="3"/>
  <c r="G7" i="3"/>
  <c r="G10" i="3"/>
  <c r="G9" i="3"/>
  <c r="AC25" i="1"/>
  <c r="AB35" i="1"/>
  <c r="B42" i="7" l="1"/>
  <c r="C33" i="10"/>
  <c r="B30" i="5" s="1"/>
  <c r="E45" i="7"/>
  <c r="H41" i="7"/>
  <c r="C33" i="8"/>
  <c r="C33" i="9"/>
  <c r="C33" i="11"/>
  <c r="C52" i="11" s="1"/>
  <c r="C33" i="62"/>
  <c r="C52" i="62" s="1"/>
  <c r="D7" i="37"/>
  <c r="AD25" i="1"/>
  <c r="AC35" i="1"/>
  <c r="S6" i="3"/>
  <c r="S7" i="3" s="1"/>
  <c r="K5" i="13"/>
  <c r="D26" i="6"/>
  <c r="G16" i="3"/>
  <c r="G20" i="3"/>
  <c r="G24" i="3"/>
  <c r="G32" i="3"/>
  <c r="G36" i="3"/>
  <c r="G13" i="3"/>
  <c r="G17" i="3"/>
  <c r="G21" i="3"/>
  <c r="G25" i="3"/>
  <c r="G33" i="3"/>
  <c r="G14" i="3"/>
  <c r="G18" i="3"/>
  <c r="G22" i="3"/>
  <c r="G26" i="3"/>
  <c r="G34" i="3"/>
  <c r="G23" i="3"/>
  <c r="G31" i="3"/>
  <c r="G15" i="3"/>
  <c r="G35" i="3"/>
  <c r="G19" i="3"/>
  <c r="C34" i="62" l="1"/>
  <c r="H45" i="7"/>
  <c r="C34" i="9"/>
  <c r="C34" i="10"/>
  <c r="B31" i="5" s="1"/>
  <c r="C34" i="8"/>
  <c r="C34" i="11"/>
  <c r="E46" i="7"/>
  <c r="G39" i="3"/>
  <c r="AE25" i="1"/>
  <c r="AD35" i="1"/>
  <c r="C35" i="11" l="1"/>
  <c r="E47" i="7"/>
  <c r="C35" i="62"/>
  <c r="C35" i="8"/>
  <c r="C35" i="9"/>
  <c r="C35" i="10"/>
  <c r="B32" i="5" s="1"/>
  <c r="H46" i="7"/>
  <c r="AF25" i="1"/>
  <c r="AE35" i="1"/>
  <c r="C36" i="10" l="1"/>
  <c r="B33" i="5" s="1"/>
  <c r="H47" i="7"/>
  <c r="C36" i="11"/>
  <c r="C36" i="8"/>
  <c r="E48" i="7"/>
  <c r="C36" i="62"/>
  <c r="C36" i="9"/>
  <c r="AG25" i="1"/>
  <c r="AF35" i="1"/>
  <c r="C37" i="9" l="1"/>
  <c r="H48" i="7"/>
  <c r="C37" i="10"/>
  <c r="B34" i="5" s="1"/>
  <c r="C37" i="62"/>
  <c r="E49" i="7"/>
  <c r="C37" i="8"/>
  <c r="C37" i="11"/>
  <c r="AH25" i="1"/>
  <c r="AG35" i="1"/>
  <c r="P18" i="1"/>
  <c r="H18" i="1" s="1"/>
  <c r="C38" i="9" l="1"/>
  <c r="C38" i="62"/>
  <c r="E50" i="7"/>
  <c r="H49" i="7"/>
  <c r="C38" i="8"/>
  <c r="C38" i="10"/>
  <c r="B35" i="5" s="1"/>
  <c r="C38" i="11"/>
  <c r="AI25" i="1"/>
  <c r="O19" i="1"/>
  <c r="G19" i="1" s="1"/>
  <c r="AH35" i="1"/>
  <c r="H50" i="7" l="1"/>
  <c r="C39" i="62"/>
  <c r="C39" i="11"/>
  <c r="C39" i="9"/>
  <c r="C39" i="10"/>
  <c r="B36" i="5" s="1"/>
  <c r="E51" i="7"/>
  <c r="C39" i="8"/>
  <c r="AJ25" i="1"/>
  <c r="AI35" i="1"/>
  <c r="B52" i="7" l="1"/>
  <c r="C40" i="9"/>
  <c r="D7" i="38"/>
  <c r="C40" i="10"/>
  <c r="B37" i="5" s="1"/>
  <c r="C40" i="8"/>
  <c r="H51" i="7"/>
  <c r="E55" i="7"/>
  <c r="C40" i="11"/>
  <c r="C53" i="11" s="1"/>
  <c r="C40" i="62"/>
  <c r="C53" i="62" s="1"/>
  <c r="AK25" i="1"/>
  <c r="AJ35" i="1"/>
  <c r="C41" i="11" l="1"/>
  <c r="C41" i="8"/>
  <c r="C41" i="10"/>
  <c r="B38" i="5" s="1"/>
  <c r="C41" i="9"/>
  <c r="H55" i="7"/>
  <c r="C41" i="62"/>
  <c r="E56" i="7"/>
  <c r="D18" i="85"/>
  <c r="D15" i="85"/>
  <c r="D19" i="85"/>
  <c r="AL25" i="1"/>
  <c r="AK35" i="1"/>
  <c r="E57" i="7" l="1"/>
  <c r="C42" i="10"/>
  <c r="B39" i="5" s="1"/>
  <c r="C42" i="8"/>
  <c r="H56" i="7"/>
  <c r="C42" i="62"/>
  <c r="C42" i="11"/>
  <c r="C42" i="9"/>
  <c r="AM25" i="1"/>
  <c r="AL35" i="1"/>
  <c r="C43" i="10" l="1"/>
  <c r="B40" i="5" s="1"/>
  <c r="H57" i="7"/>
  <c r="C43" i="9"/>
  <c r="C43" i="11"/>
  <c r="C43" i="62"/>
  <c r="C43" i="8"/>
  <c r="E58" i="7"/>
  <c r="AN25" i="1"/>
  <c r="AM35" i="1"/>
  <c r="C44" i="9" l="1"/>
  <c r="C44" i="8"/>
  <c r="C44" i="11"/>
  <c r="C44" i="10"/>
  <c r="B41" i="5" s="1"/>
  <c r="E59" i="7"/>
  <c r="H58" i="7"/>
  <c r="C44" i="62"/>
  <c r="P19" i="1"/>
  <c r="H19" i="1" s="1"/>
  <c r="AO25" i="1"/>
  <c r="AN35" i="1"/>
  <c r="E60" i="7" l="1"/>
  <c r="C45" i="62"/>
  <c r="C45" i="8"/>
  <c r="H59" i="7"/>
  <c r="C45" i="9"/>
  <c r="C45" i="11"/>
  <c r="C45" i="10"/>
  <c r="B42" i="5" s="1"/>
  <c r="AP25" i="1"/>
  <c r="AO35" i="1"/>
  <c r="O20" i="1"/>
  <c r="G20" i="1" s="1"/>
  <c r="C46" i="9" l="1"/>
  <c r="C46" i="62"/>
  <c r="H60" i="7"/>
  <c r="C46" i="11"/>
  <c r="C46" i="10"/>
  <c r="B43" i="5" s="1"/>
  <c r="C46" i="8"/>
  <c r="E61" i="7"/>
  <c r="AQ25" i="1"/>
  <c r="AP35" i="1"/>
  <c r="L25" i="6" l="1"/>
  <c r="C47" i="11"/>
  <c r="C47" i="10"/>
  <c r="H61" i="7"/>
  <c r="C47" i="8"/>
  <c r="C47" i="62"/>
  <c r="L19" i="6" s="1"/>
  <c r="C47" i="9"/>
  <c r="D6" i="85"/>
  <c r="K3" i="7"/>
  <c r="C15" i="4" s="1"/>
  <c r="L3" i="7"/>
  <c r="G3" i="7"/>
  <c r="J3" i="7"/>
  <c r="I3" i="7"/>
  <c r="L18" i="6"/>
  <c r="AR25" i="1"/>
  <c r="AQ35" i="1"/>
  <c r="Q19" i="6" l="1"/>
  <c r="AA19" i="6" s="1"/>
  <c r="V19" i="6"/>
  <c r="C12" i="4"/>
  <c r="Q3" i="7"/>
  <c r="O3" i="7"/>
  <c r="C13" i="4"/>
  <c r="C19" i="4" s="1"/>
  <c r="M3" i="7"/>
  <c r="C21" i="4" s="1"/>
  <c r="P3" i="7"/>
  <c r="Q25" i="6"/>
  <c r="AA25" i="6" s="1"/>
  <c r="V25" i="6"/>
  <c r="L13" i="6"/>
  <c r="L12" i="6"/>
  <c r="L21" i="6"/>
  <c r="L14" i="6"/>
  <c r="Y34" i="3"/>
  <c r="U4" i="8"/>
  <c r="U13" i="4" s="1"/>
  <c r="AB4" i="8"/>
  <c r="AB13" i="4" s="1"/>
  <c r="Y37" i="3"/>
  <c r="Y21" i="3"/>
  <c r="Y14" i="3"/>
  <c r="AD4" i="8"/>
  <c r="AD13" i="4" s="1"/>
  <c r="Y33" i="3"/>
  <c r="Y36" i="3"/>
  <c r="M4" i="8"/>
  <c r="M13" i="4" s="1"/>
  <c r="Y35" i="3"/>
  <c r="E4" i="8"/>
  <c r="E13" i="4" s="1"/>
  <c r="AG4" i="8"/>
  <c r="AG13" i="4" s="1"/>
  <c r="AG25" i="4" s="1"/>
  <c r="AE4" i="8"/>
  <c r="AE13" i="4" s="1"/>
  <c r="V4" i="8"/>
  <c r="V13" i="4" s="1"/>
  <c r="I4" i="8"/>
  <c r="I13" i="4" s="1"/>
  <c r="N4" i="8"/>
  <c r="N13" i="4" s="1"/>
  <c r="Y24" i="3"/>
  <c r="AF4" i="8"/>
  <c r="AF13" i="4" s="1"/>
  <c r="Y13" i="3"/>
  <c r="S4" i="8"/>
  <c r="S13" i="4" s="1"/>
  <c r="H4" i="8"/>
  <c r="H13" i="4" s="1"/>
  <c r="AC4" i="8"/>
  <c r="AC13" i="4" s="1"/>
  <c r="K4" i="8"/>
  <c r="K13" i="4" s="1"/>
  <c r="AA4" i="8"/>
  <c r="AA13" i="4" s="1"/>
  <c r="Y31" i="3"/>
  <c r="Y26" i="3"/>
  <c r="T4" i="8"/>
  <c r="T13" i="4" s="1"/>
  <c r="G4" i="8"/>
  <c r="G13" i="4" s="1"/>
  <c r="Y22" i="3"/>
  <c r="Y32" i="3"/>
  <c r="Y16" i="3"/>
  <c r="Q4" i="8"/>
  <c r="Q13" i="4" s="1"/>
  <c r="Y23" i="3"/>
  <c r="O4" i="8"/>
  <c r="O13" i="4" s="1"/>
  <c r="Y4" i="8"/>
  <c r="Y13" i="4" s="1"/>
  <c r="P4" i="8"/>
  <c r="P13" i="4" s="1"/>
  <c r="L4" i="8"/>
  <c r="L13" i="4" s="1"/>
  <c r="R4" i="8"/>
  <c r="R13" i="4" s="1"/>
  <c r="F4" i="8"/>
  <c r="F13" i="4" s="1"/>
  <c r="X4" i="8"/>
  <c r="X13" i="4" s="1"/>
  <c r="Y15" i="3"/>
  <c r="Y18" i="3"/>
  <c r="W4" i="8"/>
  <c r="W13" i="4" s="1"/>
  <c r="Y17" i="3"/>
  <c r="Y20" i="3"/>
  <c r="Y25" i="3"/>
  <c r="Z4" i="8"/>
  <c r="Z13" i="4" s="1"/>
  <c r="J4" i="8"/>
  <c r="J13" i="4" s="1"/>
  <c r="Y19" i="3"/>
  <c r="C54" i="11"/>
  <c r="E16" i="2"/>
  <c r="E17" i="2" s="1"/>
  <c r="F16" i="2"/>
  <c r="F17" i="2" s="1"/>
  <c r="J21" i="3"/>
  <c r="J14" i="3"/>
  <c r="D16" i="2"/>
  <c r="D17" i="2" s="1"/>
  <c r="J4" i="11"/>
  <c r="J15" i="4" s="1"/>
  <c r="J23" i="4" s="1"/>
  <c r="J15" i="3"/>
  <c r="J17" i="3"/>
  <c r="K4" i="11"/>
  <c r="K15" i="4" s="1"/>
  <c r="K23" i="4" s="1"/>
  <c r="J33" i="3"/>
  <c r="J24" i="3"/>
  <c r="I4" i="11"/>
  <c r="I15" i="4" s="1"/>
  <c r="I23" i="4" s="1"/>
  <c r="N4" i="11"/>
  <c r="N15" i="4" s="1"/>
  <c r="N23" i="4" s="1"/>
  <c r="T4" i="11"/>
  <c r="T15" i="4" s="1"/>
  <c r="T23" i="4" s="1"/>
  <c r="AE4" i="11"/>
  <c r="AE15" i="4" s="1"/>
  <c r="AE23" i="4" s="1"/>
  <c r="J18" i="3"/>
  <c r="AG4" i="11"/>
  <c r="AG15" i="4" s="1"/>
  <c r="L4" i="11"/>
  <c r="L15" i="4" s="1"/>
  <c r="L23" i="4" s="1"/>
  <c r="O4" i="11"/>
  <c r="O15" i="4" s="1"/>
  <c r="O23" i="4" s="1"/>
  <c r="H4" i="11"/>
  <c r="H15" i="4" s="1"/>
  <c r="H23" i="4" s="1"/>
  <c r="J23" i="3"/>
  <c r="J20" i="3"/>
  <c r="S4" i="11"/>
  <c r="S15" i="4" s="1"/>
  <c r="S23" i="4" s="1"/>
  <c r="AD4" i="11"/>
  <c r="AD15" i="4" s="1"/>
  <c r="M4" i="11"/>
  <c r="M15" i="4" s="1"/>
  <c r="M23" i="4" s="1"/>
  <c r="J36" i="3"/>
  <c r="J25" i="3"/>
  <c r="AB4" i="11"/>
  <c r="AB15" i="4" s="1"/>
  <c r="J32" i="3"/>
  <c r="J35" i="3"/>
  <c r="X4" i="11"/>
  <c r="X15" i="4" s="1"/>
  <c r="J16" i="3"/>
  <c r="V4" i="11"/>
  <c r="V15" i="4" s="1"/>
  <c r="V23" i="4" s="1"/>
  <c r="J22" i="3"/>
  <c r="AC4" i="11"/>
  <c r="AC15" i="4" s="1"/>
  <c r="R4" i="11"/>
  <c r="R15" i="4" s="1"/>
  <c r="R23" i="4" s="1"/>
  <c r="G4" i="11"/>
  <c r="G15" i="4" s="1"/>
  <c r="G23" i="4" s="1"/>
  <c r="J13" i="3"/>
  <c r="J31" i="3"/>
  <c r="W4" i="11"/>
  <c r="W15" i="4" s="1"/>
  <c r="J34" i="3"/>
  <c r="J26" i="3"/>
  <c r="G16" i="2"/>
  <c r="G17" i="2" s="1"/>
  <c r="F4" i="11"/>
  <c r="F15" i="4" s="1"/>
  <c r="F23" i="4" s="1"/>
  <c r="Z4" i="11"/>
  <c r="Z15" i="4" s="1"/>
  <c r="AA4" i="11"/>
  <c r="AA15" i="4" s="1"/>
  <c r="I16" i="2"/>
  <c r="I17" i="2" s="1"/>
  <c r="AF4" i="11"/>
  <c r="AF15" i="4" s="1"/>
  <c r="AF23" i="4" s="1"/>
  <c r="U4" i="11"/>
  <c r="U15" i="4" s="1"/>
  <c r="U23" i="4" s="1"/>
  <c r="Q4" i="11"/>
  <c r="Q15" i="4" s="1"/>
  <c r="Q23" i="4" s="1"/>
  <c r="J19" i="3"/>
  <c r="P4" i="11"/>
  <c r="P15" i="4" s="1"/>
  <c r="P23" i="4" s="1"/>
  <c r="E4" i="11"/>
  <c r="E15" i="4" s="1"/>
  <c r="E23" i="4" s="1"/>
  <c r="Y4" i="11"/>
  <c r="Y15" i="4" s="1"/>
  <c r="L16" i="6"/>
  <c r="L15" i="6"/>
  <c r="L10" i="6"/>
  <c r="L23" i="6"/>
  <c r="C14" i="4"/>
  <c r="C18" i="4" s="1"/>
  <c r="D27" i="85" s="1"/>
  <c r="R3" i="7"/>
  <c r="Z20" i="3"/>
  <c r="Z26" i="3"/>
  <c r="Z36" i="3"/>
  <c r="Z14" i="3"/>
  <c r="S4" i="9"/>
  <c r="S14" i="4" s="1"/>
  <c r="S18" i="4" s="1"/>
  <c r="Z24" i="3"/>
  <c r="Z35" i="3"/>
  <c r="AD4" i="9"/>
  <c r="AD14" i="4" s="1"/>
  <c r="AD18" i="4" s="1"/>
  <c r="P4" i="9"/>
  <c r="P14" i="4" s="1"/>
  <c r="P18" i="4" s="1"/>
  <c r="AB4" i="9"/>
  <c r="AB14" i="4" s="1"/>
  <c r="AB18" i="4" s="1"/>
  <c r="Z17" i="3"/>
  <c r="AG4" i="9"/>
  <c r="AG14" i="4" s="1"/>
  <c r="AG18" i="4" s="1"/>
  <c r="K4" i="9"/>
  <c r="K14" i="4" s="1"/>
  <c r="K18" i="4" s="1"/>
  <c r="AC4" i="9"/>
  <c r="AC14" i="4" s="1"/>
  <c r="AC18" i="4" s="1"/>
  <c r="H4" i="9"/>
  <c r="H14" i="4" s="1"/>
  <c r="H18" i="4" s="1"/>
  <c r="E4" i="9"/>
  <c r="E14" i="4" s="1"/>
  <c r="E18" i="4" s="1"/>
  <c r="Z22" i="3"/>
  <c r="Z34" i="3"/>
  <c r="Z13" i="3"/>
  <c r="Z16" i="3"/>
  <c r="L4" i="9"/>
  <c r="L14" i="4" s="1"/>
  <c r="L18" i="4" s="1"/>
  <c r="Z4" i="9"/>
  <c r="Z14" i="4" s="1"/>
  <c r="Z18" i="4" s="1"/>
  <c r="G4" i="9"/>
  <c r="G14" i="4" s="1"/>
  <c r="G18" i="4" s="1"/>
  <c r="Q4" i="9"/>
  <c r="Q14" i="4" s="1"/>
  <c r="Q18" i="4" s="1"/>
  <c r="W4" i="9"/>
  <c r="W14" i="4" s="1"/>
  <c r="W18" i="4" s="1"/>
  <c r="Z32" i="3"/>
  <c r="O4" i="9"/>
  <c r="O14" i="4" s="1"/>
  <c r="O18" i="4" s="1"/>
  <c r="M4" i="9"/>
  <c r="M14" i="4" s="1"/>
  <c r="Z33" i="3"/>
  <c r="Z21" i="3"/>
  <c r="Z15" i="3"/>
  <c r="AE4" i="9"/>
  <c r="AE14" i="4" s="1"/>
  <c r="AE18" i="4" s="1"/>
  <c r="R4" i="9"/>
  <c r="R14" i="4" s="1"/>
  <c r="R18" i="4" s="1"/>
  <c r="AF4" i="9"/>
  <c r="AF14" i="4" s="1"/>
  <c r="AF18" i="4" s="1"/>
  <c r="Z25" i="3"/>
  <c r="V4" i="9"/>
  <c r="V14" i="4" s="1"/>
  <c r="V18" i="4" s="1"/>
  <c r="X4" i="9"/>
  <c r="X14" i="4" s="1"/>
  <c r="X18" i="4" s="1"/>
  <c r="J4" i="9"/>
  <c r="J14" i="4" s="1"/>
  <c r="J18" i="4" s="1"/>
  <c r="I4" i="9"/>
  <c r="I14" i="4" s="1"/>
  <c r="I18" i="4" s="1"/>
  <c r="F4" i="9"/>
  <c r="F14" i="4" s="1"/>
  <c r="F18" i="4" s="1"/>
  <c r="U4" i="9"/>
  <c r="U14" i="4" s="1"/>
  <c r="U18" i="4" s="1"/>
  <c r="Y4" i="9"/>
  <c r="Y14" i="4" s="1"/>
  <c r="Y18" i="4" s="1"/>
  <c r="Z23" i="3"/>
  <c r="Z18" i="3"/>
  <c r="T4" i="9"/>
  <c r="T14" i="4" s="1"/>
  <c r="T18" i="4" s="1"/>
  <c r="Z37" i="3"/>
  <c r="Z19" i="3"/>
  <c r="AA4" i="9"/>
  <c r="AA14" i="4" s="1"/>
  <c r="AA18" i="4" s="1"/>
  <c r="Z31" i="3"/>
  <c r="N4" i="9"/>
  <c r="N14" i="4" s="1"/>
  <c r="N18" i="4" s="1"/>
  <c r="H3" i="7"/>
  <c r="D9" i="85"/>
  <c r="D10" i="85"/>
  <c r="L24" i="6"/>
  <c r="L17" i="6"/>
  <c r="L20" i="6"/>
  <c r="L22" i="6"/>
  <c r="L11" i="6"/>
  <c r="L7" i="6"/>
  <c r="V18" i="6"/>
  <c r="Q18" i="6"/>
  <c r="AA18" i="6" s="1"/>
  <c r="C54" i="62"/>
  <c r="J4" i="62"/>
  <c r="AG4" i="62"/>
  <c r="V4" i="62"/>
  <c r="G4" i="62"/>
  <c r="K4" i="62"/>
  <c r="AE4" i="62"/>
  <c r="N4" i="62"/>
  <c r="E4" i="62"/>
  <c r="X4" i="62"/>
  <c r="R4" i="62"/>
  <c r="U4" i="62"/>
  <c r="AA4" i="62"/>
  <c r="Z4" i="62"/>
  <c r="W4" i="62"/>
  <c r="Q4" i="62"/>
  <c r="AF4" i="62"/>
  <c r="I4" i="62"/>
  <c r="M4" i="62"/>
  <c r="L4" i="62"/>
  <c r="AB4" i="62"/>
  <c r="Y4" i="62"/>
  <c r="AD4" i="62"/>
  <c r="O4" i="62"/>
  <c r="F4" i="62"/>
  <c r="H4" i="62"/>
  <c r="S4" i="62"/>
  <c r="P4" i="62"/>
  <c r="AC4" i="62"/>
  <c r="T4" i="62"/>
  <c r="B44" i="5"/>
  <c r="Q4" i="10"/>
  <c r="Q12" i="4" s="1"/>
  <c r="P35" i="3"/>
  <c r="G14" i="2"/>
  <c r="G15" i="2" s="1"/>
  <c r="M4" i="10"/>
  <c r="M12" i="4" s="1"/>
  <c r="AE4" i="10"/>
  <c r="AE12" i="4" s="1"/>
  <c r="O4" i="10"/>
  <c r="O12" i="4" s="1"/>
  <c r="E14" i="2"/>
  <c r="E15" i="2" s="1"/>
  <c r="P33" i="3"/>
  <c r="P37" i="3"/>
  <c r="X37" i="3" s="1"/>
  <c r="W4" i="10"/>
  <c r="W12" i="4" s="1"/>
  <c r="P14" i="3"/>
  <c r="G4" i="10"/>
  <c r="G12" i="4" s="1"/>
  <c r="F4" i="10"/>
  <c r="F12" i="4" s="1"/>
  <c r="P25" i="3"/>
  <c r="P32" i="3"/>
  <c r="V4" i="10"/>
  <c r="V12" i="4" s="1"/>
  <c r="U4" i="10"/>
  <c r="U12" i="4" s="1"/>
  <c r="S4" i="10"/>
  <c r="S12" i="4" s="1"/>
  <c r="Y4" i="10"/>
  <c r="Y12" i="4" s="1"/>
  <c r="F14" i="2"/>
  <c r="F15" i="2" s="1"/>
  <c r="P24" i="3"/>
  <c r="P22" i="3"/>
  <c r="P18" i="3"/>
  <c r="AA4" i="10"/>
  <c r="AA12" i="4" s="1"/>
  <c r="T4" i="10"/>
  <c r="T12" i="4" s="1"/>
  <c r="N4" i="10"/>
  <c r="N12" i="4" s="1"/>
  <c r="P20" i="3"/>
  <c r="P34" i="3"/>
  <c r="R4" i="10"/>
  <c r="R12" i="4" s="1"/>
  <c r="P31" i="3"/>
  <c r="I4" i="10"/>
  <c r="I12" i="4" s="1"/>
  <c r="P26" i="3"/>
  <c r="L4" i="10"/>
  <c r="L12" i="4" s="1"/>
  <c r="P36" i="3"/>
  <c r="X4" i="10"/>
  <c r="X12" i="4" s="1"/>
  <c r="J4" i="10"/>
  <c r="J12" i="4" s="1"/>
  <c r="P15" i="3"/>
  <c r="P17" i="3"/>
  <c r="AF4" i="10"/>
  <c r="AF12" i="4" s="1"/>
  <c r="P23" i="3"/>
  <c r="AB4" i="10"/>
  <c r="AB12" i="4" s="1"/>
  <c r="AD4" i="10"/>
  <c r="AD12" i="4" s="1"/>
  <c r="K4" i="10"/>
  <c r="K12" i="4" s="1"/>
  <c r="H4" i="10"/>
  <c r="H12" i="4" s="1"/>
  <c r="Z4" i="10"/>
  <c r="Z12" i="4" s="1"/>
  <c r="P13" i="3"/>
  <c r="P19" i="3"/>
  <c r="P4" i="10"/>
  <c r="P12" i="4" s="1"/>
  <c r="P21" i="3"/>
  <c r="AC4" i="10"/>
  <c r="AC12" i="4" s="1"/>
  <c r="I14" i="2"/>
  <c r="I15" i="2" s="1"/>
  <c r="AG4" i="10"/>
  <c r="AG12" i="4" s="1"/>
  <c r="D14" i="2"/>
  <c r="D15" i="2" s="1"/>
  <c r="P16" i="3"/>
  <c r="E4" i="10"/>
  <c r="E12" i="4" s="1"/>
  <c r="L8" i="6"/>
  <c r="L9" i="6"/>
  <c r="L6" i="6"/>
  <c r="AS25" i="1"/>
  <c r="AR35" i="1"/>
  <c r="E15" i="6" l="1"/>
  <c r="F15" i="6" s="1"/>
  <c r="L15" i="13"/>
  <c r="X22" i="3"/>
  <c r="D5" i="72"/>
  <c r="Y23" i="4"/>
  <c r="AA7" i="4"/>
  <c r="AA9" i="4" s="1"/>
  <c r="W35" i="3"/>
  <c r="R35" i="3"/>
  <c r="Q35" i="3"/>
  <c r="Q25" i="4"/>
  <c r="Q19" i="4"/>
  <c r="W32" i="3"/>
  <c r="Q32" i="3"/>
  <c r="R32" i="3"/>
  <c r="AD7" i="4"/>
  <c r="AD9" i="4" s="1"/>
  <c r="AB23" i="4"/>
  <c r="R14" i="3"/>
  <c r="W14" i="3"/>
  <c r="Q14" i="3"/>
  <c r="AD19" i="4"/>
  <c r="AD25" i="4"/>
  <c r="M25" i="4"/>
  <c r="M19" i="4"/>
  <c r="Y17" i="4"/>
  <c r="Y24" i="4"/>
  <c r="Y20" i="4"/>
  <c r="W19" i="3"/>
  <c r="R19" i="3"/>
  <c r="Q19" i="3"/>
  <c r="W25" i="3"/>
  <c r="Q25" i="3"/>
  <c r="R25" i="3"/>
  <c r="W21" i="3"/>
  <c r="R21" i="3"/>
  <c r="Q21" i="3"/>
  <c r="E12" i="6"/>
  <c r="F12" i="6" s="1"/>
  <c r="X19" i="3"/>
  <c r="D5" i="71"/>
  <c r="L12" i="13"/>
  <c r="AD20" i="4"/>
  <c r="AD24" i="4"/>
  <c r="AD17" i="4"/>
  <c r="S20" i="4"/>
  <c r="S17" i="4"/>
  <c r="S8" i="4"/>
  <c r="S24" i="4"/>
  <c r="S30" i="4"/>
  <c r="W36" i="3"/>
  <c r="Q36" i="3"/>
  <c r="R36" i="3"/>
  <c r="G19" i="4"/>
  <c r="G25" i="4"/>
  <c r="X13" i="3"/>
  <c r="D5" i="14"/>
  <c r="E6" i="6"/>
  <c r="F6" i="6" s="1"/>
  <c r="P39" i="3"/>
  <c r="E26" i="6" s="1"/>
  <c r="F26" i="6" s="1"/>
  <c r="L6" i="13"/>
  <c r="U20" i="4"/>
  <c r="U8" i="4"/>
  <c r="U17" i="4"/>
  <c r="U30" i="4"/>
  <c r="U24" i="4"/>
  <c r="T19" i="4"/>
  <c r="T25" i="4"/>
  <c r="Z39" i="3"/>
  <c r="AE39" i="3" s="1"/>
  <c r="D5" i="75"/>
  <c r="E16" i="6"/>
  <c r="F16" i="6" s="1"/>
  <c r="X23" i="3"/>
  <c r="L16" i="13"/>
  <c r="V24" i="4"/>
  <c r="V30" i="4"/>
  <c r="V8" i="4"/>
  <c r="V17" i="4"/>
  <c r="V20" i="4"/>
  <c r="AD23" i="4"/>
  <c r="AF7" i="4"/>
  <c r="AF9" i="4" s="1"/>
  <c r="AB25" i="4"/>
  <c r="AB19" i="4"/>
  <c r="L21" i="13"/>
  <c r="D5" i="77"/>
  <c r="E21" i="6"/>
  <c r="F21" i="6" s="1"/>
  <c r="X32" i="3"/>
  <c r="Q7" i="6"/>
  <c r="AA7" i="6" s="1"/>
  <c r="V7" i="6"/>
  <c r="U25" i="4"/>
  <c r="U19" i="4"/>
  <c r="D5" i="78"/>
  <c r="E18" i="6"/>
  <c r="F18" i="6" s="1"/>
  <c r="X25" i="3"/>
  <c r="L18" i="13"/>
  <c r="V11" i="6"/>
  <c r="Q11" i="6"/>
  <c r="AA11" i="6" s="1"/>
  <c r="AC7" i="4"/>
  <c r="AC9" i="4" s="1"/>
  <c r="AA23" i="4"/>
  <c r="W20" i="3"/>
  <c r="Q20" i="3"/>
  <c r="R20" i="3"/>
  <c r="J19" i="4"/>
  <c r="J25" i="4"/>
  <c r="AA19" i="4"/>
  <c r="AA25" i="4"/>
  <c r="E8" i="6"/>
  <c r="F8" i="6" s="1"/>
  <c r="D5" i="67"/>
  <c r="X15" i="3"/>
  <c r="L8" i="13"/>
  <c r="F8" i="4"/>
  <c r="F30" i="4"/>
  <c r="F24" i="4"/>
  <c r="F17" i="4"/>
  <c r="F20" i="4"/>
  <c r="V22" i="6"/>
  <c r="Q22" i="6"/>
  <c r="AA22" i="6" s="1"/>
  <c r="AB7" i="4"/>
  <c r="AB9" i="4" s="1"/>
  <c r="Z23" i="4"/>
  <c r="W23" i="3"/>
  <c r="Q23" i="3"/>
  <c r="R23" i="3"/>
  <c r="Z25" i="4"/>
  <c r="Z19" i="4"/>
  <c r="K19" i="4"/>
  <c r="K25" i="4"/>
  <c r="V14" i="6"/>
  <c r="Q14" i="6"/>
  <c r="AA14" i="6" s="1"/>
  <c r="Z17" i="4"/>
  <c r="Z24" i="4"/>
  <c r="Z20" i="4"/>
  <c r="E10" i="6"/>
  <c r="F10" i="6" s="1"/>
  <c r="L10" i="13"/>
  <c r="D5" i="69"/>
  <c r="X17" i="3"/>
  <c r="J30" i="4"/>
  <c r="J8" i="4"/>
  <c r="J20" i="4"/>
  <c r="J17" i="4"/>
  <c r="J24" i="4"/>
  <c r="G30" i="4"/>
  <c r="G8" i="4"/>
  <c r="G17" i="4"/>
  <c r="G20" i="4"/>
  <c r="G24" i="4"/>
  <c r="V20" i="6"/>
  <c r="Q20" i="6"/>
  <c r="AA20" i="6" s="1"/>
  <c r="AC19" i="4"/>
  <c r="AC25" i="4"/>
  <c r="Q21" i="6"/>
  <c r="AA21" i="6" s="1"/>
  <c r="V21" i="6"/>
  <c r="AF24" i="4"/>
  <c r="AF17" i="4"/>
  <c r="AF20" i="4"/>
  <c r="X17" i="4"/>
  <c r="X20" i="4"/>
  <c r="X8" i="4"/>
  <c r="X30" i="4"/>
  <c r="X24" i="4"/>
  <c r="X14" i="3"/>
  <c r="D5" i="66"/>
  <c r="E7" i="6"/>
  <c r="F7" i="6" s="1"/>
  <c r="L7" i="13"/>
  <c r="V17" i="6"/>
  <c r="Q17" i="6"/>
  <c r="AA17" i="6" s="1"/>
  <c r="H19" i="4"/>
  <c r="H25" i="4"/>
  <c r="Q12" i="6"/>
  <c r="AA12" i="6" s="1"/>
  <c r="V12" i="6"/>
  <c r="H20" i="4"/>
  <c r="H30" i="4"/>
  <c r="H17" i="4"/>
  <c r="H8" i="4"/>
  <c r="H24" i="4"/>
  <c r="W20" i="4"/>
  <c r="W17" i="4"/>
  <c r="W30" i="4"/>
  <c r="W24" i="4"/>
  <c r="W8" i="4"/>
  <c r="Q24" i="6"/>
  <c r="AA24" i="6" s="1"/>
  <c r="V24" i="6"/>
  <c r="W26" i="3"/>
  <c r="R26" i="3"/>
  <c r="Q26" i="3"/>
  <c r="S19" i="4"/>
  <c r="S25" i="4"/>
  <c r="V13" i="6"/>
  <c r="Q13" i="6"/>
  <c r="AA13" i="6" s="1"/>
  <c r="W15" i="3"/>
  <c r="Q15" i="3"/>
  <c r="R15" i="3"/>
  <c r="L25" i="13"/>
  <c r="X36" i="3"/>
  <c r="D5" i="84"/>
  <c r="E25" i="6"/>
  <c r="F25" i="6" s="1"/>
  <c r="L17" i="4"/>
  <c r="L30" i="4"/>
  <c r="L20" i="4"/>
  <c r="L8" i="4"/>
  <c r="L24" i="4"/>
  <c r="AE37" i="3"/>
  <c r="AD37" i="3"/>
  <c r="W34" i="3"/>
  <c r="Q34" i="3"/>
  <c r="R34" i="3"/>
  <c r="W19" i="4"/>
  <c r="W25" i="4"/>
  <c r="Y39" i="3"/>
  <c r="V16" i="6"/>
  <c r="Q16" i="6"/>
  <c r="AA16" i="6" s="1"/>
  <c r="AB20" i="4"/>
  <c r="AB24" i="4"/>
  <c r="AB17" i="4"/>
  <c r="Q6" i="6"/>
  <c r="AA6" i="6" s="1"/>
  <c r="L26" i="6"/>
  <c r="V6" i="6"/>
  <c r="V9" i="6"/>
  <c r="Q9" i="6"/>
  <c r="AA9" i="6" s="1"/>
  <c r="V8" i="6"/>
  <c r="Q8" i="6"/>
  <c r="AA8" i="6" s="1"/>
  <c r="L19" i="13"/>
  <c r="X26" i="3"/>
  <c r="E19" i="6"/>
  <c r="F19" i="6" s="1"/>
  <c r="D5" i="79"/>
  <c r="D5" i="81"/>
  <c r="X33" i="3"/>
  <c r="E22" i="6"/>
  <c r="F22" i="6" s="1"/>
  <c r="L22" i="13"/>
  <c r="M18" i="4"/>
  <c r="W23" i="4"/>
  <c r="Y7" i="4"/>
  <c r="Y9" i="4" s="1"/>
  <c r="W18" i="3"/>
  <c r="R18" i="3"/>
  <c r="Q18" i="3"/>
  <c r="AF25" i="4"/>
  <c r="AF19" i="4"/>
  <c r="D5" i="76"/>
  <c r="E17" i="6"/>
  <c r="F17" i="6" s="1"/>
  <c r="L17" i="13"/>
  <c r="X24" i="3"/>
  <c r="Q31" i="3"/>
  <c r="W31" i="3"/>
  <c r="R31" i="3"/>
  <c r="X16" i="3"/>
  <c r="E9" i="6"/>
  <c r="F9" i="6" s="1"/>
  <c r="D5" i="68"/>
  <c r="L9" i="13"/>
  <c r="O8" i="4"/>
  <c r="O30" i="4"/>
  <c r="O17" i="4"/>
  <c r="O24" i="4"/>
  <c r="O20" i="4"/>
  <c r="J39" i="3"/>
  <c r="L18" i="3" s="1"/>
  <c r="N18" i="3" s="1"/>
  <c r="W13" i="3"/>
  <c r="R13" i="3"/>
  <c r="Q13" i="3"/>
  <c r="X25" i="4"/>
  <c r="X19" i="4"/>
  <c r="N19" i="4"/>
  <c r="N25" i="4"/>
  <c r="AE20" i="4"/>
  <c r="AE17" i="4"/>
  <c r="AE24" i="4"/>
  <c r="F19" i="4"/>
  <c r="F25" i="4"/>
  <c r="I19" i="4"/>
  <c r="I25" i="4"/>
  <c r="AG17" i="4"/>
  <c r="AG24" i="4"/>
  <c r="M17" i="4"/>
  <c r="M30" i="4"/>
  <c r="M8" i="4"/>
  <c r="M20" i="4"/>
  <c r="M24" i="4"/>
  <c r="R19" i="4"/>
  <c r="R25" i="4"/>
  <c r="V25" i="4"/>
  <c r="V19" i="4"/>
  <c r="E30" i="4"/>
  <c r="E8" i="4"/>
  <c r="E24" i="4"/>
  <c r="E17" i="4"/>
  <c r="E20" i="4"/>
  <c r="AC23" i="4"/>
  <c r="AE7" i="4"/>
  <c r="AE9" i="4" s="1"/>
  <c r="W24" i="3"/>
  <c r="Q24" i="3"/>
  <c r="R24" i="3"/>
  <c r="L19" i="4"/>
  <c r="L25" i="4"/>
  <c r="AE25" i="4"/>
  <c r="AE19" i="4"/>
  <c r="D5" i="70"/>
  <c r="E11" i="6"/>
  <c r="F11" i="6" s="1"/>
  <c r="X18" i="3"/>
  <c r="L11" i="13"/>
  <c r="K24" i="4"/>
  <c r="K8" i="4"/>
  <c r="K17" i="4"/>
  <c r="K20" i="4"/>
  <c r="K30" i="4"/>
  <c r="R30" i="4"/>
  <c r="R20" i="4"/>
  <c r="R17" i="4"/>
  <c r="R8" i="4"/>
  <c r="R24" i="4"/>
  <c r="AC20" i="4"/>
  <c r="AC17" i="4"/>
  <c r="AC24" i="4"/>
  <c r="N8" i="4"/>
  <c r="N30" i="4"/>
  <c r="N24" i="4"/>
  <c r="N20" i="4"/>
  <c r="N17" i="4"/>
  <c r="L24" i="13"/>
  <c r="E24" i="6"/>
  <c r="F24" i="6" s="1"/>
  <c r="D5" i="83"/>
  <c r="X35" i="3"/>
  <c r="Q23" i="6"/>
  <c r="AA23" i="6" s="1"/>
  <c r="V23" i="6"/>
  <c r="W22" i="3"/>
  <c r="Q22" i="3"/>
  <c r="R22" i="3"/>
  <c r="L22" i="3"/>
  <c r="N22" i="3" s="1"/>
  <c r="Q33" i="3"/>
  <c r="W33" i="3"/>
  <c r="R33" i="3"/>
  <c r="P19" i="4"/>
  <c r="P25" i="4"/>
  <c r="C30" i="4"/>
  <c r="C20" i="4"/>
  <c r="C17" i="4"/>
  <c r="D26" i="85" s="1"/>
  <c r="I8" i="4"/>
  <c r="I24" i="4"/>
  <c r="I17" i="4"/>
  <c r="I30" i="4"/>
  <c r="I20" i="4"/>
  <c r="E23" i="6"/>
  <c r="F23" i="6" s="1"/>
  <c r="X34" i="3"/>
  <c r="D5" i="82"/>
  <c r="L23" i="13"/>
  <c r="D5" i="74"/>
  <c r="E14" i="6"/>
  <c r="F14" i="6" s="1"/>
  <c r="X21" i="3"/>
  <c r="L14" i="13"/>
  <c r="Q24" i="4"/>
  <c r="Q30" i="4"/>
  <c r="Q8" i="4"/>
  <c r="Q17" i="4"/>
  <c r="Q20" i="4"/>
  <c r="Q10" i="6"/>
  <c r="AA10" i="6" s="1"/>
  <c r="V10" i="6"/>
  <c r="Y25" i="4"/>
  <c r="Y19" i="4"/>
  <c r="E25" i="4"/>
  <c r="E19" i="4"/>
  <c r="X23" i="4"/>
  <c r="Z7" i="4"/>
  <c r="Z9" i="4" s="1"/>
  <c r="E20" i="6"/>
  <c r="F20" i="6" s="1"/>
  <c r="X31" i="3"/>
  <c r="D5" i="80"/>
  <c r="L20" i="13"/>
  <c r="E13" i="6"/>
  <c r="F13" i="6" s="1"/>
  <c r="X20" i="3"/>
  <c r="D5" i="73"/>
  <c r="L13" i="13"/>
  <c r="T30" i="4"/>
  <c r="T17" i="4"/>
  <c r="T8" i="4"/>
  <c r="T24" i="4"/>
  <c r="T20" i="4"/>
  <c r="P8" i="4"/>
  <c r="P17" i="4"/>
  <c r="P24" i="4"/>
  <c r="P30" i="4"/>
  <c r="P20" i="4"/>
  <c r="AA24" i="4"/>
  <c r="AA20" i="4"/>
  <c r="AA17" i="4"/>
  <c r="V15" i="6"/>
  <c r="Q15" i="6"/>
  <c r="AA15" i="6" s="1"/>
  <c r="R16" i="3"/>
  <c r="Q16" i="3"/>
  <c r="W16" i="3"/>
  <c r="W17" i="3"/>
  <c r="R17" i="3"/>
  <c r="Q17" i="3"/>
  <c r="O25" i="4"/>
  <c r="O19" i="4"/>
  <c r="AT25" i="1"/>
  <c r="AS35" i="1"/>
  <c r="W39" i="3" l="1"/>
  <c r="AC39" i="3"/>
  <c r="L33" i="3"/>
  <c r="N33" i="3" s="1"/>
  <c r="R39" i="3"/>
  <c r="Q39" i="3"/>
  <c r="E5" i="78"/>
  <c r="F5" i="78"/>
  <c r="L14" i="3"/>
  <c r="N14" i="3" s="1"/>
  <c r="L26" i="3"/>
  <c r="N26" i="3" s="1"/>
  <c r="F5" i="66"/>
  <c r="E5" i="66"/>
  <c r="L34" i="3"/>
  <c r="N34" i="3" s="1"/>
  <c r="AE14" i="3"/>
  <c r="AB14" i="3"/>
  <c r="AC14" i="3"/>
  <c r="AD14" i="3"/>
  <c r="E5" i="71"/>
  <c r="F5" i="71"/>
  <c r="AB21" i="3"/>
  <c r="AD21" i="3"/>
  <c r="AE21" i="3"/>
  <c r="AC21" i="3"/>
  <c r="AE17" i="3"/>
  <c r="AD17" i="3"/>
  <c r="AB17" i="3"/>
  <c r="AC17" i="3"/>
  <c r="AC19" i="3"/>
  <c r="AE19" i="3"/>
  <c r="AB19" i="3"/>
  <c r="AD19" i="3"/>
  <c r="AB18" i="3"/>
  <c r="AE18" i="3"/>
  <c r="AD18" i="3"/>
  <c r="AC18" i="3"/>
  <c r="F5" i="69"/>
  <c r="E5" i="69"/>
  <c r="AD35" i="3"/>
  <c r="AE35" i="3"/>
  <c r="AC35" i="3"/>
  <c r="AB35" i="3"/>
  <c r="M31" i="4"/>
  <c r="AE33" i="3"/>
  <c r="AC33" i="3"/>
  <c r="AB33" i="3"/>
  <c r="AD33" i="3"/>
  <c r="AE32" i="3"/>
  <c r="AB32" i="3"/>
  <c r="AD32" i="3"/>
  <c r="AC32" i="3"/>
  <c r="L21" i="3"/>
  <c r="N21" i="3" s="1"/>
  <c r="E5" i="74"/>
  <c r="F5" i="74"/>
  <c r="L17" i="3"/>
  <c r="N17" i="3" s="1"/>
  <c r="F5" i="73"/>
  <c r="E5" i="73"/>
  <c r="E5" i="83"/>
  <c r="F5" i="83"/>
  <c r="E5" i="70"/>
  <c r="F5" i="70"/>
  <c r="F5" i="81"/>
  <c r="E5" i="81"/>
  <c r="AD15" i="3"/>
  <c r="AE15" i="3"/>
  <c r="AB15" i="3"/>
  <c r="AC15" i="3"/>
  <c r="L32" i="3"/>
  <c r="N32" i="3" s="1"/>
  <c r="T31" i="4"/>
  <c r="AD20" i="3"/>
  <c r="AE20" i="3"/>
  <c r="AC20" i="3"/>
  <c r="AB20" i="3"/>
  <c r="E5" i="82"/>
  <c r="F5" i="82"/>
  <c r="F5" i="68"/>
  <c r="E5" i="68"/>
  <c r="F5" i="79"/>
  <c r="E5" i="79"/>
  <c r="F5" i="67"/>
  <c r="E5" i="67"/>
  <c r="F5" i="77"/>
  <c r="E5" i="77"/>
  <c r="AD34" i="3"/>
  <c r="AE34" i="3"/>
  <c r="AC34" i="3"/>
  <c r="AB34" i="3"/>
  <c r="AD16" i="3"/>
  <c r="AC16" i="3"/>
  <c r="AE16" i="3"/>
  <c r="AB16" i="3"/>
  <c r="AB26" i="3"/>
  <c r="AE26" i="3"/>
  <c r="AC26" i="3"/>
  <c r="AD26" i="3"/>
  <c r="F5" i="14"/>
  <c r="E5" i="14"/>
  <c r="L25" i="3"/>
  <c r="N25" i="3" s="1"/>
  <c r="F5" i="80"/>
  <c r="E5" i="80"/>
  <c r="L31" i="3"/>
  <c r="N31" i="3" s="1"/>
  <c r="AD13" i="3"/>
  <c r="AE13" i="3"/>
  <c r="AC13" i="3"/>
  <c r="AB13" i="3"/>
  <c r="X39" i="3"/>
  <c r="L24" i="3"/>
  <c r="N24" i="3" s="1"/>
  <c r="L35" i="3"/>
  <c r="N35" i="3" s="1"/>
  <c r="L20" i="3"/>
  <c r="N20" i="3" s="1"/>
  <c r="L36" i="3"/>
  <c r="N36" i="3" s="1"/>
  <c r="L19" i="3"/>
  <c r="N19" i="3" s="1"/>
  <c r="AD25" i="3"/>
  <c r="AB25" i="3"/>
  <c r="AE25" i="3"/>
  <c r="AC25" i="3"/>
  <c r="AD24" i="3"/>
  <c r="AB24" i="3"/>
  <c r="AC24" i="3"/>
  <c r="AE24" i="3"/>
  <c r="E5" i="84"/>
  <c r="F5" i="84"/>
  <c r="AD36" i="3"/>
  <c r="AC36" i="3"/>
  <c r="AE36" i="3"/>
  <c r="AB36" i="3"/>
  <c r="V26" i="6"/>
  <c r="Q26" i="6"/>
  <c r="AA26" i="6" s="1"/>
  <c r="L23" i="3"/>
  <c r="N23" i="3" s="1"/>
  <c r="L16" i="3"/>
  <c r="N16" i="3" s="1"/>
  <c r="N37" i="4"/>
  <c r="J28" i="4"/>
  <c r="F31" i="4" s="1"/>
  <c r="D23" i="85"/>
  <c r="F5" i="76"/>
  <c r="E5" i="76"/>
  <c r="L15" i="3"/>
  <c r="N15" i="3" s="1"/>
  <c r="F5" i="72"/>
  <c r="E5" i="72"/>
  <c r="AC23" i="3"/>
  <c r="AD23" i="3"/>
  <c r="AB23" i="3"/>
  <c r="AE23" i="3"/>
  <c r="AD22" i="3"/>
  <c r="AC22" i="3"/>
  <c r="AB22" i="3"/>
  <c r="AE22" i="3"/>
  <c r="AD31" i="3"/>
  <c r="AE31" i="3"/>
  <c r="AB31" i="3"/>
  <c r="AC31" i="3"/>
  <c r="L13" i="3"/>
  <c r="F5" i="75"/>
  <c r="E5" i="75"/>
  <c r="AU25" i="1"/>
  <c r="AT35" i="1"/>
  <c r="F8" i="74" l="1"/>
  <c r="F9" i="74" s="1"/>
  <c r="J14" i="13"/>
  <c r="E8" i="74"/>
  <c r="E9" i="74" s="1"/>
  <c r="I14" i="13"/>
  <c r="G14" i="13"/>
  <c r="C8" i="74"/>
  <c r="C9" i="74" s="1"/>
  <c r="G22" i="13"/>
  <c r="C8" i="81"/>
  <c r="C9" i="81" s="1"/>
  <c r="I18" i="13"/>
  <c r="E8" i="78"/>
  <c r="E9" i="78" s="1"/>
  <c r="F8" i="67"/>
  <c r="F9" i="67" s="1"/>
  <c r="J8" i="13"/>
  <c r="H24" i="13"/>
  <c r="D8" i="83"/>
  <c r="D9" i="83" s="1"/>
  <c r="I8" i="13"/>
  <c r="E8" i="67"/>
  <c r="E9" i="67" s="1"/>
  <c r="F8" i="83"/>
  <c r="F9" i="83" s="1"/>
  <c r="J24" i="13"/>
  <c r="U31" i="4"/>
  <c r="G19" i="13"/>
  <c r="C8" i="79"/>
  <c r="C9" i="79" s="1"/>
  <c r="I24" i="13"/>
  <c r="E8" i="83"/>
  <c r="E9" i="83" s="1"/>
  <c r="J31" i="4"/>
  <c r="E31" i="4"/>
  <c r="D8" i="82"/>
  <c r="D9" i="82" s="1"/>
  <c r="H23" i="13"/>
  <c r="I7" i="13"/>
  <c r="E8" i="66"/>
  <c r="E9" i="66" s="1"/>
  <c r="F8" i="78"/>
  <c r="F9" i="78" s="1"/>
  <c r="J18" i="13"/>
  <c r="G8" i="13"/>
  <c r="C8" i="67"/>
  <c r="C9" i="67" s="1"/>
  <c r="J23" i="13"/>
  <c r="F8" i="82"/>
  <c r="F9" i="82" s="1"/>
  <c r="D8" i="66"/>
  <c r="D9" i="66" s="1"/>
  <c r="H7" i="13"/>
  <c r="D8" i="74"/>
  <c r="D9" i="74" s="1"/>
  <c r="H14" i="13"/>
  <c r="I23" i="13"/>
  <c r="E8" i="82"/>
  <c r="E9" i="82" s="1"/>
  <c r="X31" i="4"/>
  <c r="C8" i="66"/>
  <c r="C9" i="66" s="1"/>
  <c r="G7" i="13"/>
  <c r="AB39" i="3"/>
  <c r="AD39" i="3"/>
  <c r="O31" i="4"/>
  <c r="J7" i="13"/>
  <c r="F8" i="66"/>
  <c r="F9" i="66" s="1"/>
  <c r="E8" i="73"/>
  <c r="E9" i="73" s="1"/>
  <c r="I13" i="13"/>
  <c r="F8" i="68"/>
  <c r="F9" i="68" s="1"/>
  <c r="J9" i="13"/>
  <c r="N31" i="4"/>
  <c r="C8" i="14"/>
  <c r="C9" i="14" s="1"/>
  <c r="G6" i="13"/>
  <c r="H11" i="13"/>
  <c r="D8" i="70"/>
  <c r="D9" i="70" s="1"/>
  <c r="G24" i="13"/>
  <c r="C8" i="83"/>
  <c r="C9" i="83" s="1"/>
  <c r="P31" i="4"/>
  <c r="C8" i="84"/>
  <c r="C9" i="84" s="1"/>
  <c r="G25" i="13"/>
  <c r="E8" i="70"/>
  <c r="E9" i="70" s="1"/>
  <c r="I11" i="13"/>
  <c r="D8" i="81"/>
  <c r="D9" i="81" s="1"/>
  <c r="H22" i="13"/>
  <c r="I9" i="13"/>
  <c r="E8" i="68"/>
  <c r="E9" i="68" s="1"/>
  <c r="I31" i="4"/>
  <c r="J6" i="13"/>
  <c r="F8" i="14"/>
  <c r="F9" i="14" s="1"/>
  <c r="F8" i="70"/>
  <c r="F9" i="70" s="1"/>
  <c r="J11" i="13"/>
  <c r="D8" i="67"/>
  <c r="D9" i="67" s="1"/>
  <c r="H8" i="13"/>
  <c r="V31" i="4"/>
  <c r="F8" i="80"/>
  <c r="F9" i="80" s="1"/>
  <c r="J20" i="13"/>
  <c r="E8" i="72"/>
  <c r="E9" i="72" s="1"/>
  <c r="I15" i="13"/>
  <c r="C8" i="70"/>
  <c r="C9" i="70" s="1"/>
  <c r="G11" i="13"/>
  <c r="C8" i="68"/>
  <c r="C9" i="68" s="1"/>
  <c r="G9" i="13"/>
  <c r="R31" i="4"/>
  <c r="H20" i="13"/>
  <c r="D8" i="80"/>
  <c r="D9" i="80" s="1"/>
  <c r="E8" i="71"/>
  <c r="E9" i="71" s="1"/>
  <c r="I12" i="13"/>
  <c r="H9" i="13"/>
  <c r="D8" i="68"/>
  <c r="D9" i="68" s="1"/>
  <c r="E8" i="14"/>
  <c r="E9" i="14" s="1"/>
  <c r="I6" i="13"/>
  <c r="G16" i="13"/>
  <c r="C8" i="75"/>
  <c r="C9" i="75" s="1"/>
  <c r="G12" i="13"/>
  <c r="C8" i="71"/>
  <c r="C9" i="71" s="1"/>
  <c r="F8" i="81"/>
  <c r="F9" i="81" s="1"/>
  <c r="J22" i="13"/>
  <c r="E8" i="80"/>
  <c r="E9" i="80" s="1"/>
  <c r="I20" i="13"/>
  <c r="H25" i="13"/>
  <c r="D8" i="84"/>
  <c r="D9" i="84" s="1"/>
  <c r="F8" i="71"/>
  <c r="F9" i="71" s="1"/>
  <c r="J12" i="13"/>
  <c r="J19" i="13"/>
  <c r="F8" i="79"/>
  <c r="F9" i="79" s="1"/>
  <c r="J15" i="13"/>
  <c r="F8" i="72"/>
  <c r="F9" i="72" s="1"/>
  <c r="J17" i="13"/>
  <c r="F8" i="76"/>
  <c r="F9" i="76" s="1"/>
  <c r="D8" i="77"/>
  <c r="D9" i="77" s="1"/>
  <c r="H21" i="13"/>
  <c r="H12" i="13"/>
  <c r="D8" i="71"/>
  <c r="D9" i="71" s="1"/>
  <c r="D8" i="79"/>
  <c r="D9" i="79" s="1"/>
  <c r="H19" i="13"/>
  <c r="G31" i="4"/>
  <c r="L39" i="3"/>
  <c r="N13" i="3"/>
  <c r="N39" i="3" s="1"/>
  <c r="C8" i="80"/>
  <c r="C9" i="80" s="1"/>
  <c r="G20" i="13"/>
  <c r="Q31" i="4"/>
  <c r="C8" i="72"/>
  <c r="C9" i="72" s="1"/>
  <c r="G15" i="13"/>
  <c r="D8" i="72"/>
  <c r="D9" i="72" s="1"/>
  <c r="H15" i="13"/>
  <c r="H16" i="13"/>
  <c r="D8" i="75"/>
  <c r="D9" i="75" s="1"/>
  <c r="D8" i="76"/>
  <c r="D9" i="76" s="1"/>
  <c r="H17" i="13"/>
  <c r="E8" i="77"/>
  <c r="E9" i="77" s="1"/>
  <c r="I21" i="13"/>
  <c r="H10" i="13"/>
  <c r="D8" i="69"/>
  <c r="D9" i="69" s="1"/>
  <c r="G23" i="13"/>
  <c r="C8" i="82"/>
  <c r="C9" i="82" s="1"/>
  <c r="E8" i="84"/>
  <c r="E9" i="84" s="1"/>
  <c r="I25" i="13"/>
  <c r="C8" i="76"/>
  <c r="C9" i="76" s="1"/>
  <c r="G17" i="13"/>
  <c r="G13" i="13"/>
  <c r="C8" i="73"/>
  <c r="C9" i="73" s="1"/>
  <c r="G21" i="13"/>
  <c r="C8" i="77"/>
  <c r="C9" i="77" s="1"/>
  <c r="G10" i="13"/>
  <c r="C8" i="69"/>
  <c r="C9" i="69" s="1"/>
  <c r="G18" i="13"/>
  <c r="C8" i="78"/>
  <c r="C9" i="78" s="1"/>
  <c r="H6" i="13"/>
  <c r="D8" i="14"/>
  <c r="D9" i="14" s="1"/>
  <c r="F8" i="75"/>
  <c r="F9" i="75" s="1"/>
  <c r="J16" i="13"/>
  <c r="I16" i="13"/>
  <c r="E8" i="75"/>
  <c r="E9" i="75" s="1"/>
  <c r="S31" i="4"/>
  <c r="E8" i="76"/>
  <c r="E9" i="76" s="1"/>
  <c r="I17" i="13"/>
  <c r="W31" i="4"/>
  <c r="D8" i="73"/>
  <c r="D9" i="73" s="1"/>
  <c r="H13" i="13"/>
  <c r="J21" i="13"/>
  <c r="F8" i="77"/>
  <c r="F9" i="77" s="1"/>
  <c r="I10" i="13"/>
  <c r="E8" i="69"/>
  <c r="E9" i="69" s="1"/>
  <c r="K31" i="4"/>
  <c r="L31" i="4"/>
  <c r="H31" i="4"/>
  <c r="F8" i="84"/>
  <c r="F9" i="84" s="1"/>
  <c r="J25" i="13"/>
  <c r="D8" i="78"/>
  <c r="D9" i="78" s="1"/>
  <c r="H18" i="13"/>
  <c r="E8" i="79"/>
  <c r="E9" i="79" s="1"/>
  <c r="I19" i="13"/>
  <c r="J13" i="13"/>
  <c r="F8" i="73"/>
  <c r="F9" i="73" s="1"/>
  <c r="E8" i="81"/>
  <c r="E9" i="81" s="1"/>
  <c r="I22" i="13"/>
  <c r="F8" i="69"/>
  <c r="F9" i="69" s="1"/>
  <c r="J10" i="13"/>
  <c r="P20" i="1"/>
  <c r="H20" i="1" s="1"/>
  <c r="AU35" i="1"/>
  <c r="D5" i="85"/>
  <c r="D8" i="85" l="1"/>
  <c r="D7" i="85"/>
  <c r="H4" i="1"/>
  <c r="C29" i="4" s="1"/>
  <c r="D14" i="85"/>
  <c r="D22" i="85"/>
  <c r="N36" i="4"/>
  <c r="E37" i="4" l="1"/>
  <c r="G37" i="4" s="1"/>
  <c r="N40" i="4"/>
  <c r="N41" i="4" s="1"/>
  <c r="E38" i="4"/>
  <c r="G38" i="4" s="1"/>
  <c r="C28" i="4"/>
  <c r="C31" i="4" s="1"/>
  <c r="E36" i="4"/>
  <c r="G36" i="4" s="1"/>
  <c r="C32" i="4"/>
  <c r="N39" i="4"/>
  <c r="N38" i="4"/>
  <c r="D16" i="85"/>
  <c r="D17" i="85"/>
  <c r="D25" i="85"/>
  <c r="D24" i="8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Peter Lacovich</author>
  </authors>
  <commentList>
    <comment ref="D2" authorId="0" shapeId="0" xr:uid="{00000000-0006-0000-0000-000001000000}">
      <text>
        <r>
          <rPr>
            <sz val="8"/>
            <color indexed="8"/>
            <rFont val="Tahoma"/>
            <family val="2"/>
          </rPr>
          <t>Enter the of your Store. Doesn’t seem hard but plenty of Stores forget every Month!</t>
        </r>
      </text>
    </comment>
    <comment ref="H2" authorId="1" shapeId="0" xr:uid="{00000000-0006-0000-0000-000002000000}">
      <text>
        <r>
          <rPr>
            <sz val="9"/>
            <color indexed="81"/>
            <rFont val="Tahoma"/>
            <family val="2"/>
          </rPr>
          <t xml:space="preserve">This date is always a Monday!
</t>
        </r>
      </text>
    </comment>
    <comment ref="H3" authorId="1" shapeId="0" xr:uid="{00000000-0006-0000-0000-000003000000}">
      <text>
        <r>
          <rPr>
            <sz val="9"/>
            <color indexed="81"/>
            <rFont val="Tahoma"/>
            <family val="2"/>
          </rPr>
          <t>This is the budget provided by your Area Manager. This will be used to provide sales goals for your store and your team.</t>
        </r>
      </text>
    </comment>
    <comment ref="H4" authorId="1" shapeId="0" xr:uid="{00000000-0006-0000-0000-000004000000}">
      <text>
        <r>
          <rPr>
            <b/>
            <sz val="9"/>
            <color indexed="81"/>
            <rFont val="Tahoma"/>
            <family val="2"/>
          </rPr>
          <t xml:space="preserve">Note: </t>
        </r>
        <r>
          <rPr>
            <sz val="9"/>
            <color indexed="81"/>
            <rFont val="Tahoma"/>
            <family val="2"/>
          </rPr>
          <t>This figure is GST exclusive!</t>
        </r>
      </text>
    </comment>
    <comment ref="C14" authorId="0" shapeId="0" xr:uid="{00000000-0006-0000-0000-000005000000}">
      <text>
        <r>
          <rPr>
            <sz val="8"/>
            <color indexed="8"/>
            <rFont val="Tahoma"/>
            <family val="2"/>
          </rPr>
          <t>Remember to Identify the Duty Manager with [DM] directly after their name.</t>
        </r>
      </text>
    </comment>
    <comment ref="D14" authorId="0" shapeId="0" xr:uid="{00000000-0006-0000-0000-000006000000}">
      <text>
        <r>
          <rPr>
            <sz val="8"/>
            <color indexed="8"/>
            <rFont val="Tahoma"/>
            <family val="2"/>
          </rPr>
          <t>Only MAN, ASM, FT, PT &amp; CAS will work do not use anything else in this column. i.e. MGR or DM</t>
        </r>
      </text>
    </comment>
    <comment ref="K15" authorId="1" shapeId="0" xr:uid="{00000000-0006-0000-0000-000007000000}">
      <text>
        <r>
          <rPr>
            <sz val="9"/>
            <color indexed="81"/>
            <rFont val="Tahoma"/>
            <family val="2"/>
          </rPr>
          <t>Make sure these are exclusive of GST!</t>
        </r>
      </text>
    </comment>
    <comment ref="Q15" authorId="1" shapeId="0" xr:uid="{00000000-0006-0000-0000-000008000000}">
      <text>
        <r>
          <rPr>
            <sz val="9"/>
            <color indexed="81"/>
            <rFont val="Tahoma"/>
            <family val="2"/>
          </rPr>
          <t>These figures are automatically calculated!</t>
        </r>
      </text>
    </comment>
  </commentList>
</comments>
</file>

<file path=xl/sharedStrings.xml><?xml version="1.0" encoding="utf-8"?>
<sst xmlns="http://schemas.openxmlformats.org/spreadsheetml/2006/main" count="1618" uniqueCount="387">
  <si>
    <t>Store Location</t>
  </si>
  <si>
    <t>Start Date for Current Week</t>
  </si>
  <si>
    <t>Current Month</t>
  </si>
  <si>
    <t>Current Monthly Budget %</t>
  </si>
  <si>
    <t>Current Year</t>
  </si>
  <si>
    <t>Monthly Sales Budget</t>
  </si>
  <si>
    <t>Start Date</t>
  </si>
  <si>
    <t>End Date</t>
  </si>
  <si>
    <t>Version:</t>
  </si>
  <si>
    <t>Area Manager</t>
  </si>
  <si>
    <t>Staff Roster</t>
  </si>
  <si>
    <t>Name</t>
  </si>
  <si>
    <t>Position</t>
  </si>
  <si>
    <t>Week Number</t>
  </si>
  <si>
    <t>From</t>
  </si>
  <si>
    <t>To</t>
  </si>
  <si>
    <t>Transactions</t>
  </si>
  <si>
    <t>Lines</t>
  </si>
  <si>
    <t>Sales</t>
  </si>
  <si>
    <t>Budget</t>
  </si>
  <si>
    <t>MAN</t>
  </si>
  <si>
    <t>ASM</t>
  </si>
  <si>
    <t>FT</t>
  </si>
  <si>
    <t>PT</t>
  </si>
  <si>
    <t>CAS</t>
  </si>
  <si>
    <t>DAILY BUDGET NUMBERS</t>
  </si>
  <si>
    <t>Monday</t>
  </si>
  <si>
    <t>Tuesday</t>
  </si>
  <si>
    <t>Wednesday</t>
  </si>
  <si>
    <t>Thursday</t>
  </si>
  <si>
    <t>Friday</t>
  </si>
  <si>
    <t>Saturday</t>
  </si>
  <si>
    <t>Sunday</t>
  </si>
  <si>
    <t>WEEKLY STATISTICS REPORT</t>
  </si>
  <si>
    <t>Store Figure</t>
  </si>
  <si>
    <t>KPI Targets</t>
  </si>
  <si>
    <t>Deviation</t>
  </si>
  <si>
    <t>Total Dollars</t>
  </si>
  <si>
    <t>Dollars per Transaction</t>
  </si>
  <si>
    <t>Total Transactions</t>
  </si>
  <si>
    <t>Transactions Per Hour</t>
  </si>
  <si>
    <t>Total Lines</t>
  </si>
  <si>
    <t>Lines Per Transaction</t>
  </si>
  <si>
    <t>Total Hours</t>
  </si>
  <si>
    <t>Dollars per Hour</t>
  </si>
  <si>
    <t>Door Counter</t>
  </si>
  <si>
    <t>Conversion Rate</t>
  </si>
  <si>
    <t>Rewards Card Signups</t>
  </si>
  <si>
    <t>Staff Type</t>
  </si>
  <si>
    <t>Manager</t>
  </si>
  <si>
    <t>Assistant Manager</t>
  </si>
  <si>
    <t>Full Time Staff</t>
  </si>
  <si>
    <t>Part Time Staff</t>
  </si>
  <si>
    <t>Casual</t>
  </si>
  <si>
    <t>Sales Breakdown</t>
  </si>
  <si>
    <t>Percentage of Total</t>
  </si>
  <si>
    <t>Hour Breakdown</t>
  </si>
  <si>
    <t>Date</t>
  </si>
  <si>
    <t>Value of Sales</t>
  </si>
  <si>
    <t>Number of Sales</t>
  </si>
  <si>
    <t>Number of Lines</t>
  </si>
  <si>
    <t>Staff Hours</t>
  </si>
  <si>
    <t>Door Count</t>
  </si>
  <si>
    <t>Weekly Total</t>
  </si>
  <si>
    <t>Weekly Minimums Planner</t>
  </si>
  <si>
    <t>Weekly Minimums Planner – Individual Staff Performance</t>
  </si>
  <si>
    <t>SALES BUDGETS FOR THIS WEEK</t>
  </si>
  <si>
    <t>SALES RESULTS FOR LAST WEEK</t>
  </si>
  <si>
    <t>PERFORMANCE RATING</t>
  </si>
  <si>
    <t>&lt; Last Year</t>
  </si>
  <si>
    <t>◗</t>
  </si>
  <si>
    <t>Last Year</t>
  </si>
  <si>
    <t>&lt; Budget</t>
  </si>
  <si>
    <t>●</t>
  </si>
  <si>
    <t>l/y</t>
  </si>
  <si>
    <t>Budget Goal</t>
  </si>
  <si>
    <t>&gt; Budget</t>
  </si>
  <si>
    <t>✪</t>
  </si>
  <si>
    <t>Week in Month</t>
  </si>
  <si>
    <t>Silver Sales Goal</t>
  </si>
  <si>
    <t>&gt; Silver Goal</t>
  </si>
  <si>
    <t>✰</t>
  </si>
  <si>
    <t>silver</t>
  </si>
  <si>
    <t>Gold Sales Goal</t>
  </si>
  <si>
    <t>&gt; Gold Goal</t>
  </si>
  <si>
    <t>✭</t>
  </si>
  <si>
    <t>gold</t>
  </si>
  <si>
    <t>Employee</t>
  </si>
  <si>
    <t>Rostered Hours</t>
  </si>
  <si>
    <t>% Hours</t>
  </si>
  <si>
    <t>$ Budget</t>
  </si>
  <si>
    <t>$ Goal</t>
  </si>
  <si>
    <t>Actual Hours</t>
  </si>
  <si>
    <t>Growth%</t>
  </si>
  <si>
    <t>RATING</t>
  </si>
  <si>
    <t>Hours</t>
  </si>
  <si>
    <t>$ Per Hour</t>
  </si>
  <si>
    <t>Trans Per Hour</t>
  </si>
  <si>
    <t>Average Sale</t>
  </si>
  <si>
    <t>Lines Per Sale</t>
  </si>
  <si>
    <t>% Total Hours</t>
  </si>
  <si>
    <t>$ goal</t>
  </si>
  <si>
    <t>Weekly Sales</t>
  </si>
  <si>
    <t>Refunds From Other Stores</t>
  </si>
  <si>
    <t>PREDICTED TOTALS</t>
  </si>
  <si>
    <t>ACTUAL TOTALS</t>
  </si>
  <si>
    <t>Store Totals</t>
  </si>
  <si>
    <t>Month</t>
  </si>
  <si>
    <t>Monthly Individual Sales Results</t>
  </si>
  <si>
    <t>Key</t>
  </si>
  <si>
    <t>Staff Name</t>
  </si>
  <si>
    <t>Refunds From</t>
  </si>
  <si>
    <t>Gold Target</t>
  </si>
  <si>
    <t>Other Stores</t>
  </si>
  <si>
    <t>Silver Target</t>
  </si>
  <si>
    <t>Over Budget</t>
  </si>
  <si>
    <t xml:space="preserve"> + / - </t>
  </si>
  <si>
    <t>Below Budget</t>
  </si>
  <si>
    <t>Achievement</t>
  </si>
  <si>
    <t>Lines per Sale</t>
  </si>
  <si>
    <t>Sales per Hour</t>
  </si>
  <si>
    <t>Dollars Per Hour</t>
  </si>
  <si>
    <t>Conversion</t>
  </si>
  <si>
    <t>Percentage of Hours</t>
  </si>
  <si>
    <t>Percentage of Dollars</t>
  </si>
  <si>
    <t>Percentage of Transactions</t>
  </si>
  <si>
    <t>Store Results</t>
  </si>
  <si>
    <t>Ex GST</t>
  </si>
  <si>
    <t>Personal Bonuses</t>
  </si>
  <si>
    <t>Bonus Percentage</t>
  </si>
  <si>
    <t>Budget This Year</t>
  </si>
  <si>
    <t>Sales This Year</t>
  </si>
  <si>
    <t>Growth on Last Year</t>
  </si>
  <si>
    <t>Sales Growth</t>
  </si>
  <si>
    <t>Bonus</t>
  </si>
  <si>
    <t>Sales Req'd</t>
  </si>
  <si>
    <t>PROJECTED MONTHLY SALES</t>
  </si>
  <si>
    <t>Other Store Refunds</t>
  </si>
  <si>
    <t>Weekly Totals</t>
  </si>
  <si>
    <t>Friedman Calculator</t>
  </si>
  <si>
    <t>Orders</t>
  </si>
  <si>
    <t>Value</t>
  </si>
  <si>
    <t>Count</t>
  </si>
  <si>
    <t>Daily Team Sales Budget Sheet</t>
  </si>
  <si>
    <t>$ Budget Goal</t>
  </si>
  <si>
    <t>Sales WTD</t>
  </si>
  <si>
    <t>Difference to Budget</t>
  </si>
  <si>
    <t># of Days</t>
  </si>
  <si>
    <t>$ Per Day</t>
  </si>
  <si>
    <t>Store</t>
  </si>
  <si>
    <t>Day</t>
  </si>
  <si>
    <t>Progressive Total</t>
  </si>
  <si>
    <t>Sales Per Hour</t>
  </si>
  <si>
    <t>Sales Result</t>
  </si>
  <si>
    <t>Week 1</t>
  </si>
  <si>
    <t>Week 2</t>
  </si>
  <si>
    <t>Week 3</t>
  </si>
  <si>
    <t>Week 4</t>
  </si>
  <si>
    <t>Week 5</t>
  </si>
  <si>
    <t>Week 6</t>
  </si>
  <si>
    <t xml:space="preserve"> </t>
  </si>
  <si>
    <t>% on L/Y:</t>
  </si>
  <si>
    <t>% on Budget:</t>
  </si>
  <si>
    <t/>
  </si>
  <si>
    <t>Week Ending</t>
  </si>
  <si>
    <t>Week</t>
  </si>
  <si>
    <t>Total</t>
  </si>
  <si>
    <t>Weekly Trading Report</t>
  </si>
  <si>
    <t>Store Manager</t>
  </si>
  <si>
    <t>Avg Sale</t>
  </si>
  <si>
    <t>Lines / Trans</t>
  </si>
  <si>
    <t>Last Year / Budget</t>
  </si>
  <si>
    <t>Actual</t>
  </si>
  <si>
    <t>Variance</t>
  </si>
  <si>
    <t>%</t>
  </si>
  <si>
    <t>Major Sales THIS YEAR over $1000</t>
  </si>
  <si>
    <t>Total Major Sales This Year:</t>
  </si>
  <si>
    <t>DATE</t>
  </si>
  <si>
    <t>INV</t>
  </si>
  <si>
    <t>TOTAL</t>
  </si>
  <si>
    <t>DESCRIPTION</t>
  </si>
  <si>
    <t>Major Sales LAST YEAR over $1000</t>
  </si>
  <si>
    <t>Total Major Sales Last Year:</t>
  </si>
  <si>
    <t>COACHING LOG</t>
  </si>
  <si>
    <t>Month:</t>
  </si>
  <si>
    <t>$ Actual</t>
  </si>
  <si>
    <t>Salesperson</t>
  </si>
  <si>
    <t>Completed</t>
  </si>
  <si>
    <t>Store Average</t>
  </si>
  <si>
    <t>Signature</t>
  </si>
  <si>
    <t>Item:</t>
  </si>
  <si>
    <t>Version Number</t>
  </si>
  <si>
    <t>Release Date</t>
  </si>
  <si>
    <t>Copyright:</t>
  </si>
  <si>
    <t>Jaycar Electronics Group</t>
  </si>
  <si>
    <t>General Details</t>
  </si>
  <si>
    <t>This spreadsheet is for the use of Jaycar Electronics and Road Tech Marine Stores to track sales data on a weekly and monthly basis.</t>
  </si>
  <si>
    <t>It may not be duplicated (in whole or in part) for usage outside of the Jaycar Electronics Group.</t>
  </si>
  <si>
    <t>For additional details, please contact your Cluster / Area Manager or the National Operations Manager</t>
  </si>
  <si>
    <t>Version Notes:</t>
  </si>
  <si>
    <t>Release Date:</t>
  </si>
  <si>
    <t>Changes Made</t>
  </si>
  <si>
    <t>V1.68</t>
  </si>
  <si>
    <t>Fixed issues with dots and stars not showing at correct % sales</t>
  </si>
  <si>
    <t>V1.69</t>
  </si>
  <si>
    <t>Fixed leap year issue for released version, version is current in stores until June 30th 2016</t>
  </si>
  <si>
    <t>V1.70</t>
  </si>
  <si>
    <t>Closed Beta Version - For Albury test only. Contains new 5th colour in weekly minimums</t>
  </si>
  <si>
    <t xml:space="preserve">Colours are: </t>
  </si>
  <si>
    <t>Red</t>
  </si>
  <si>
    <t>Below L/Y</t>
  </si>
  <si>
    <t>Black</t>
  </si>
  <si>
    <t>Above L/Y but below Budget</t>
  </si>
  <si>
    <t>Green</t>
  </si>
  <si>
    <t>Above Budget</t>
  </si>
  <si>
    <t xml:space="preserve">Silver </t>
  </si>
  <si>
    <t>5.01% Above Budget</t>
  </si>
  <si>
    <t>Gold</t>
  </si>
  <si>
    <t>10.01% Above Budget</t>
  </si>
  <si>
    <t>V1.71</t>
  </si>
  <si>
    <t>Fixed link issue with staff members and weekly minimums planner</t>
  </si>
  <si>
    <t>V1.72</t>
  </si>
  <si>
    <t>Fixed Leap Year Issue</t>
  </si>
  <si>
    <t>V2.00</t>
  </si>
  <si>
    <t>Rename to Jaycar / RTM Stats Sheet</t>
  </si>
  <si>
    <t>V2.05</t>
  </si>
  <si>
    <t>Change to  Weekly Minimums Planner and Monthly Statistics - insert last year figures</t>
  </si>
  <si>
    <t>V2.06</t>
  </si>
  <si>
    <t>Insert Growth on Last Year % into Monthly Statistics, correct % error on Minimums planner</t>
  </si>
  <si>
    <t>Insert Weekly totals into daily totals tab and rename to daily and weekly totals</t>
  </si>
  <si>
    <t>V2.10</t>
  </si>
  <si>
    <t xml:space="preserve">Redesign of Weekly Trading reports, adding in Reward Cards, consecutive weeks in the red </t>
  </si>
  <si>
    <t>cells, and adding % growth on last year, added calculation of major sales this year and last year</t>
  </si>
  <si>
    <t>Formatting changes to Daily and Weekly Totals tab, making weekly totals stand out more</t>
  </si>
  <si>
    <t>Added Reward Cards as a KPI to the weekly statistics page</t>
  </si>
  <si>
    <t>Edited Instructions Tab</t>
  </si>
  <si>
    <t>V2.101</t>
  </si>
  <si>
    <t>Added majors totals in weekly trading reports</t>
  </si>
  <si>
    <t>V2.11</t>
  </si>
  <si>
    <t>Corrected formatting issues (hidden formulas) in trading reports - causing the inability to edit cells</t>
  </si>
  <si>
    <t>V2.12</t>
  </si>
  <si>
    <t>Fixed Bug in Store Details sheet causing the first week of last year sales for May not to be displayed</t>
  </si>
  <si>
    <t>V2.20 beta</t>
  </si>
  <si>
    <t>Moved Trading reports closer to front of the book, hid Daily Graphs, fixed formatting issue on Daily and Weekly Budgets sheet so they print in store</t>
  </si>
  <si>
    <t>Inserted section on trading report to separate store and area manager comments. Checked Leap year issue to ensure correct dates for 2020.</t>
  </si>
  <si>
    <t>V2.21 beta</t>
  </si>
  <si>
    <t>Changed Daily Budgets to show $$ remaining to Budget, not 10% on Budget.</t>
  </si>
  <si>
    <t>Changed Daily and Weekly totals to show a weekly trend symbol, easier for AM to see how the store is tracking</t>
  </si>
  <si>
    <t>V2.30 alpha</t>
  </si>
  <si>
    <t>Changed to Daily Store Budget Entry on Store Details Page, including fixing Weekly Minimums Planner, and Trading Reports to reflect Budget Numbers</t>
  </si>
  <si>
    <t>V2.31</t>
  </si>
  <si>
    <t>Updated Daily Budgets Tab to show daily budget total, rather than progressive budget remaining for the week, removed days remaining column</t>
  </si>
  <si>
    <t>V2.32 (Albury Use Only)</t>
  </si>
  <si>
    <t>Re instated Last year numbers, including the input for transactions and lines for last year. Changed the formatting for input of budget numbers, so a copy and paste</t>
  </si>
  <si>
    <t>from the daily budgets sheet issued is easy</t>
  </si>
  <si>
    <t>Created Budgets tab to work out daily budgets for each staff member, reworked Daily Budgets, Weekly Minimums and monthly statistics tabs to use daily by staff member budgets</t>
  </si>
  <si>
    <t>Weekly Trading Reports now use last year figures as a comparison, rather than KPI's.</t>
  </si>
  <si>
    <t>V2.33</t>
  </si>
  <si>
    <t>Area 4 release copy</t>
  </si>
  <si>
    <t>V2.34</t>
  </si>
  <si>
    <t>Fixed Issue with Daily Targets not working - formula wasn't referencing entire data set.</t>
  </si>
  <si>
    <t>V2.40</t>
  </si>
  <si>
    <t>Revised formula on Budgets Sheet to allow for any data entry in hours column on Friedman Tab</t>
  </si>
  <si>
    <t>Revised formula on Daily Budgets sheet to prevent N/A errors when the current date is out of range of the budgets sheet</t>
  </si>
  <si>
    <t>Removed Store Manager and Area Manager comments, $ per hour and weeks in red from Trading Reports</t>
  </si>
  <si>
    <t>V2.41</t>
  </si>
  <si>
    <t>Fixed Vlookup issue on Daily Budgets tab</t>
  </si>
  <si>
    <t>V2.42</t>
  </si>
  <si>
    <t>Locked Budget cell and corrected references on Trading Reports</t>
  </si>
  <si>
    <t>V2.43</t>
  </si>
  <si>
    <t>Fixed Budgets for 6th Week in Month</t>
  </si>
  <si>
    <t>Corrected Conversion Rate Formula Error in Trading Reports</t>
  </si>
  <si>
    <t>V2.44</t>
  </si>
  <si>
    <t>Reformatted Trading Reports to make it easier to copy to other spreadsheets, fixed formula issues</t>
  </si>
  <si>
    <t>Week 6 trading report hidden, as it is never used.</t>
  </si>
  <si>
    <t>Fixed Coaching titles to Budget from Goal, hidden formulas</t>
  </si>
  <si>
    <t>V2.45</t>
  </si>
  <si>
    <t>Fixed locked cells in Daily Budgets entry, June release version</t>
  </si>
  <si>
    <t>V2.46</t>
  </si>
  <si>
    <t>Fixed Weekly Minimums Planner formulas on next week to align with Budgets, deleted Instructions tab, deleted Weekly Trading Report 6 tab.</t>
  </si>
  <si>
    <t>V2.50</t>
  </si>
  <si>
    <t>Password Protection</t>
  </si>
  <si>
    <t>Password protection is in place for the protection of the formulas within the workbook.  Some of the formulas created are extremely complex and if removed or changed affect multiple formulas on other pages. Managers should not attempt to remove password protection or change formulas without the express permission of the National Operations Manager or the CEO.</t>
  </si>
  <si>
    <t>Company Release Version (added Password Protection notice in Specifications)</t>
  </si>
  <si>
    <t>THIS YEAR WEEKLY BUDGETS</t>
  </si>
  <si>
    <t>LAST YEAR SALES DATA</t>
  </si>
  <si>
    <t>V2.51</t>
  </si>
  <si>
    <t>Door count entry moved to Store Details Page, corresponding cells on Trading reports locked. Comment on Weekly Budget cells edited, titles on</t>
  </si>
  <si>
    <t>Store Details tab changed for clarity, default KPI's changed on Weekly Statistics tab.</t>
  </si>
  <si>
    <t>V2.52</t>
  </si>
  <si>
    <t xml:space="preserve">Fixed issue with Staff hour totals not adding correctly on Staff hours tab, locked weekly minimums planner rostered hours column, this now adds hours from friedman tab  </t>
  </si>
  <si>
    <t>V2.53</t>
  </si>
  <si>
    <t>Company Release Version - removed words "Budget Goal" and % figure from Daily Sales Targets tab</t>
  </si>
  <si>
    <t>% of Budget</t>
  </si>
  <si>
    <t>V2.54</t>
  </si>
  <si>
    <t>Updated with new incentive scheme</t>
  </si>
  <si>
    <t xml:space="preserve">     Sales Budgets</t>
  </si>
  <si>
    <t>Store Sales Budgets</t>
  </si>
  <si>
    <t>V2.55</t>
  </si>
  <si>
    <t>Fixed issue with new incentive scheme where casuals were not paid.</t>
  </si>
  <si>
    <t>Fixed error on Monthly Stats sheet which gave daily average remaining to 98% budget, not 100% budget</t>
  </si>
  <si>
    <t>Inserted VBA code to stop drag and drop &amp; cut / paste functions to prevent REF errors.</t>
  </si>
  <si>
    <t>V2.61 Area 6 Test</t>
  </si>
  <si>
    <t>V2.60 Albury Test</t>
  </si>
  <si>
    <t>V2.62 Area 6 Test</t>
  </si>
  <si>
    <t>Corrected code to allow copy and paste from other spreadsheets</t>
  </si>
  <si>
    <t>V2.70 (Not for Release)</t>
  </si>
  <si>
    <t>STAFF COACHING &amp; DEVELOPMENT</t>
  </si>
  <si>
    <t>Week ending :</t>
  </si>
  <si>
    <t>Staff Name:</t>
  </si>
  <si>
    <t>Variance %</t>
  </si>
  <si>
    <t>KPI</t>
  </si>
  <si>
    <t>Potential Sales</t>
  </si>
  <si>
    <t>Observations</t>
  </si>
  <si>
    <t>Suggested actions &amp; opportunities for development</t>
  </si>
  <si>
    <t>Staff Comments</t>
  </si>
  <si>
    <t>Date signed</t>
  </si>
  <si>
    <t>Manager Name</t>
  </si>
  <si>
    <t>$ per Hour</t>
  </si>
  <si>
    <t>Trans per Hour</t>
  </si>
  <si>
    <t>Replaced first coaching log with new version for Area / Senior Management to review</t>
  </si>
  <si>
    <t>V2.71 (Albury Test Version)</t>
  </si>
  <si>
    <t>Deleted old coaching logs, hidden CL Checklist, created new ones based on template, edited VBA code to enable staff names to appear on tabs of coaching logs</t>
  </si>
  <si>
    <t>V2.72 (Area 6 Test Version)</t>
  </si>
  <si>
    <t>Fixed formula errors on coaching logs.</t>
  </si>
  <si>
    <t>Unlocked Coaching Logs Observation Cells, made RTM Version</t>
  </si>
  <si>
    <t>Jaycar Store Statistics Spreadsheet</t>
  </si>
  <si>
    <t>Jaycar Monthly Stats</t>
  </si>
  <si>
    <t>V2.73 (Area 6/8 Test Version)</t>
  </si>
  <si>
    <t>V2.74 (Release Copy)</t>
  </si>
  <si>
    <t>Fixed Column width issue on Store Details Page</t>
  </si>
  <si>
    <t>V2.80 (Albury Test Version)</t>
  </si>
  <si>
    <t>Added Projections to Monthly Statistics Page</t>
  </si>
  <si>
    <t>Store Grading</t>
  </si>
  <si>
    <t>Bronze</t>
  </si>
  <si>
    <t>Silver</t>
  </si>
  <si>
    <t>Platinum</t>
  </si>
  <si>
    <t>Tier 1</t>
  </si>
  <si>
    <t>Tier 2</t>
  </si>
  <si>
    <t>Store Incentives</t>
  </si>
  <si>
    <t>Sales MTD</t>
  </si>
  <si>
    <t>$ Difference:</t>
  </si>
  <si>
    <t>% Difference:</t>
  </si>
  <si>
    <t>Budget MTD</t>
  </si>
  <si>
    <t>Changed Projections and incentives scheme on Monthly Stats Page, redesigned Store Details tab to add store grading for new incentives scheme, removed Non</t>
  </si>
  <si>
    <t>Trading Days cell as no longer required.</t>
  </si>
  <si>
    <t>$ if Budget - ROM</t>
  </si>
  <si>
    <t>% Gain if Budget - ROM</t>
  </si>
  <si>
    <t>V2.81 (Test Version)</t>
  </si>
  <si>
    <t>V2.82 (Test Version)</t>
  </si>
  <si>
    <t>Fixed a bug in the formula calculating the MTD Budget figure where a non trading day would cause it to return zero as $ MTD</t>
  </si>
  <si>
    <t>V2.83 (Release Copy)</t>
  </si>
  <si>
    <t>Changed Budget MTD on Monthly stats tab to reflect end of yesterday, used formula to calculate Monthly Budget on Store Details tab - cell locked.</t>
  </si>
  <si>
    <t>Minor formula fixes on Monthly Stats tab</t>
  </si>
  <si>
    <t>Budget:</t>
  </si>
  <si>
    <t>Sales:</t>
  </si>
  <si>
    <t>Difference:</t>
  </si>
  <si>
    <t>Diff %%</t>
  </si>
  <si>
    <t>MTD</t>
  </si>
  <si>
    <t>WTD</t>
  </si>
  <si>
    <t xml:space="preserve">PT </t>
  </si>
  <si>
    <t>LPT:</t>
  </si>
  <si>
    <t>Avg Sale:</t>
  </si>
  <si>
    <t>Week 2 Results</t>
  </si>
  <si>
    <t>Week 1 Results</t>
  </si>
  <si>
    <t>Week 3 Results</t>
  </si>
  <si>
    <t>Week 4 Results</t>
  </si>
  <si>
    <t>Week 5 Results</t>
  </si>
  <si>
    <t>Daily Result:</t>
  </si>
  <si>
    <t>Week to Date:</t>
  </si>
  <si>
    <t>Month to Date:</t>
  </si>
  <si>
    <t>V2.90 (Albury Use Only)</t>
  </si>
  <si>
    <t>Daily Sales Report:</t>
  </si>
  <si>
    <t>Added DSR tab with trial layout - added code for email submission</t>
  </si>
  <si>
    <t xml:space="preserve">Reformatted Daily &amp; Weekly Totals to clearly define weeks, DSR tab - formatted and coloured for email, changed weekly formulas to prevent </t>
  </si>
  <si>
    <t>errors from wrong week start date. Fixed WTRs where design change on Daily and Weekly Totals caused no weekly sales figure to show.</t>
  </si>
  <si>
    <t>Nerd Perk Signups:</t>
  </si>
  <si>
    <t>V2.91 (Albury Use Only)</t>
  </si>
  <si>
    <t>Fixed formula on Daily Sales Report causing a N/A error when the Sunday of the current week was in the following month.</t>
  </si>
  <si>
    <t>V2.84 (Release Copy)</t>
  </si>
  <si>
    <t>Fixed bug where a new store with no last year weekly figures wouldn’t populate the dots and stars</t>
  </si>
  <si>
    <t>V2.92 (Store Test Version)</t>
  </si>
  <si>
    <t>V2.93 (Store Test Version)</t>
  </si>
  <si>
    <t>Fixed formula on Daily Sales Report causing weekly totals to error when Sunday is first of the month</t>
  </si>
  <si>
    <t>V3.00 (Release Copy)</t>
  </si>
  <si>
    <t>Changed code to EOD Sales Report in subject line of email, released to stores for use from Feb 1</t>
  </si>
  <si>
    <t>Auburn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</si>
</sst>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1">
    <numFmt numFmtId="6" formatCode="&quot;$&quot;#,##0;[Red]\-&quot;$&quot;#,##0"/>
    <numFmt numFmtId="8" formatCode="&quot;$&quot;#,##0.00;[Red]\-&quot;$&quot;#,##0.00"/>
    <numFmt numFmtId="164" formatCode="dddd&quot;,  &quot;dd"/>
    <numFmt numFmtId="165" formatCode="dddd"/>
    <numFmt numFmtId="166" formatCode="\$#,##0.00;[Red]&quot;-$&quot;#,##0.00"/>
    <numFmt numFmtId="167" formatCode="[$$-409]#,##0.00;[Red]\-[$$-409]#,##0.00"/>
    <numFmt numFmtId="168" formatCode="dd/mm/yy"/>
    <numFmt numFmtId="169" formatCode="[$$-C09]#,##0.00;[Red]\-[$$-C09]#,##0.00"/>
    <numFmt numFmtId="170" formatCode="dddd&quot;, &quot;dd\-mm\-yyyy"/>
    <numFmt numFmtId="171" formatCode="mmmm"/>
    <numFmt numFmtId="172" formatCode="\$#,##0.00"/>
    <numFmt numFmtId="173" formatCode="0.000%"/>
    <numFmt numFmtId="174" formatCode="d\ mmm\ yy"/>
    <numFmt numFmtId="175" formatCode="0;[Red]\-0"/>
    <numFmt numFmtId="176" formatCode="00000;[Red]\-00000"/>
    <numFmt numFmtId="177" formatCode="[$$-C09]#,##0.00;\-[$$-C09]#,##0.00"/>
    <numFmt numFmtId="178" formatCode="0000;[Red]\-0000"/>
    <numFmt numFmtId="179" formatCode="00000"/>
    <numFmt numFmtId="180" formatCode="_-\$* #,##0.00_-;&quot;-$&quot;* #,##0.00_-;_-\$* \-??_-;_-@_-"/>
    <numFmt numFmtId="181" formatCode="[$$-C09]#,##0;[Red]\-[$$-C09]#,##0"/>
    <numFmt numFmtId="182" formatCode="0.00%;[Red]\-0.00%"/>
    <numFmt numFmtId="183" formatCode="ddd&quot;, &quot;dd/mm/yy"/>
    <numFmt numFmtId="184" formatCode="mmmm\ dd&quot;, &quot;yyyy"/>
    <numFmt numFmtId="185" formatCode="mmmm\ yyyy"/>
    <numFmt numFmtId="186" formatCode="#,##0.00_ ;[Red]\-#,##0.00\ "/>
    <numFmt numFmtId="187" formatCode="&quot;$&quot;#,##0"/>
    <numFmt numFmtId="188" formatCode="0.000"/>
    <numFmt numFmtId="189" formatCode="[$-F800]dddd\,\ mmmm\ dd\,\ yyyy"/>
    <numFmt numFmtId="190" formatCode="#,##0_ ;[Red]\-#,##0\ "/>
    <numFmt numFmtId="191" formatCode="ddd&quot;, &quot;d\ mmm\ yy"/>
    <numFmt numFmtId="192" formatCode="&quot;$&quot;#,##0.00"/>
  </numFmts>
  <fonts count="71">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6"/>
      <color indexed="51"/>
      <name val="StarSymbol"/>
    </font>
    <font>
      <b/>
      <sz val="10"/>
      <name val="Arial"/>
      <family val="2"/>
    </font>
    <font>
      <sz val="8"/>
      <color indexed="8"/>
      <name val="Tahoma"/>
      <family val="2"/>
    </font>
    <font>
      <sz val="10"/>
      <color indexed="8"/>
      <name val="Arial"/>
      <family val="2"/>
    </font>
    <font>
      <sz val="8"/>
      <name val="Arial"/>
      <family val="2"/>
    </font>
    <font>
      <b/>
      <sz val="14"/>
      <name val="Arial"/>
      <family val="2"/>
    </font>
    <font>
      <sz val="14"/>
      <name val="Arial"/>
      <family val="2"/>
    </font>
    <font>
      <sz val="12"/>
      <name val="Arial"/>
      <family val="2"/>
    </font>
    <font>
      <b/>
      <sz val="15"/>
      <name val="Arial"/>
      <family val="2"/>
    </font>
    <font>
      <b/>
      <sz val="7"/>
      <name val="Arial"/>
      <family val="2"/>
    </font>
    <font>
      <b/>
      <sz val="8"/>
      <name val="Arial"/>
      <family val="2"/>
    </font>
    <font>
      <b/>
      <sz val="14"/>
      <color indexed="8"/>
      <name val="Arial"/>
      <family val="2"/>
    </font>
    <font>
      <sz val="6"/>
      <name val="Arial"/>
      <family val="2"/>
    </font>
    <font>
      <b/>
      <sz val="10"/>
      <name val="HelmetCondensed"/>
      <family val="2"/>
    </font>
    <font>
      <b/>
      <sz val="12"/>
      <color indexed="9"/>
      <name val="Arial"/>
      <family val="2"/>
    </font>
    <font>
      <b/>
      <sz val="14"/>
      <color indexed="9"/>
      <name val="Arial"/>
      <family val="2"/>
    </font>
    <font>
      <sz val="10"/>
      <color indexed="9"/>
      <name val="Arial"/>
      <family val="2"/>
    </font>
    <font>
      <sz val="10"/>
      <color indexed="17"/>
      <name val="Arial"/>
      <family val="2"/>
    </font>
    <font>
      <sz val="10"/>
      <color indexed="12"/>
      <name val="Arial"/>
      <family val="2"/>
    </font>
    <font>
      <b/>
      <u/>
      <sz val="8"/>
      <name val="Arial"/>
      <family val="2"/>
    </font>
    <font>
      <sz val="9.3000000000000007"/>
      <name val="Arial"/>
      <family val="2"/>
    </font>
    <font>
      <b/>
      <outline/>
      <sz val="16"/>
      <color indexed="8"/>
      <name val="Verdana"/>
      <family val="2"/>
    </font>
    <font>
      <b/>
      <sz val="14"/>
      <name val="Verdana"/>
      <family val="2"/>
    </font>
    <font>
      <b/>
      <outline/>
      <sz val="16"/>
      <color indexed="63"/>
      <name val="Verdana"/>
      <family val="2"/>
    </font>
    <font>
      <b/>
      <outline/>
      <sz val="10"/>
      <color indexed="8"/>
      <name val="Verdana"/>
      <family val="2"/>
    </font>
    <font>
      <b/>
      <sz val="10"/>
      <name val="Verdana"/>
      <family val="2"/>
    </font>
    <font>
      <sz val="10"/>
      <name val="Verdana"/>
      <family val="2"/>
    </font>
    <font>
      <b/>
      <sz val="12"/>
      <color indexed="63"/>
      <name val="Verdana"/>
      <family val="2"/>
    </font>
    <font>
      <i/>
      <sz val="12"/>
      <color indexed="63"/>
      <name val="Verdana"/>
      <family val="2"/>
    </font>
    <font>
      <sz val="10.5"/>
      <name val="Verdana"/>
      <family val="2"/>
    </font>
    <font>
      <i/>
      <sz val="10"/>
      <color indexed="63"/>
      <name val="Verdana"/>
      <family val="2"/>
    </font>
    <font>
      <i/>
      <sz val="12"/>
      <color indexed="54"/>
      <name val="Verdana"/>
      <family val="2"/>
    </font>
    <font>
      <i/>
      <sz val="11"/>
      <color indexed="54"/>
      <name val="Verdana"/>
      <family val="2"/>
    </font>
    <font>
      <i/>
      <sz val="10"/>
      <name val="Verdana"/>
      <family val="2"/>
    </font>
    <font>
      <b/>
      <sz val="16"/>
      <name val="Arial"/>
      <family val="2"/>
    </font>
    <font>
      <b/>
      <sz val="10"/>
      <color indexed="9"/>
      <name val="Arial"/>
      <family val="2"/>
    </font>
    <font>
      <sz val="10"/>
      <name val="Arial"/>
      <family val="2"/>
    </font>
    <font>
      <sz val="9"/>
      <name val="Arial"/>
      <family val="2"/>
    </font>
    <font>
      <sz val="16"/>
      <name val="Arial"/>
      <family val="2"/>
    </font>
    <font>
      <b/>
      <sz val="12"/>
      <name val="Arial"/>
      <family val="2"/>
    </font>
    <font>
      <sz val="11"/>
      <name val="Arial"/>
      <family val="2"/>
    </font>
    <font>
      <sz val="9"/>
      <color indexed="81"/>
      <name val="Tahoma"/>
      <family val="2"/>
    </font>
    <font>
      <sz val="6"/>
      <color indexed="8"/>
      <name val="Arial"/>
      <family val="2"/>
    </font>
    <font>
      <b/>
      <sz val="9"/>
      <color indexed="81"/>
      <name val="Tahoma"/>
      <family val="2"/>
    </font>
    <font>
      <b/>
      <sz val="9"/>
      <name val="Arial"/>
      <family val="2"/>
    </font>
    <font>
      <sz val="10"/>
      <color indexed="10"/>
      <name val="StarSymbol"/>
    </font>
    <font>
      <sz val="10"/>
      <name val="StarSymbol"/>
    </font>
    <font>
      <sz val="10"/>
      <color indexed="55"/>
      <name val="StarSymbol"/>
    </font>
    <font>
      <sz val="10"/>
      <color indexed="50"/>
      <name val="StarSymbol"/>
    </font>
    <font>
      <sz val="12"/>
      <name val="StarSymbol"/>
    </font>
    <font>
      <sz val="10"/>
      <color theme="9"/>
      <name val="StarSymbol"/>
    </font>
    <font>
      <b/>
      <sz val="11"/>
      <name val="Arial"/>
      <family val="2"/>
    </font>
    <font>
      <sz val="22"/>
      <name val="starsymbol"/>
    </font>
    <font>
      <sz val="11"/>
      <name val="Calibri"/>
      <family val="2"/>
      <scheme val="minor"/>
    </font>
    <font>
      <b/>
      <sz val="11"/>
      <color theme="1"/>
      <name val="Calibri"/>
      <family val="2"/>
      <scheme val="minor"/>
    </font>
    <font>
      <i/>
      <sz val="11"/>
      <color theme="1"/>
      <name val="Calibri"/>
      <family val="2"/>
      <scheme val="minor"/>
    </font>
    <font>
      <b/>
      <sz val="14"/>
      <color theme="1"/>
      <name val="Calibri"/>
      <family val="2"/>
      <scheme val="minor"/>
    </font>
    <font>
      <b/>
      <sz val="18"/>
      <color theme="1"/>
      <name val="Calibri"/>
      <family val="2"/>
      <scheme val="minor"/>
    </font>
    <font>
      <b/>
      <sz val="12"/>
      <color theme="1"/>
      <name val="Calibri"/>
      <family val="2"/>
      <scheme val="minor"/>
    </font>
    <font>
      <b/>
      <i/>
      <sz val="20"/>
      <color theme="1"/>
      <name val="Calibri"/>
      <family val="2"/>
      <scheme val="minor"/>
    </font>
    <font>
      <b/>
      <sz val="14"/>
      <name val="Calibri"/>
      <family val="2"/>
      <scheme val="minor"/>
    </font>
    <font>
      <b/>
      <i/>
      <sz val="16"/>
      <color theme="1"/>
      <name val="Calibri"/>
      <family val="2"/>
      <scheme val="minor"/>
    </font>
    <font>
      <sz val="10"/>
      <name val="Arial"/>
      <family val="2"/>
    </font>
    <font>
      <sz val="10"/>
      <color rgb="FF000000"/>
      <name val="Arial"/>
      <family val="2"/>
    </font>
    <font>
      <i/>
      <sz val="10"/>
      <name val="Arial"/>
      <family val="2"/>
    </font>
  </fonts>
  <fills count="25">
    <fill>
      <patternFill patternType="none"/>
    </fill>
    <fill>
      <patternFill patternType="gray125"/>
    </fill>
    <fill>
      <patternFill patternType="solid">
        <fgColor indexed="55"/>
        <bgColor indexed="23"/>
      </patternFill>
    </fill>
    <fill>
      <patternFill patternType="solid">
        <fgColor indexed="31"/>
        <bgColor indexed="22"/>
      </patternFill>
    </fill>
    <fill>
      <patternFill patternType="solid">
        <fgColor indexed="9"/>
        <bgColor indexed="26"/>
      </patternFill>
    </fill>
    <fill>
      <patternFill patternType="solid">
        <fgColor indexed="26"/>
        <bgColor indexed="9"/>
      </patternFill>
    </fill>
    <fill>
      <patternFill patternType="solid">
        <fgColor indexed="18"/>
        <bgColor indexed="32"/>
      </patternFill>
    </fill>
    <fill>
      <patternFill patternType="solid">
        <fgColor indexed="22"/>
        <bgColor indexed="31"/>
      </patternFill>
    </fill>
    <fill>
      <patternFill patternType="solid">
        <fgColor indexed="54"/>
        <bgColor indexed="23"/>
      </patternFill>
    </fill>
    <fill>
      <patternFill patternType="solid">
        <fgColor indexed="10"/>
        <bgColor indexed="23"/>
      </patternFill>
    </fill>
    <fill>
      <patternFill patternType="solid">
        <fgColor indexed="9"/>
        <bgColor indexed="23"/>
      </patternFill>
    </fill>
    <fill>
      <patternFill patternType="solid">
        <fgColor indexed="11"/>
        <bgColor indexed="23"/>
      </patternFill>
    </fill>
    <fill>
      <patternFill patternType="solid">
        <fgColor indexed="50"/>
        <bgColor indexed="23"/>
      </patternFill>
    </fill>
    <fill>
      <patternFill patternType="solid">
        <fgColor indexed="9"/>
        <bgColor indexed="42"/>
      </patternFill>
    </fill>
    <fill>
      <patternFill patternType="solid">
        <fgColor indexed="27"/>
        <bgColor indexed="41"/>
      </patternFill>
    </fill>
    <fill>
      <patternFill patternType="solid">
        <fgColor indexed="8"/>
        <bgColor indexed="58"/>
      </patternFill>
    </fill>
    <fill>
      <patternFill patternType="solid">
        <fgColor theme="2"/>
        <bgColor indexed="23"/>
      </patternFill>
    </fill>
    <fill>
      <patternFill patternType="solid">
        <fgColor theme="2"/>
        <bgColor indexed="64"/>
      </patternFill>
    </fill>
    <fill>
      <patternFill patternType="solid">
        <fgColor theme="0" tint="-0.249977111117893"/>
        <bgColor indexed="23"/>
      </patternFill>
    </fill>
    <fill>
      <patternFill patternType="solid">
        <fgColor theme="0" tint="-0.14999847407452621"/>
        <bgColor indexed="64"/>
      </patternFill>
    </fill>
    <fill>
      <patternFill patternType="solid">
        <fgColor theme="0" tint="-0.14996795556505021"/>
        <bgColor indexed="64"/>
      </patternFill>
    </fill>
    <fill>
      <patternFill patternType="solid">
        <fgColor theme="1"/>
        <bgColor indexed="64"/>
      </patternFill>
    </fill>
    <fill>
      <patternFill patternType="solid">
        <fgColor theme="0"/>
        <bgColor indexed="64"/>
      </patternFill>
    </fill>
    <fill>
      <patternFill patternType="solid">
        <fgColor theme="0"/>
        <bgColor indexed="22"/>
      </patternFill>
    </fill>
    <fill>
      <patternFill patternType="solid">
        <fgColor theme="0"/>
        <bgColor rgb="FF000000"/>
      </patternFill>
    </fill>
  </fills>
  <borders count="112">
    <border>
      <left/>
      <right/>
      <top/>
      <bottom/>
      <diagonal/>
    </border>
    <border>
      <left/>
      <right/>
      <top/>
      <bottom style="hair">
        <color indexed="23"/>
      </bottom>
      <diagonal/>
    </border>
    <border>
      <left/>
      <right/>
      <top style="hair">
        <color indexed="23"/>
      </top>
      <bottom style="hair">
        <color indexed="23"/>
      </bottom>
      <diagonal/>
    </border>
    <border>
      <left/>
      <right/>
      <top style="hair">
        <color indexed="23"/>
      </top>
      <bottom/>
      <diagonal/>
    </border>
    <border>
      <left style="medium">
        <color indexed="14"/>
      </left>
      <right style="medium">
        <color indexed="18"/>
      </right>
      <top style="medium">
        <color indexed="18"/>
      </top>
      <bottom style="medium">
        <color indexed="14"/>
      </bottom>
      <diagonal/>
    </border>
    <border>
      <left style="medium">
        <color indexed="18"/>
      </left>
      <right style="medium">
        <color indexed="14"/>
      </right>
      <top style="medium">
        <color indexed="18"/>
      </top>
      <bottom style="medium">
        <color indexed="14"/>
      </bottom>
      <diagonal/>
    </border>
    <border>
      <left/>
      <right style="medium">
        <color indexed="18"/>
      </right>
      <top style="medium">
        <color indexed="18"/>
      </top>
      <bottom style="medium">
        <color indexed="14"/>
      </bottom>
      <diagonal/>
    </border>
    <border>
      <left style="medium">
        <color indexed="18"/>
      </left>
      <right style="medium">
        <color indexed="18"/>
      </right>
      <top style="medium">
        <color indexed="18"/>
      </top>
      <bottom style="medium">
        <color indexed="14"/>
      </bottom>
      <diagonal/>
    </border>
    <border>
      <left style="medium">
        <color indexed="18"/>
      </left>
      <right style="medium">
        <color indexed="14"/>
      </right>
      <top style="medium">
        <color indexed="18"/>
      </top>
      <bottom/>
      <diagonal/>
    </border>
    <border>
      <left style="medium">
        <color indexed="14"/>
      </left>
      <right/>
      <top/>
      <bottom/>
      <diagonal/>
    </border>
    <border>
      <left/>
      <right style="medium">
        <color indexed="14"/>
      </right>
      <top/>
      <bottom/>
      <diagonal/>
    </border>
    <border>
      <left/>
      <right/>
      <top/>
      <bottom style="hair">
        <color indexed="18"/>
      </bottom>
      <diagonal/>
    </border>
    <border>
      <left style="medium">
        <color indexed="14"/>
      </left>
      <right/>
      <top style="medium">
        <color indexed="14"/>
      </top>
      <bottom/>
      <diagonal/>
    </border>
    <border>
      <left/>
      <right/>
      <top style="medium">
        <color indexed="14"/>
      </top>
      <bottom/>
      <diagonal/>
    </border>
    <border>
      <left/>
      <right style="medium">
        <color indexed="14"/>
      </right>
      <top style="medium">
        <color indexed="14"/>
      </top>
      <bottom/>
      <diagonal/>
    </border>
    <border>
      <left/>
      <right/>
      <top style="hair">
        <color indexed="18"/>
      </top>
      <bottom style="hair">
        <color indexed="18"/>
      </bottom>
      <diagonal/>
    </border>
    <border>
      <left style="medium">
        <color indexed="14"/>
      </left>
      <right/>
      <top/>
      <bottom style="medium">
        <color indexed="14"/>
      </bottom>
      <diagonal/>
    </border>
    <border>
      <left/>
      <right/>
      <top/>
      <bottom style="medium">
        <color indexed="14"/>
      </bottom>
      <diagonal/>
    </border>
    <border>
      <left/>
      <right style="medium">
        <color indexed="14"/>
      </right>
      <top/>
      <bottom style="medium">
        <color indexed="14"/>
      </bottom>
      <diagonal/>
    </border>
    <border>
      <left style="medium">
        <color indexed="14"/>
      </left>
      <right style="medium">
        <color indexed="18"/>
      </right>
      <top style="medium">
        <color indexed="14"/>
      </top>
      <bottom style="medium">
        <color indexed="18"/>
      </bottom>
      <diagonal/>
    </border>
    <border>
      <left style="medium">
        <color indexed="18"/>
      </left>
      <right style="medium">
        <color indexed="18"/>
      </right>
      <top style="medium">
        <color indexed="14"/>
      </top>
      <bottom style="medium">
        <color indexed="18"/>
      </bottom>
      <diagonal/>
    </border>
    <border>
      <left style="medium">
        <color indexed="18"/>
      </left>
      <right style="medium">
        <color indexed="14"/>
      </right>
      <top style="medium">
        <color indexed="14"/>
      </top>
      <bottom style="medium">
        <color indexed="18"/>
      </bottom>
      <diagonal/>
    </border>
    <border>
      <left style="medium">
        <color indexed="14"/>
      </left>
      <right style="medium">
        <color indexed="18"/>
      </right>
      <top style="medium">
        <color indexed="18"/>
      </top>
      <bottom style="medium">
        <color indexed="18"/>
      </bottom>
      <diagonal/>
    </border>
    <border>
      <left style="medium">
        <color indexed="18"/>
      </left>
      <right style="medium">
        <color indexed="18"/>
      </right>
      <top style="medium">
        <color indexed="18"/>
      </top>
      <bottom style="medium">
        <color indexed="18"/>
      </bottom>
      <diagonal/>
    </border>
    <border>
      <left style="medium">
        <color indexed="18"/>
      </left>
      <right style="medium">
        <color indexed="14"/>
      </right>
      <top style="medium">
        <color indexed="18"/>
      </top>
      <bottom style="medium">
        <color indexed="18"/>
      </bottom>
      <diagonal/>
    </border>
    <border>
      <left/>
      <right/>
      <top style="hair">
        <color indexed="18"/>
      </top>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thin">
        <color indexed="8"/>
      </right>
      <top style="thin">
        <color indexed="8"/>
      </top>
      <bottom style="medium">
        <color indexed="8"/>
      </bottom>
      <diagonal/>
    </border>
    <border>
      <left/>
      <right style="thin">
        <color indexed="8"/>
      </right>
      <top style="medium">
        <color indexed="8"/>
      </top>
      <bottom/>
      <diagonal/>
    </border>
    <border>
      <left style="thin">
        <color indexed="8"/>
      </left>
      <right style="thin">
        <color indexed="8"/>
      </right>
      <top style="medium">
        <color indexed="8"/>
      </top>
      <bottom/>
      <diagonal/>
    </border>
    <border>
      <left/>
      <right/>
      <top/>
      <bottom style="thin">
        <color indexed="8"/>
      </bottom>
      <diagonal/>
    </border>
    <border>
      <left/>
      <right/>
      <top style="thin">
        <color indexed="8"/>
      </top>
      <bottom/>
      <diagonal/>
    </border>
    <border>
      <left style="thick">
        <color indexed="54"/>
      </left>
      <right/>
      <top style="thick">
        <color indexed="54"/>
      </top>
      <bottom/>
      <diagonal/>
    </border>
    <border>
      <left style="hair">
        <color indexed="8"/>
      </left>
      <right style="hair">
        <color indexed="8"/>
      </right>
      <top style="hair">
        <color indexed="8"/>
      </top>
      <bottom style="hair">
        <color indexed="8"/>
      </bottom>
      <diagonal/>
    </border>
    <border>
      <left style="thick">
        <color indexed="54"/>
      </left>
      <right/>
      <top style="double">
        <color indexed="9"/>
      </top>
      <bottom style="thin">
        <color indexed="8"/>
      </bottom>
      <diagonal/>
    </border>
    <border>
      <left/>
      <right/>
      <top style="double">
        <color indexed="9"/>
      </top>
      <bottom style="thin">
        <color indexed="8"/>
      </bottom>
      <diagonal/>
    </border>
    <border>
      <left/>
      <right style="thick">
        <color indexed="54"/>
      </right>
      <top style="double">
        <color indexed="9"/>
      </top>
      <bottom style="thin">
        <color indexed="8"/>
      </bottom>
      <diagonal/>
    </border>
    <border>
      <left style="thick">
        <color indexed="54"/>
      </left>
      <right/>
      <top/>
      <bottom/>
      <diagonal/>
    </border>
    <border>
      <left/>
      <right style="thick">
        <color indexed="54"/>
      </right>
      <top/>
      <bottom/>
      <diagonal/>
    </border>
    <border>
      <left style="thick">
        <color indexed="54"/>
      </left>
      <right/>
      <top style="medium">
        <color indexed="9"/>
      </top>
      <bottom/>
      <diagonal/>
    </border>
    <border>
      <left/>
      <right/>
      <top style="double">
        <color indexed="54"/>
      </top>
      <bottom/>
      <diagonal/>
    </border>
    <border>
      <left/>
      <right/>
      <top style="medium">
        <color indexed="9"/>
      </top>
      <bottom/>
      <diagonal/>
    </border>
    <border>
      <left/>
      <right style="thick">
        <color indexed="54"/>
      </right>
      <top style="double">
        <color indexed="54"/>
      </top>
      <bottom/>
      <diagonal/>
    </border>
    <border>
      <left style="thick">
        <color indexed="54"/>
      </left>
      <right/>
      <top style="medium">
        <color indexed="9"/>
      </top>
      <bottom style="thick">
        <color indexed="54"/>
      </bottom>
      <diagonal/>
    </border>
    <border>
      <left/>
      <right/>
      <top style="double">
        <color indexed="54"/>
      </top>
      <bottom style="thick">
        <color indexed="54"/>
      </bottom>
      <diagonal/>
    </border>
    <border>
      <left/>
      <right/>
      <top style="medium">
        <color indexed="9"/>
      </top>
      <bottom style="thick">
        <color indexed="54"/>
      </bottom>
      <diagonal/>
    </border>
    <border>
      <left/>
      <right style="thick">
        <color indexed="54"/>
      </right>
      <top style="double">
        <color indexed="54"/>
      </top>
      <bottom style="thick">
        <color indexed="54"/>
      </bottom>
      <diagonal/>
    </border>
    <border>
      <left style="thick">
        <color indexed="54"/>
      </left>
      <right/>
      <top style="thick">
        <color indexed="54"/>
      </top>
      <bottom style="thick">
        <color indexed="54"/>
      </bottom>
      <diagonal/>
    </border>
    <border>
      <left style="thin">
        <color indexed="8"/>
      </left>
      <right/>
      <top style="thin">
        <color indexed="8"/>
      </top>
      <bottom/>
      <diagonal/>
    </border>
    <border>
      <left style="thin">
        <color indexed="8"/>
      </left>
      <right/>
      <top/>
      <bottom/>
      <diagonal/>
    </border>
    <border>
      <left/>
      <right style="thin">
        <color indexed="8"/>
      </right>
      <top/>
      <bottom/>
      <diagonal/>
    </border>
    <border>
      <left/>
      <right/>
      <top style="thin">
        <color indexed="8"/>
      </top>
      <bottom style="thin">
        <color indexed="8"/>
      </bottom>
      <diagonal/>
    </border>
    <border>
      <left style="thin">
        <color indexed="8"/>
      </left>
      <right/>
      <top style="thin">
        <color indexed="8"/>
      </top>
      <bottom style="thin">
        <color indexed="8"/>
      </bottom>
      <diagonal/>
    </border>
    <border>
      <left style="thin">
        <color indexed="8"/>
      </left>
      <right/>
      <top/>
      <bottom style="thin">
        <color indexed="8"/>
      </bottom>
      <diagonal/>
    </border>
    <border>
      <left/>
      <right style="thin">
        <color indexed="8"/>
      </right>
      <top/>
      <bottom style="thin">
        <color indexed="8"/>
      </bottom>
      <diagonal/>
    </border>
    <border>
      <left/>
      <right style="thin">
        <color indexed="8"/>
      </right>
      <top style="thin">
        <color indexed="8"/>
      </top>
      <bottom style="thin">
        <color indexed="8"/>
      </bottom>
      <diagonal/>
    </border>
    <border>
      <left/>
      <right/>
      <top style="thick">
        <color indexed="54"/>
      </top>
      <bottom/>
      <diagonal/>
    </border>
    <border>
      <left/>
      <right/>
      <top/>
      <bottom style="thin">
        <color indexed="23"/>
      </bottom>
      <diagonal/>
    </border>
    <border>
      <left/>
      <right/>
      <top style="thin">
        <color indexed="23"/>
      </top>
      <bottom style="thin">
        <color indexed="23"/>
      </bottom>
      <diagonal/>
    </border>
    <border>
      <left/>
      <right/>
      <top style="thin">
        <color indexed="23"/>
      </top>
      <bottom/>
      <diagonal/>
    </border>
    <border>
      <left style="thin">
        <color indexed="8"/>
      </left>
      <right style="thin">
        <color indexed="8"/>
      </right>
      <top/>
      <bottom style="thin">
        <color indexed="8"/>
      </bottom>
      <diagonal/>
    </border>
    <border>
      <left style="thin">
        <color indexed="8"/>
      </left>
      <right style="thin">
        <color indexed="8"/>
      </right>
      <top style="medium">
        <color indexed="8"/>
      </top>
      <bottom style="thin">
        <color indexed="8"/>
      </bottom>
      <diagonal/>
    </border>
    <border>
      <left style="medium">
        <color indexed="14"/>
      </left>
      <right style="medium">
        <color indexed="14"/>
      </right>
      <top style="medium">
        <color indexed="14"/>
      </top>
      <bottom style="medium">
        <color indexed="18"/>
      </bottom>
      <diagonal/>
    </border>
    <border>
      <left/>
      <right style="medium">
        <color indexed="14"/>
      </right>
      <top style="medium">
        <color indexed="14"/>
      </top>
      <bottom style="medium">
        <color indexed="14"/>
      </bottom>
      <diagonal/>
    </border>
    <border>
      <left style="medium">
        <color indexed="14"/>
      </left>
      <right style="medium">
        <color indexed="14"/>
      </right>
      <top style="medium">
        <color indexed="14"/>
      </top>
      <bottom/>
      <diagonal/>
    </border>
    <border>
      <left style="medium">
        <color indexed="14"/>
      </left>
      <right style="medium">
        <color indexed="18"/>
      </right>
      <top style="medium">
        <color indexed="14"/>
      </top>
      <bottom style="medium">
        <color indexed="14"/>
      </bottom>
      <diagonal/>
    </border>
    <border>
      <left/>
      <right style="thick">
        <color indexed="54"/>
      </right>
      <top style="thick">
        <color indexed="54"/>
      </top>
      <bottom/>
      <diagonal/>
    </border>
    <border>
      <left/>
      <right/>
      <top style="thin">
        <color indexed="64"/>
      </top>
      <bottom/>
      <diagonal/>
    </border>
    <border>
      <left/>
      <right/>
      <top/>
      <bottom style="thin">
        <color indexed="64"/>
      </bottom>
      <diagonal/>
    </border>
    <border>
      <left/>
      <right style="medium">
        <color indexed="64"/>
      </right>
      <top/>
      <bottom style="medium">
        <color indexed="64"/>
      </bottom>
      <diagonal/>
    </border>
    <border>
      <left/>
      <right/>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8"/>
      </left>
      <right style="thin">
        <color indexed="8"/>
      </right>
      <top style="thin">
        <color indexed="8"/>
      </top>
      <bottom style="thin">
        <color indexed="64"/>
      </bottom>
      <diagonal/>
    </border>
    <border>
      <left style="thin">
        <color indexed="8"/>
      </left>
      <right style="thin">
        <color indexed="64"/>
      </right>
      <top style="thin">
        <color indexed="8"/>
      </top>
      <bottom style="thin">
        <color indexed="8"/>
      </bottom>
      <diagonal/>
    </border>
    <border>
      <left/>
      <right style="thin">
        <color indexed="64"/>
      </right>
      <top/>
      <bottom/>
      <diagonal/>
    </border>
    <border>
      <left style="thin">
        <color indexed="8"/>
      </left>
      <right style="thin">
        <color indexed="8"/>
      </right>
      <top style="thin">
        <color indexed="64"/>
      </top>
      <bottom style="thin">
        <color indexed="8"/>
      </bottom>
      <diagonal/>
    </border>
    <border>
      <left style="thin">
        <color indexed="8"/>
      </left>
      <right/>
      <top style="thin">
        <color indexed="8"/>
      </top>
      <bottom style="thin">
        <color indexed="64"/>
      </bottom>
      <diagonal/>
    </border>
    <border>
      <left/>
      <right/>
      <top style="thin">
        <color indexed="8"/>
      </top>
      <bottom style="thin">
        <color indexed="64"/>
      </bottom>
      <diagonal/>
    </border>
    <border>
      <left/>
      <right style="thin">
        <color indexed="8"/>
      </right>
      <top style="thin">
        <color indexed="8"/>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bottom/>
      <diagonal/>
    </border>
    <border>
      <left style="medium">
        <color indexed="64"/>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right/>
      <top style="medium">
        <color indexed="64"/>
      </top>
      <bottom/>
      <diagonal/>
    </border>
    <border>
      <left style="thin">
        <color indexed="64"/>
      </left>
      <right/>
      <top/>
      <bottom/>
      <diagonal/>
    </border>
    <border>
      <left style="thin">
        <color indexed="64"/>
      </left>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style="medium">
        <color indexed="64"/>
      </bottom>
      <diagonal/>
    </border>
    <border>
      <left/>
      <right style="thin">
        <color indexed="64"/>
      </right>
      <top style="medium">
        <color indexed="64"/>
      </top>
      <bottom style="medium">
        <color indexed="64"/>
      </bottom>
      <diagonal/>
    </border>
  </borders>
  <cellStyleXfs count="26">
    <xf numFmtId="0" fontId="0" fillId="0" borderId="0"/>
    <xf numFmtId="180" fontId="42" fillId="0" borderId="0" applyFill="0" applyBorder="0" applyAlignment="0" applyProtection="0"/>
    <xf numFmtId="9" fontId="42" fillId="0" borderId="0" applyFont="0" applyFill="0" applyBorder="0" applyAlignment="0" applyProtection="0"/>
    <xf numFmtId="0" fontId="6" fillId="0" borderId="0" applyNumberFormat="0" applyFill="0" applyBorder="0" applyAlignment="0" applyProtection="0"/>
    <xf numFmtId="0" fontId="5" fillId="0" borderId="0"/>
    <xf numFmtId="9" fontId="5" fillId="0" borderId="0" applyFont="0" applyFill="0" applyBorder="0" applyAlignment="0" applyProtection="0"/>
    <xf numFmtId="0" fontId="4" fillId="0" borderId="0"/>
    <xf numFmtId="9" fontId="4" fillId="0" borderId="0" applyFont="0" applyFill="0" applyBorder="0" applyAlignment="0" applyProtection="0"/>
    <xf numFmtId="0" fontId="3" fillId="0" borderId="0"/>
    <xf numFmtId="9" fontId="3" fillId="0" borderId="0" applyFont="0" applyFill="0" applyBorder="0" applyAlignment="0" applyProtection="0"/>
    <xf numFmtId="0" fontId="3" fillId="0" borderId="0"/>
    <xf numFmtId="9" fontId="3" fillId="0" borderId="0" applyFont="0" applyFill="0" applyBorder="0" applyAlignment="0" applyProtection="0"/>
    <xf numFmtId="0" fontId="2" fillId="0" borderId="0"/>
    <xf numFmtId="9" fontId="2"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cellStyleXfs>
  <cellXfs count="560">
    <xf numFmtId="0" fontId="0" fillId="0" borderId="0" xfId="0"/>
    <xf numFmtId="0" fontId="0" fillId="2" borderId="0" xfId="0" applyFill="1" applyProtection="1">
      <protection hidden="1"/>
    </xf>
    <xf numFmtId="0" fontId="0" fillId="3" borderId="0" xfId="0" applyFill="1" applyProtection="1">
      <protection hidden="1"/>
    </xf>
    <xf numFmtId="0" fontId="7" fillId="4" borderId="0" xfId="0" applyFont="1" applyFill="1" applyProtection="1">
      <protection locked="0"/>
    </xf>
    <xf numFmtId="14" fontId="0" fillId="4" borderId="0" xfId="0" applyNumberFormat="1" applyFill="1" applyProtection="1">
      <protection locked="0"/>
    </xf>
    <xf numFmtId="0" fontId="0" fillId="4" borderId="0" xfId="0" applyFill="1" applyProtection="1">
      <protection locked="0"/>
    </xf>
    <xf numFmtId="165" fontId="0" fillId="2" borderId="0" xfId="0" applyNumberFormat="1" applyFill="1" applyProtection="1">
      <protection hidden="1"/>
    </xf>
    <xf numFmtId="0" fontId="0" fillId="3" borderId="0" xfId="0" applyFill="1" applyAlignment="1" applyProtection="1">
      <alignment horizontal="center"/>
      <protection hidden="1"/>
    </xf>
    <xf numFmtId="0" fontId="10" fillId="2" borderId="0" xfId="0" applyFont="1" applyFill="1" applyProtection="1">
      <protection hidden="1"/>
    </xf>
    <xf numFmtId="0" fontId="10" fillId="2" borderId="0" xfId="0" applyFont="1" applyFill="1" applyAlignment="1" applyProtection="1">
      <alignment horizontal="left"/>
      <protection hidden="1"/>
    </xf>
    <xf numFmtId="0" fontId="0" fillId="0" borderId="0" xfId="0" applyProtection="1">
      <protection hidden="1"/>
    </xf>
    <xf numFmtId="168" fontId="13" fillId="3" borderId="0" xfId="0" applyNumberFormat="1" applyFont="1" applyFill="1" applyAlignment="1" applyProtection="1">
      <alignment horizontal="center"/>
      <protection hidden="1"/>
    </xf>
    <xf numFmtId="0" fontId="13" fillId="3" borderId="0" xfId="0" applyFont="1" applyFill="1" applyAlignment="1" applyProtection="1">
      <alignment horizontal="center"/>
      <protection hidden="1"/>
    </xf>
    <xf numFmtId="0" fontId="10" fillId="3" borderId="0" xfId="0" applyFont="1" applyFill="1" applyProtection="1">
      <protection hidden="1"/>
    </xf>
    <xf numFmtId="169" fontId="10" fillId="3" borderId="0" xfId="0" applyNumberFormat="1" applyFont="1" applyFill="1" applyProtection="1">
      <protection hidden="1"/>
    </xf>
    <xf numFmtId="0" fontId="10" fillId="3" borderId="0" xfId="0" applyFont="1" applyFill="1" applyAlignment="1" applyProtection="1">
      <alignment horizontal="left"/>
      <protection hidden="1"/>
    </xf>
    <xf numFmtId="169" fontId="10" fillId="0" borderId="0" xfId="0" applyNumberFormat="1" applyFont="1" applyProtection="1">
      <protection locked="0"/>
    </xf>
    <xf numFmtId="2" fontId="10" fillId="3" borderId="0" xfId="0" applyNumberFormat="1" applyFont="1" applyFill="1" applyProtection="1">
      <protection hidden="1"/>
    </xf>
    <xf numFmtId="0" fontId="10" fillId="0" borderId="0" xfId="0" applyFont="1" applyProtection="1">
      <protection locked="0"/>
    </xf>
    <xf numFmtId="10" fontId="10" fillId="3" borderId="0" xfId="0" applyNumberFormat="1" applyFont="1" applyFill="1" applyProtection="1">
      <protection hidden="1"/>
    </xf>
    <xf numFmtId="10" fontId="10" fillId="0" borderId="0" xfId="0" applyNumberFormat="1" applyFont="1" applyProtection="1">
      <protection locked="0"/>
    </xf>
    <xf numFmtId="10" fontId="10" fillId="2" borderId="0" xfId="0" applyNumberFormat="1" applyFont="1" applyFill="1" applyProtection="1">
      <protection hidden="1"/>
    </xf>
    <xf numFmtId="170" fontId="10" fillId="3" borderId="0" xfId="0" applyNumberFormat="1" applyFont="1" applyFill="1" applyAlignment="1" applyProtection="1">
      <alignment horizontal="left"/>
      <protection hidden="1"/>
    </xf>
    <xf numFmtId="0" fontId="7" fillId="2" borderId="0" xfId="0" applyFont="1" applyFill="1" applyProtection="1">
      <protection hidden="1"/>
    </xf>
    <xf numFmtId="0" fontId="7" fillId="2" borderId="0" xfId="0" applyFont="1" applyFill="1" applyAlignment="1" applyProtection="1">
      <alignment horizontal="center"/>
      <protection hidden="1"/>
    </xf>
    <xf numFmtId="0" fontId="0" fillId="2" borderId="0" xfId="0" applyFill="1"/>
    <xf numFmtId="0" fontId="0" fillId="2" borderId="0" xfId="0" applyFill="1" applyAlignment="1" applyProtection="1">
      <alignment horizontal="center"/>
      <protection hidden="1"/>
    </xf>
    <xf numFmtId="0" fontId="7" fillId="2" borderId="0" xfId="0" applyFont="1" applyFill="1" applyAlignment="1" applyProtection="1">
      <alignment horizontal="left"/>
      <protection hidden="1"/>
    </xf>
    <xf numFmtId="0" fontId="7" fillId="3" borderId="0" xfId="0" applyFont="1" applyFill="1" applyAlignment="1" applyProtection="1">
      <alignment horizontal="right"/>
      <protection hidden="1"/>
    </xf>
    <xf numFmtId="168" fontId="7" fillId="3" borderId="0" xfId="0" applyNumberFormat="1" applyFont="1" applyFill="1" applyAlignment="1" applyProtection="1">
      <alignment horizontal="center"/>
      <protection hidden="1"/>
    </xf>
    <xf numFmtId="0" fontId="0" fillId="3" borderId="0" xfId="0" applyFill="1" applyAlignment="1" applyProtection="1">
      <alignment horizontal="left"/>
      <protection hidden="1"/>
    </xf>
    <xf numFmtId="169" fontId="0" fillId="3" borderId="0" xfId="0" applyNumberFormat="1" applyFill="1" applyAlignment="1" applyProtection="1">
      <alignment horizontal="center"/>
      <protection hidden="1"/>
    </xf>
    <xf numFmtId="0" fontId="0" fillId="2" borderId="0" xfId="0" applyFill="1" applyAlignment="1" applyProtection="1">
      <alignment horizontal="left"/>
      <protection hidden="1"/>
    </xf>
    <xf numFmtId="0" fontId="15" fillId="3" borderId="0" xfId="0" applyFont="1" applyFill="1" applyAlignment="1" applyProtection="1">
      <alignment horizontal="center"/>
      <protection hidden="1"/>
    </xf>
    <xf numFmtId="0" fontId="7" fillId="2" borderId="0" xfId="0" applyFont="1" applyFill="1" applyAlignment="1" applyProtection="1">
      <alignment horizontal="right"/>
      <protection hidden="1"/>
    </xf>
    <xf numFmtId="0" fontId="0" fillId="2" borderId="0" xfId="0" applyFill="1" applyAlignment="1" applyProtection="1">
      <alignment horizontal="center" wrapText="1"/>
      <protection hidden="1"/>
    </xf>
    <xf numFmtId="0" fontId="0" fillId="2" borderId="0" xfId="0" applyFill="1" applyAlignment="1" applyProtection="1">
      <alignment vertical="top"/>
      <protection hidden="1"/>
    </xf>
    <xf numFmtId="0" fontId="7" fillId="2" borderId="0" xfId="0" applyFont="1" applyFill="1" applyAlignment="1" applyProtection="1">
      <alignment horizontal="center" vertical="top" wrapText="1"/>
      <protection hidden="1"/>
    </xf>
    <xf numFmtId="0" fontId="0" fillId="0" borderId="0" xfId="0" applyAlignment="1" applyProtection="1">
      <alignment horizontal="center" wrapText="1"/>
      <protection hidden="1"/>
    </xf>
    <xf numFmtId="0" fontId="16" fillId="3" borderId="1" xfId="0" applyFont="1" applyFill="1" applyBorder="1" applyAlignment="1" applyProtection="1">
      <alignment horizontal="left"/>
      <protection hidden="1"/>
    </xf>
    <xf numFmtId="10" fontId="10" fillId="3" borderId="1" xfId="0" applyNumberFormat="1" applyFont="1" applyFill="1" applyBorder="1" applyAlignment="1" applyProtection="1">
      <alignment horizontal="center"/>
      <protection hidden="1"/>
    </xf>
    <xf numFmtId="169" fontId="16" fillId="3" borderId="1" xfId="0" applyNumberFormat="1" applyFont="1" applyFill="1" applyBorder="1" applyAlignment="1" applyProtection="1">
      <alignment horizontal="center"/>
      <protection hidden="1"/>
    </xf>
    <xf numFmtId="169" fontId="10" fillId="3" borderId="1" xfId="0" applyNumberFormat="1" applyFont="1" applyFill="1" applyBorder="1" applyAlignment="1" applyProtection="1">
      <alignment horizontal="center"/>
      <protection hidden="1"/>
    </xf>
    <xf numFmtId="0" fontId="10" fillId="3" borderId="1" xfId="0" applyFont="1" applyFill="1" applyBorder="1" applyAlignment="1" applyProtection="1">
      <alignment horizontal="center"/>
      <protection hidden="1"/>
    </xf>
    <xf numFmtId="2" fontId="10" fillId="3" borderId="1" xfId="0" applyNumberFormat="1" applyFont="1" applyFill="1" applyBorder="1" applyAlignment="1" applyProtection="1">
      <alignment horizontal="center"/>
      <protection hidden="1"/>
    </xf>
    <xf numFmtId="0" fontId="16" fillId="3" borderId="2" xfId="0" applyFont="1" applyFill="1" applyBorder="1" applyAlignment="1" applyProtection="1">
      <alignment horizontal="left"/>
      <protection hidden="1"/>
    </xf>
    <xf numFmtId="10" fontId="10" fillId="3" borderId="2" xfId="0" applyNumberFormat="1" applyFont="1" applyFill="1" applyBorder="1" applyAlignment="1" applyProtection="1">
      <alignment horizontal="center"/>
      <protection hidden="1"/>
    </xf>
    <xf numFmtId="169" fontId="10" fillId="3" borderId="2" xfId="0" applyNumberFormat="1" applyFont="1" applyFill="1" applyBorder="1" applyAlignment="1" applyProtection="1">
      <alignment horizontal="center"/>
      <protection hidden="1"/>
    </xf>
    <xf numFmtId="0" fontId="16" fillId="3" borderId="3" xfId="0" applyFont="1" applyFill="1" applyBorder="1" applyAlignment="1" applyProtection="1">
      <alignment horizontal="left"/>
      <protection hidden="1"/>
    </xf>
    <xf numFmtId="10" fontId="10" fillId="3" borderId="3" xfId="0" applyNumberFormat="1" applyFont="1" applyFill="1" applyBorder="1" applyAlignment="1" applyProtection="1">
      <alignment horizontal="center"/>
      <protection hidden="1"/>
    </xf>
    <xf numFmtId="169" fontId="10" fillId="3" borderId="3" xfId="0" applyNumberFormat="1" applyFont="1" applyFill="1" applyBorder="1" applyAlignment="1" applyProtection="1">
      <alignment horizontal="center"/>
      <protection hidden="1"/>
    </xf>
    <xf numFmtId="169" fontId="0" fillId="3" borderId="1" xfId="0" applyNumberFormat="1" applyFill="1" applyBorder="1" applyAlignment="1" applyProtection="1">
      <alignment horizontal="center"/>
      <protection hidden="1"/>
    </xf>
    <xf numFmtId="2" fontId="0" fillId="3" borderId="1" xfId="0" applyNumberFormat="1" applyFill="1" applyBorder="1" applyAlignment="1" applyProtection="1">
      <alignment horizontal="center"/>
      <protection hidden="1"/>
    </xf>
    <xf numFmtId="0" fontId="16" fillId="3" borderId="0" xfId="0" applyFont="1" applyFill="1" applyProtection="1">
      <protection hidden="1"/>
    </xf>
    <xf numFmtId="0" fontId="7" fillId="3" borderId="0" xfId="0" applyFont="1" applyFill="1" applyProtection="1">
      <protection hidden="1"/>
    </xf>
    <xf numFmtId="0" fontId="16" fillId="3" borderId="0" xfId="0" applyFont="1" applyFill="1" applyAlignment="1" applyProtection="1">
      <alignment horizontal="left"/>
      <protection hidden="1"/>
    </xf>
    <xf numFmtId="169" fontId="10" fillId="3" borderId="0" xfId="0" applyNumberFormat="1" applyFont="1" applyFill="1" applyAlignment="1" applyProtection="1">
      <alignment horizontal="center"/>
      <protection hidden="1"/>
    </xf>
    <xf numFmtId="0" fontId="17" fillId="2" borderId="0" xfId="0" applyFont="1" applyFill="1" applyAlignment="1" applyProtection="1">
      <alignment vertical="center"/>
      <protection hidden="1"/>
    </xf>
    <xf numFmtId="0" fontId="10" fillId="2" borderId="3" xfId="0" applyFont="1" applyFill="1" applyBorder="1" applyProtection="1">
      <protection hidden="1"/>
    </xf>
    <xf numFmtId="169" fontId="10" fillId="3" borderId="3" xfId="0" applyNumberFormat="1" applyFont="1" applyFill="1" applyBorder="1" applyProtection="1">
      <protection hidden="1"/>
    </xf>
    <xf numFmtId="2" fontId="10" fillId="3" borderId="3" xfId="0" applyNumberFormat="1" applyFont="1" applyFill="1" applyBorder="1" applyProtection="1">
      <protection hidden="1"/>
    </xf>
    <xf numFmtId="0" fontId="0" fillId="2" borderId="0" xfId="0" applyFill="1" applyAlignment="1" applyProtection="1">
      <alignment wrapText="1"/>
      <protection hidden="1"/>
    </xf>
    <xf numFmtId="0" fontId="0" fillId="3" borderId="0" xfId="0" applyFill="1" applyAlignment="1" applyProtection="1">
      <alignment horizontal="center" wrapText="1"/>
      <protection hidden="1"/>
    </xf>
    <xf numFmtId="10" fontId="10" fillId="3" borderId="0" xfId="0" applyNumberFormat="1" applyFont="1" applyFill="1" applyAlignment="1" applyProtection="1">
      <alignment horizontal="center" wrapText="1"/>
      <protection hidden="1"/>
    </xf>
    <xf numFmtId="169" fontId="10" fillId="3" borderId="0" xfId="0" applyNumberFormat="1" applyFont="1" applyFill="1" applyAlignment="1" applyProtection="1">
      <alignment horizontal="center" wrapText="1"/>
      <protection hidden="1"/>
    </xf>
    <xf numFmtId="10" fontId="10" fillId="3" borderId="0" xfId="0" applyNumberFormat="1" applyFont="1" applyFill="1" applyAlignment="1" applyProtection="1">
      <alignment horizontal="center"/>
      <protection hidden="1"/>
    </xf>
    <xf numFmtId="0" fontId="0" fillId="3" borderId="0" xfId="0" applyFill="1" applyAlignment="1" applyProtection="1">
      <alignment wrapText="1"/>
      <protection hidden="1"/>
    </xf>
    <xf numFmtId="0" fontId="10" fillId="3" borderId="0" xfId="0" applyFont="1" applyFill="1" applyAlignment="1" applyProtection="1">
      <alignment wrapText="1"/>
      <protection hidden="1"/>
    </xf>
    <xf numFmtId="169" fontId="10" fillId="3" borderId="0" xfId="0" applyNumberFormat="1" applyFont="1" applyFill="1" applyAlignment="1" applyProtection="1">
      <alignment wrapText="1"/>
      <protection hidden="1"/>
    </xf>
    <xf numFmtId="0" fontId="0" fillId="0" borderId="0" xfId="0" applyAlignment="1" applyProtection="1">
      <alignment wrapText="1"/>
      <protection hidden="1"/>
    </xf>
    <xf numFmtId="169" fontId="0" fillId="2" borderId="0" xfId="0" applyNumberFormat="1" applyFill="1" applyAlignment="1" applyProtection="1">
      <alignment horizontal="center"/>
      <protection hidden="1"/>
    </xf>
    <xf numFmtId="0" fontId="7" fillId="0" borderId="0" xfId="0" applyFont="1" applyProtection="1">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169" fontId="0" fillId="0" borderId="0" xfId="0" applyNumberFormat="1" applyAlignment="1" applyProtection="1">
      <alignment horizontal="center"/>
      <protection hidden="1"/>
    </xf>
    <xf numFmtId="0" fontId="10" fillId="2" borderId="0" xfId="0" applyFont="1" applyFill="1" applyAlignment="1" applyProtection="1">
      <alignment horizontal="center"/>
      <protection hidden="1"/>
    </xf>
    <xf numFmtId="0" fontId="7" fillId="3" borderId="0" xfId="0" applyFont="1" applyFill="1" applyAlignment="1" applyProtection="1">
      <alignment horizontal="left"/>
      <protection hidden="1"/>
    </xf>
    <xf numFmtId="171" fontId="0" fillId="3" borderId="0" xfId="0" applyNumberFormat="1" applyFill="1" applyAlignment="1" applyProtection="1">
      <alignment horizontal="center"/>
      <protection hidden="1"/>
    </xf>
    <xf numFmtId="0" fontId="16" fillId="2" borderId="0" xfId="0" applyFont="1" applyFill="1" applyAlignment="1" applyProtection="1">
      <alignment horizontal="center"/>
      <protection hidden="1"/>
    </xf>
    <xf numFmtId="0" fontId="10" fillId="3" borderId="0" xfId="0" applyFont="1" applyFill="1" applyAlignment="1" applyProtection="1">
      <alignment horizontal="right"/>
      <protection hidden="1"/>
    </xf>
    <xf numFmtId="0" fontId="18" fillId="3" borderId="0" xfId="0" applyFont="1" applyFill="1" applyAlignment="1" applyProtection="1">
      <alignment horizontal="center"/>
      <protection hidden="1"/>
    </xf>
    <xf numFmtId="166" fontId="18" fillId="3" borderId="0" xfId="0" applyNumberFormat="1" applyFont="1" applyFill="1" applyAlignment="1" applyProtection="1">
      <alignment horizontal="center"/>
      <protection hidden="1"/>
    </xf>
    <xf numFmtId="169" fontId="18" fillId="3" borderId="0" xfId="0" applyNumberFormat="1" applyFont="1" applyFill="1" applyAlignment="1" applyProtection="1">
      <alignment horizontal="center"/>
      <protection hidden="1"/>
    </xf>
    <xf numFmtId="0" fontId="18" fillId="2" borderId="0" xfId="0" applyFont="1" applyFill="1" applyAlignment="1" applyProtection="1">
      <alignment horizontal="center"/>
      <protection hidden="1"/>
    </xf>
    <xf numFmtId="169" fontId="18" fillId="2" borderId="0" xfId="0" applyNumberFormat="1" applyFont="1" applyFill="1" applyAlignment="1" applyProtection="1">
      <alignment horizontal="center"/>
      <protection hidden="1"/>
    </xf>
    <xf numFmtId="169" fontId="18" fillId="5" borderId="0" xfId="0" applyNumberFormat="1" applyFont="1" applyFill="1" applyAlignment="1" applyProtection="1">
      <alignment horizontal="center"/>
      <protection hidden="1"/>
    </xf>
    <xf numFmtId="0" fontId="10" fillId="3" borderId="0" xfId="0" applyFont="1" applyFill="1" applyAlignment="1" applyProtection="1">
      <alignment horizontal="center"/>
      <protection hidden="1"/>
    </xf>
    <xf numFmtId="172" fontId="10" fillId="3" borderId="0" xfId="0" applyNumberFormat="1" applyFont="1" applyFill="1" applyAlignment="1" applyProtection="1">
      <alignment horizontal="center"/>
      <protection hidden="1"/>
    </xf>
    <xf numFmtId="172" fontId="10" fillId="2" borderId="0" xfId="0" applyNumberFormat="1" applyFont="1" applyFill="1" applyAlignment="1" applyProtection="1">
      <alignment horizontal="center"/>
      <protection hidden="1"/>
    </xf>
    <xf numFmtId="166" fontId="10" fillId="3" borderId="0" xfId="0" applyNumberFormat="1" applyFont="1" applyFill="1" applyAlignment="1" applyProtection="1">
      <alignment horizontal="center"/>
      <protection hidden="1"/>
    </xf>
    <xf numFmtId="2" fontId="10" fillId="3" borderId="0" xfId="0" applyNumberFormat="1" applyFont="1" applyFill="1" applyAlignment="1" applyProtection="1">
      <alignment horizontal="center"/>
      <protection hidden="1"/>
    </xf>
    <xf numFmtId="173" fontId="10" fillId="3" borderId="0" xfId="0" applyNumberFormat="1" applyFont="1" applyFill="1" applyAlignment="1" applyProtection="1">
      <alignment horizontal="center"/>
      <protection hidden="1"/>
    </xf>
    <xf numFmtId="10" fontId="19" fillId="3" borderId="0" xfId="0" applyNumberFormat="1" applyFont="1" applyFill="1" applyAlignment="1" applyProtection="1">
      <alignment horizontal="center"/>
      <protection hidden="1"/>
    </xf>
    <xf numFmtId="0" fontId="0" fillId="6" borderId="4" xfId="0" applyFill="1" applyBorder="1" applyAlignment="1" applyProtection="1">
      <alignment horizontal="center"/>
      <protection hidden="1"/>
    </xf>
    <xf numFmtId="0" fontId="0" fillId="6" borderId="5" xfId="0" applyFill="1" applyBorder="1" applyAlignment="1" applyProtection="1">
      <alignment horizontal="left" vertical="center"/>
      <protection hidden="1"/>
    </xf>
    <xf numFmtId="0" fontId="22" fillId="6" borderId="6" xfId="0" applyFont="1" applyFill="1" applyBorder="1" applyAlignment="1" applyProtection="1">
      <alignment horizontal="center"/>
      <protection hidden="1"/>
    </xf>
    <xf numFmtId="0" fontId="22" fillId="6" borderId="7" xfId="0" applyFont="1" applyFill="1" applyBorder="1" applyAlignment="1" applyProtection="1">
      <alignment horizontal="center"/>
      <protection hidden="1"/>
    </xf>
    <xf numFmtId="0" fontId="22" fillId="6" borderId="5" xfId="0" applyFont="1" applyFill="1" applyBorder="1" applyAlignment="1" applyProtection="1">
      <alignment horizontal="center"/>
      <protection hidden="1"/>
    </xf>
    <xf numFmtId="0" fontId="22" fillId="6" borderId="4" xfId="0" applyFont="1" applyFill="1" applyBorder="1" applyAlignment="1" applyProtection="1">
      <alignment horizontal="center"/>
      <protection hidden="1"/>
    </xf>
    <xf numFmtId="0" fontId="22" fillId="6" borderId="8" xfId="0" applyFont="1" applyFill="1" applyBorder="1" applyAlignment="1" applyProtection="1">
      <alignment horizontal="center"/>
      <protection hidden="1"/>
    </xf>
    <xf numFmtId="0" fontId="22" fillId="6" borderId="9" xfId="0" applyFont="1" applyFill="1" applyBorder="1" applyProtection="1">
      <protection hidden="1"/>
    </xf>
    <xf numFmtId="174" fontId="22" fillId="6" borderId="0" xfId="0" applyNumberFormat="1" applyFont="1" applyFill="1" applyAlignment="1" applyProtection="1">
      <alignment horizontal="left" vertical="center"/>
      <protection hidden="1"/>
    </xf>
    <xf numFmtId="10" fontId="23" fillId="0" borderId="0" xfId="0" applyNumberFormat="1" applyFont="1" applyProtection="1">
      <protection hidden="1"/>
    </xf>
    <xf numFmtId="169" fontId="0" fillId="6" borderId="11" xfId="0" applyNumberFormat="1" applyFill="1" applyBorder="1" applyProtection="1">
      <protection hidden="1"/>
    </xf>
    <xf numFmtId="0" fontId="0" fillId="0" borderId="12" xfId="0" applyBorder="1" applyProtection="1">
      <protection locked="0"/>
    </xf>
    <xf numFmtId="0" fontId="0" fillId="0" borderId="13" xfId="0" applyBorder="1" applyProtection="1">
      <protection locked="0"/>
    </xf>
    <xf numFmtId="0" fontId="0" fillId="0" borderId="14" xfId="0" applyBorder="1" applyProtection="1">
      <protection locked="0"/>
    </xf>
    <xf numFmtId="169" fontId="0" fillId="6" borderId="15" xfId="0" applyNumberFormat="1" applyFill="1" applyBorder="1" applyProtection="1">
      <protection hidden="1"/>
    </xf>
    <xf numFmtId="0" fontId="0" fillId="0" borderId="9" xfId="0" applyBorder="1" applyAlignment="1" applyProtection="1">
      <alignment horizontal="center" vertical="center"/>
      <protection locked="0"/>
    </xf>
    <xf numFmtId="0" fontId="0" fillId="0" borderId="0" xfId="0" applyAlignment="1" applyProtection="1">
      <alignment horizontal="center" vertical="center"/>
      <protection locked="0"/>
    </xf>
    <xf numFmtId="169" fontId="0" fillId="0" borderId="10" xfId="0" applyNumberFormat="1" applyBorder="1" applyAlignment="1" applyProtection="1">
      <alignment horizontal="center" vertical="center"/>
      <protection locked="0"/>
    </xf>
    <xf numFmtId="0" fontId="22" fillId="6" borderId="16" xfId="0" applyFont="1" applyFill="1" applyBorder="1" applyProtection="1">
      <protection hidden="1"/>
    </xf>
    <xf numFmtId="174" fontId="22" fillId="6" borderId="17" xfId="0" applyNumberFormat="1" applyFont="1" applyFill="1" applyBorder="1" applyAlignment="1" applyProtection="1">
      <alignment horizontal="left" vertical="center"/>
      <protection hidden="1"/>
    </xf>
    <xf numFmtId="10" fontId="23" fillId="0" borderId="17" xfId="0" applyNumberFormat="1" applyFont="1" applyBorder="1" applyProtection="1">
      <protection hidden="1"/>
    </xf>
    <xf numFmtId="169" fontId="22" fillId="6" borderId="17" xfId="0" applyNumberFormat="1" applyFont="1" applyFill="1" applyBorder="1" applyAlignment="1" applyProtection="1">
      <alignment horizontal="center" vertical="center"/>
      <protection hidden="1"/>
    </xf>
    <xf numFmtId="169" fontId="22" fillId="6" borderId="15" xfId="0" applyNumberFormat="1" applyFont="1" applyFill="1" applyBorder="1" applyProtection="1">
      <protection hidden="1"/>
    </xf>
    <xf numFmtId="0" fontId="0" fillId="6" borderId="16" xfId="0" applyFill="1" applyBorder="1" applyAlignment="1" applyProtection="1">
      <alignment horizontal="center" vertical="center"/>
      <protection hidden="1"/>
    </xf>
    <xf numFmtId="0" fontId="0" fillId="6" borderId="17" xfId="0" applyFill="1" applyBorder="1" applyAlignment="1" applyProtection="1">
      <alignment horizontal="center" vertical="center"/>
      <protection hidden="1"/>
    </xf>
    <xf numFmtId="169" fontId="0" fillId="6" borderId="18" xfId="0" applyNumberFormat="1" applyFill="1" applyBorder="1" applyAlignment="1" applyProtection="1">
      <alignment horizontal="center" vertical="center"/>
      <protection hidden="1"/>
    </xf>
    <xf numFmtId="174" fontId="22" fillId="6" borderId="14" xfId="0" applyNumberFormat="1" applyFont="1" applyFill="1" applyBorder="1" applyAlignment="1" applyProtection="1">
      <alignment horizontal="left" vertical="center"/>
      <protection hidden="1"/>
    </xf>
    <xf numFmtId="0" fontId="0" fillId="6" borderId="19" xfId="0" applyFill="1" applyBorder="1" applyProtection="1">
      <protection hidden="1"/>
    </xf>
    <xf numFmtId="0" fontId="0" fillId="6" borderId="20" xfId="0" applyFill="1" applyBorder="1" applyProtection="1">
      <protection hidden="1"/>
    </xf>
    <xf numFmtId="0" fontId="0" fillId="6" borderId="21" xfId="0" applyFill="1" applyBorder="1" applyProtection="1">
      <protection hidden="1"/>
    </xf>
    <xf numFmtId="0" fontId="0" fillId="6" borderId="22" xfId="0" applyFill="1" applyBorder="1" applyProtection="1">
      <protection hidden="1"/>
    </xf>
    <xf numFmtId="0" fontId="0" fillId="6" borderId="23" xfId="0" applyFill="1" applyBorder="1" applyProtection="1">
      <protection hidden="1"/>
    </xf>
    <xf numFmtId="0" fontId="0" fillId="6" borderId="24" xfId="0" applyFill="1" applyBorder="1" applyProtection="1">
      <protection hidden="1"/>
    </xf>
    <xf numFmtId="169" fontId="0" fillId="0" borderId="0" xfId="0" applyNumberFormat="1" applyAlignment="1" applyProtection="1">
      <alignment horizontal="right" vertical="center"/>
      <protection locked="0"/>
    </xf>
    <xf numFmtId="169" fontId="13" fillId="6" borderId="25" xfId="0" applyNumberFormat="1" applyFont="1" applyFill="1" applyBorder="1" applyProtection="1">
      <protection hidden="1"/>
    </xf>
    <xf numFmtId="49" fontId="0" fillId="0" borderId="0" xfId="0" applyNumberFormat="1" applyProtection="1">
      <protection hidden="1"/>
    </xf>
    <xf numFmtId="174" fontId="0" fillId="0" borderId="0" xfId="0" applyNumberFormat="1" applyAlignment="1" applyProtection="1">
      <alignment horizontal="left" vertical="center"/>
      <protection hidden="1"/>
    </xf>
    <xf numFmtId="2" fontId="0" fillId="0" borderId="0" xfId="0" applyNumberFormat="1" applyProtection="1">
      <protection hidden="1"/>
    </xf>
    <xf numFmtId="0" fontId="0" fillId="0" borderId="0" xfId="0" applyAlignment="1" applyProtection="1">
      <alignment horizontal="center" vertical="center"/>
      <protection hidden="1"/>
    </xf>
    <xf numFmtId="0" fontId="0" fillId="0" borderId="0" xfId="0" applyAlignment="1" applyProtection="1">
      <alignment horizontal="left" vertical="center"/>
      <protection hidden="1"/>
    </xf>
    <xf numFmtId="0" fontId="25" fillId="0" borderId="26" xfId="0" applyFont="1" applyBorder="1" applyAlignment="1" applyProtection="1">
      <alignment horizontal="center" wrapText="1"/>
      <protection hidden="1"/>
    </xf>
    <xf numFmtId="0" fontId="16" fillId="7" borderId="27" xfId="0" applyFont="1" applyFill="1" applyBorder="1" applyAlignment="1" applyProtection="1">
      <alignment horizontal="center"/>
      <protection hidden="1"/>
    </xf>
    <xf numFmtId="172" fontId="16" fillId="7" borderId="28" xfId="0" applyNumberFormat="1" applyFont="1" applyFill="1" applyBorder="1" applyAlignment="1" applyProtection="1">
      <alignment horizontal="center"/>
      <protection hidden="1"/>
    </xf>
    <xf numFmtId="169" fontId="10" fillId="7" borderId="26" xfId="0" applyNumberFormat="1" applyFont="1" applyFill="1" applyBorder="1" applyAlignment="1" applyProtection="1">
      <alignment horizontal="center"/>
      <protection hidden="1"/>
    </xf>
    <xf numFmtId="169" fontId="10" fillId="7" borderId="29" xfId="0" applyNumberFormat="1" applyFont="1" applyFill="1" applyBorder="1" applyAlignment="1" applyProtection="1">
      <alignment horizontal="center"/>
      <protection hidden="1"/>
    </xf>
    <xf numFmtId="0" fontId="16" fillId="7" borderId="30" xfId="0" applyFont="1" applyFill="1" applyBorder="1" applyAlignment="1" applyProtection="1">
      <alignment horizontal="center"/>
      <protection hidden="1"/>
    </xf>
    <xf numFmtId="172" fontId="16" fillId="7" borderId="31" xfId="0" applyNumberFormat="1" applyFont="1" applyFill="1" applyBorder="1" applyAlignment="1" applyProtection="1">
      <alignment horizontal="center"/>
      <protection hidden="1"/>
    </xf>
    <xf numFmtId="172" fontId="10" fillId="7" borderId="31" xfId="0" applyNumberFormat="1" applyFont="1" applyFill="1" applyBorder="1" applyAlignment="1" applyProtection="1">
      <alignment horizontal="center" wrapText="1"/>
      <protection hidden="1"/>
    </xf>
    <xf numFmtId="0" fontId="16" fillId="0" borderId="0" xfId="0" applyFont="1" applyAlignment="1" applyProtection="1">
      <alignment horizontal="center"/>
      <protection hidden="1"/>
    </xf>
    <xf numFmtId="169" fontId="0" fillId="2" borderId="0" xfId="0" applyNumberFormat="1" applyFill="1" applyProtection="1">
      <protection hidden="1"/>
    </xf>
    <xf numFmtId="2" fontId="0" fillId="2" borderId="0" xfId="0" applyNumberFormat="1" applyFill="1" applyProtection="1">
      <protection hidden="1"/>
    </xf>
    <xf numFmtId="168" fontId="0" fillId="3" borderId="0" xfId="0" applyNumberFormat="1" applyFill="1" applyProtection="1">
      <protection hidden="1"/>
    </xf>
    <xf numFmtId="168" fontId="0" fillId="2" borderId="0" xfId="0" applyNumberFormat="1" applyFill="1" applyProtection="1">
      <protection hidden="1"/>
    </xf>
    <xf numFmtId="0" fontId="0" fillId="7" borderId="0" xfId="0" applyFill="1" applyAlignment="1" applyProtection="1">
      <alignment horizontal="center"/>
      <protection hidden="1"/>
    </xf>
    <xf numFmtId="0" fontId="0" fillId="7" borderId="32" xfId="0" applyFill="1" applyBorder="1" applyAlignment="1" applyProtection="1">
      <alignment horizontal="center"/>
      <protection hidden="1"/>
    </xf>
    <xf numFmtId="0" fontId="10" fillId="2" borderId="0" xfId="0" applyFont="1" applyFill="1"/>
    <xf numFmtId="168" fontId="10" fillId="3" borderId="0" xfId="0" applyNumberFormat="1" applyFont="1" applyFill="1"/>
    <xf numFmtId="0" fontId="10" fillId="3" borderId="0" xfId="0" applyFont="1" applyFill="1" applyAlignment="1">
      <alignment horizontal="center"/>
    </xf>
    <xf numFmtId="49" fontId="10" fillId="3" borderId="0" xfId="0" applyNumberFormat="1" applyFont="1" applyFill="1" applyAlignment="1">
      <alignment horizontal="center"/>
    </xf>
    <xf numFmtId="169" fontId="10" fillId="3" borderId="0" xfId="0" applyNumberFormat="1" applyFont="1" applyFill="1"/>
    <xf numFmtId="0" fontId="10" fillId="3" borderId="0" xfId="0" applyFont="1" applyFill="1"/>
    <xf numFmtId="0" fontId="0" fillId="3" borderId="0" xfId="0" applyFill="1"/>
    <xf numFmtId="168" fontId="0" fillId="3" borderId="0" xfId="0" applyNumberFormat="1" applyFill="1"/>
    <xf numFmtId="169" fontId="0" fillId="2" borderId="0" xfId="0" applyNumberFormat="1" applyFill="1"/>
    <xf numFmtId="180" fontId="10" fillId="3" borderId="0" xfId="1" applyFont="1" applyFill="1"/>
    <xf numFmtId="169" fontId="7" fillId="2" borderId="0" xfId="0" applyNumberFormat="1" applyFont="1" applyFill="1"/>
    <xf numFmtId="0" fontId="7" fillId="2" borderId="0" xfId="0" applyFont="1" applyFill="1"/>
    <xf numFmtId="168" fontId="0" fillId="2" borderId="0" xfId="0" applyNumberFormat="1" applyFill="1"/>
    <xf numFmtId="169" fontId="0" fillId="0" borderId="0" xfId="0" applyNumberFormat="1" applyProtection="1">
      <protection hidden="1"/>
    </xf>
    <xf numFmtId="169" fontId="0" fillId="3" borderId="0" xfId="0" applyNumberFormat="1" applyFill="1"/>
    <xf numFmtId="2" fontId="10" fillId="3" borderId="0" xfId="0" applyNumberFormat="1" applyFont="1" applyFill="1"/>
    <xf numFmtId="0" fontId="9" fillId="0" borderId="0" xfId="0" applyFont="1"/>
    <xf numFmtId="0" fontId="0" fillId="7" borderId="0" xfId="0" applyFill="1"/>
    <xf numFmtId="0" fontId="0" fillId="7" borderId="0" xfId="0" applyFill="1" applyProtection="1">
      <protection hidden="1"/>
    </xf>
    <xf numFmtId="0" fontId="27" fillId="8" borderId="34" xfId="0" applyFont="1" applyFill="1" applyBorder="1" applyAlignment="1">
      <alignment horizontal="left" vertical="center" wrapText="1" indent="4"/>
    </xf>
    <xf numFmtId="0" fontId="28" fillId="7" borderId="0" xfId="0" applyFont="1" applyFill="1" applyProtection="1">
      <protection hidden="1"/>
    </xf>
    <xf numFmtId="174" fontId="30" fillId="8" borderId="0" xfId="0" applyNumberFormat="1" applyFont="1" applyFill="1" applyAlignment="1">
      <alignment horizontal="center" vertical="center" wrapText="1"/>
    </xf>
    <xf numFmtId="0" fontId="31" fillId="0" borderId="0" xfId="0" applyFont="1" applyAlignment="1" applyProtection="1">
      <alignment horizontal="center" vertical="center" wrapText="1"/>
      <protection hidden="1"/>
    </xf>
    <xf numFmtId="0" fontId="31" fillId="0" borderId="35" xfId="0" applyFont="1" applyBorder="1" applyAlignment="1" applyProtection="1">
      <alignment horizontal="center" vertical="center" wrapText="1"/>
      <protection hidden="1"/>
    </xf>
    <xf numFmtId="0" fontId="30" fillId="8" borderId="36" xfId="0" applyFont="1" applyFill="1" applyBorder="1" applyAlignment="1">
      <alignment horizontal="left" vertical="center" indent="1"/>
    </xf>
    <xf numFmtId="0" fontId="30" fillId="8" borderId="37" xfId="0" applyFont="1" applyFill="1" applyBorder="1" applyAlignment="1">
      <alignment horizontal="center" vertical="center"/>
    </xf>
    <xf numFmtId="0" fontId="30" fillId="8" borderId="38" xfId="0" applyFont="1" applyFill="1" applyBorder="1" applyAlignment="1">
      <alignment horizontal="center" vertical="center"/>
    </xf>
    <xf numFmtId="169" fontId="32" fillId="0" borderId="35" xfId="0" applyNumberFormat="1" applyFont="1" applyBorder="1" applyAlignment="1" applyProtection="1">
      <alignment horizontal="center" vertical="center" wrapText="1"/>
      <protection hidden="1"/>
    </xf>
    <xf numFmtId="0" fontId="30" fillId="8" borderId="39" xfId="0" applyFont="1" applyFill="1" applyBorder="1" applyAlignment="1">
      <alignment horizontal="left" vertical="center" wrapText="1" indent="1"/>
    </xf>
    <xf numFmtId="181" fontId="33" fillId="0" borderId="0" xfId="0" applyNumberFormat="1" applyFont="1" applyAlignment="1">
      <alignment horizontal="center" vertical="center"/>
    </xf>
    <xf numFmtId="0" fontId="30" fillId="8" borderId="0" xfId="0" applyFont="1" applyFill="1" applyAlignment="1">
      <alignment horizontal="left" vertical="center" wrapText="1" indent="1"/>
    </xf>
    <xf numFmtId="0" fontId="34" fillId="0" borderId="40" xfId="0" applyFont="1" applyBorder="1" applyAlignment="1">
      <alignment horizontal="left" indent="1"/>
    </xf>
    <xf numFmtId="0" fontId="35" fillId="0" borderId="35" xfId="0" applyFont="1" applyBorder="1" applyAlignment="1" applyProtection="1">
      <alignment horizontal="center" vertical="center"/>
      <protection hidden="1"/>
    </xf>
    <xf numFmtId="0" fontId="30" fillId="8" borderId="41" xfId="0" applyFont="1" applyFill="1" applyBorder="1" applyAlignment="1">
      <alignment horizontal="left" vertical="center" wrapText="1" indent="1"/>
    </xf>
    <xf numFmtId="181" fontId="36" fillId="0" borderId="42" xfId="0" applyNumberFormat="1" applyFont="1" applyBorder="1" applyAlignment="1">
      <alignment horizontal="center"/>
    </xf>
    <xf numFmtId="0" fontId="30" fillId="8" borderId="43" xfId="0" applyFont="1" applyFill="1" applyBorder="1" applyAlignment="1">
      <alignment horizontal="left" vertical="center" wrapText="1" indent="1"/>
    </xf>
    <xf numFmtId="0" fontId="34" fillId="0" borderId="44" xfId="0" applyFont="1" applyBorder="1" applyAlignment="1">
      <alignment horizontal="left" indent="1"/>
    </xf>
    <xf numFmtId="181" fontId="37" fillId="0" borderId="42" xfId="0" applyNumberFormat="1" applyFont="1" applyBorder="1" applyAlignment="1">
      <alignment horizontal="center" vertical="center"/>
    </xf>
    <xf numFmtId="0" fontId="30" fillId="8" borderId="45" xfId="0" applyFont="1" applyFill="1" applyBorder="1" applyAlignment="1">
      <alignment horizontal="left" vertical="center" wrapText="1" indent="1"/>
    </xf>
    <xf numFmtId="0" fontId="37" fillId="0" borderId="46" xfId="0" applyFont="1" applyBorder="1" applyAlignment="1">
      <alignment horizontal="center" vertical="center"/>
    </xf>
    <xf numFmtId="0" fontId="30" fillId="8" borderId="47" xfId="0" applyFont="1" applyFill="1" applyBorder="1" applyAlignment="1">
      <alignment horizontal="left" vertical="center" wrapText="1" indent="1"/>
    </xf>
    <xf numFmtId="0" fontId="38" fillId="0" borderId="48" xfId="0" applyFont="1" applyBorder="1" applyAlignment="1">
      <alignment horizontal="center" vertical="center"/>
    </xf>
    <xf numFmtId="0" fontId="0" fillId="3" borderId="0" xfId="0" applyFill="1" applyAlignment="1">
      <alignment horizontal="left"/>
    </xf>
    <xf numFmtId="2" fontId="0" fillId="3" borderId="0" xfId="0" applyNumberFormat="1" applyFill="1" applyAlignment="1">
      <alignment horizontal="left"/>
    </xf>
    <xf numFmtId="0" fontId="0" fillId="2" borderId="0" xfId="0" applyFill="1" applyAlignment="1">
      <alignment horizontal="left" vertical="top"/>
    </xf>
    <xf numFmtId="0" fontId="7" fillId="3" borderId="0" xfId="0" applyFont="1" applyFill="1" applyAlignment="1">
      <alignment horizontal="left" vertical="top" wrapText="1"/>
    </xf>
    <xf numFmtId="0" fontId="0" fillId="0" borderId="0" xfId="0" applyAlignment="1">
      <alignment horizontal="left" vertical="top"/>
    </xf>
    <xf numFmtId="49" fontId="7" fillId="3" borderId="0" xfId="0" applyNumberFormat="1" applyFont="1" applyFill="1" applyAlignment="1">
      <alignment horizontal="left" vertical="top" wrapText="1"/>
    </xf>
    <xf numFmtId="0" fontId="24" fillId="3" borderId="0" xfId="0" applyFont="1" applyFill="1"/>
    <xf numFmtId="0" fontId="44" fillId="2" borderId="0" xfId="0" applyFont="1" applyFill="1" applyProtection="1">
      <protection hidden="1"/>
    </xf>
    <xf numFmtId="169" fontId="10" fillId="2" borderId="0" xfId="0" applyNumberFormat="1" applyFont="1" applyFill="1" applyAlignment="1" applyProtection="1">
      <alignment horizontal="center"/>
      <protection hidden="1"/>
    </xf>
    <xf numFmtId="2" fontId="10" fillId="2" borderId="0" xfId="0" applyNumberFormat="1" applyFont="1" applyFill="1" applyAlignment="1" applyProtection="1">
      <alignment horizontal="center"/>
      <protection hidden="1"/>
    </xf>
    <xf numFmtId="10" fontId="18" fillId="0" borderId="0" xfId="0" applyNumberFormat="1" applyFont="1" applyAlignment="1" applyProtection="1">
      <alignment horizontal="center"/>
      <protection hidden="1"/>
    </xf>
    <xf numFmtId="0" fontId="45" fillId="2" borderId="0" xfId="0" applyFont="1" applyFill="1" applyAlignment="1" applyProtection="1">
      <alignment horizontal="left"/>
      <protection hidden="1"/>
    </xf>
    <xf numFmtId="2" fontId="32" fillId="0" borderId="35" xfId="0" applyNumberFormat="1" applyFont="1" applyBorder="1" applyAlignment="1" applyProtection="1">
      <alignment horizontal="center" vertical="center" wrapText="1"/>
      <protection hidden="1"/>
    </xf>
    <xf numFmtId="185" fontId="30" fillId="8" borderId="40" xfId="0" applyNumberFormat="1" applyFont="1" applyFill="1" applyBorder="1" applyAlignment="1">
      <alignment horizontal="left" vertical="center" wrapText="1"/>
    </xf>
    <xf numFmtId="10" fontId="46" fillId="0" borderId="0" xfId="0" applyNumberFormat="1" applyFont="1" applyAlignment="1" applyProtection="1">
      <alignment horizontal="center"/>
      <protection hidden="1"/>
    </xf>
    <xf numFmtId="0" fontId="27" fillId="8" borderId="58" xfId="0" applyFont="1" applyFill="1" applyBorder="1" applyAlignment="1">
      <alignment horizontal="left" vertical="center" wrapText="1" indent="4"/>
    </xf>
    <xf numFmtId="0" fontId="10" fillId="9" borderId="0" xfId="0" applyFont="1" applyFill="1" applyAlignment="1" applyProtection="1">
      <alignment horizontal="center"/>
      <protection hidden="1"/>
    </xf>
    <xf numFmtId="0" fontId="10" fillId="10" borderId="0" xfId="0" applyFont="1" applyFill="1" applyAlignment="1" applyProtection="1">
      <alignment horizontal="center"/>
      <protection hidden="1"/>
    </xf>
    <xf numFmtId="10" fontId="48" fillId="0" borderId="0" xfId="0" applyNumberFormat="1" applyFont="1" applyAlignment="1" applyProtection="1">
      <alignment horizontal="center"/>
      <protection hidden="1"/>
    </xf>
    <xf numFmtId="0" fontId="10" fillId="11" borderId="0" xfId="0" applyFont="1" applyFill="1" applyAlignment="1" applyProtection="1">
      <alignment horizontal="center"/>
      <protection hidden="1"/>
    </xf>
    <xf numFmtId="0" fontId="10" fillId="12" borderId="0" xfId="0" applyFont="1" applyFill="1" applyAlignment="1" applyProtection="1">
      <alignment horizontal="center"/>
      <protection hidden="1"/>
    </xf>
    <xf numFmtId="10" fontId="10" fillId="3" borderId="0" xfId="2" applyNumberFormat="1" applyFont="1" applyFill="1" applyProtection="1">
      <protection hidden="1"/>
    </xf>
    <xf numFmtId="186" fontId="10" fillId="3" borderId="0" xfId="0" applyNumberFormat="1" applyFont="1" applyFill="1" applyProtection="1">
      <protection hidden="1"/>
    </xf>
    <xf numFmtId="10" fontId="0" fillId="4" borderId="0" xfId="0" applyNumberFormat="1" applyFill="1" applyProtection="1">
      <protection locked="0"/>
    </xf>
    <xf numFmtId="10" fontId="10" fillId="2" borderId="0" xfId="0" applyNumberFormat="1" applyFont="1" applyFill="1" applyAlignment="1" applyProtection="1">
      <alignment horizontal="center"/>
      <protection hidden="1"/>
    </xf>
    <xf numFmtId="10" fontId="10" fillId="2" borderId="0" xfId="2" applyNumberFormat="1" applyFont="1" applyFill="1" applyAlignment="1" applyProtection="1">
      <alignment horizontal="center"/>
      <protection hidden="1"/>
    </xf>
    <xf numFmtId="0" fontId="50" fillId="3" borderId="0" xfId="0" applyFont="1" applyFill="1" applyAlignment="1" applyProtection="1">
      <alignment horizontal="center" vertical="top" wrapText="1"/>
      <protection hidden="1"/>
    </xf>
    <xf numFmtId="0" fontId="51" fillId="0" borderId="59" xfId="0" applyFont="1" applyBorder="1" applyAlignment="1" applyProtection="1">
      <alignment horizontal="center"/>
      <protection hidden="1"/>
    </xf>
    <xf numFmtId="0" fontId="52" fillId="0" borderId="60" xfId="0" applyFont="1" applyBorder="1" applyAlignment="1" applyProtection="1">
      <alignment horizontal="center"/>
      <protection hidden="1"/>
    </xf>
    <xf numFmtId="0" fontId="53" fillId="0" borderId="60" xfId="0" applyFont="1" applyBorder="1" applyAlignment="1" applyProtection="1">
      <alignment horizontal="center"/>
      <protection hidden="1"/>
    </xf>
    <xf numFmtId="0" fontId="54" fillId="4" borderId="61" xfId="0" applyFont="1" applyFill="1" applyBorder="1" applyAlignment="1" applyProtection="1">
      <alignment horizontal="center"/>
      <protection hidden="1"/>
    </xf>
    <xf numFmtId="0" fontId="45" fillId="0" borderId="0" xfId="0" applyFont="1" applyProtection="1">
      <protection hidden="1"/>
    </xf>
    <xf numFmtId="175" fontId="0" fillId="0" borderId="0" xfId="0" applyNumberFormat="1" applyAlignment="1" applyProtection="1">
      <alignment horizontal="center"/>
      <protection hidden="1"/>
    </xf>
    <xf numFmtId="175" fontId="0" fillId="0" borderId="0" xfId="0" applyNumberFormat="1" applyProtection="1">
      <protection hidden="1"/>
    </xf>
    <xf numFmtId="168" fontId="7" fillId="0" borderId="0" xfId="0" applyNumberFormat="1" applyFont="1" applyAlignment="1" applyProtection="1">
      <alignment horizontal="left"/>
      <protection hidden="1"/>
    </xf>
    <xf numFmtId="9" fontId="0" fillId="0" borderId="0" xfId="2" applyFont="1" applyProtection="1">
      <protection hidden="1"/>
    </xf>
    <xf numFmtId="10" fontId="7" fillId="0" borderId="0" xfId="0" applyNumberFormat="1" applyFont="1" applyAlignment="1" applyProtection="1">
      <alignment horizontal="center"/>
      <protection hidden="1"/>
    </xf>
    <xf numFmtId="0" fontId="0" fillId="15" borderId="0" xfId="0" applyFill="1" applyProtection="1">
      <protection hidden="1"/>
    </xf>
    <xf numFmtId="0" fontId="0" fillId="15" borderId="0" xfId="0" applyFill="1" applyAlignment="1" applyProtection="1">
      <alignment horizontal="center"/>
      <protection hidden="1"/>
    </xf>
    <xf numFmtId="175" fontId="0" fillId="15" borderId="0" xfId="0" applyNumberFormat="1" applyFill="1" applyAlignment="1" applyProtection="1">
      <alignment horizontal="center"/>
      <protection hidden="1"/>
    </xf>
    <xf numFmtId="175" fontId="0" fillId="15" borderId="0" xfId="0" applyNumberFormat="1" applyFill="1" applyProtection="1">
      <protection hidden="1"/>
    </xf>
    <xf numFmtId="0" fontId="25" fillId="0" borderId="28" xfId="0" applyFont="1" applyBorder="1" applyAlignment="1" applyProtection="1">
      <alignment horizontal="center"/>
      <protection hidden="1"/>
    </xf>
    <xf numFmtId="0" fontId="25" fillId="0" borderId="26" xfId="0" applyFont="1" applyBorder="1" applyAlignment="1" applyProtection="1">
      <alignment horizontal="center"/>
      <protection hidden="1"/>
    </xf>
    <xf numFmtId="0" fontId="10" fillId="15" borderId="0" xfId="0" applyFont="1" applyFill="1" applyProtection="1">
      <protection hidden="1"/>
    </xf>
    <xf numFmtId="0" fontId="10" fillId="0" borderId="0" xfId="0" applyFont="1" applyProtection="1">
      <protection hidden="1"/>
    </xf>
    <xf numFmtId="175" fontId="16" fillId="15" borderId="0" xfId="0" applyNumberFormat="1" applyFont="1" applyFill="1" applyAlignment="1" applyProtection="1">
      <alignment horizontal="center"/>
      <protection hidden="1"/>
    </xf>
    <xf numFmtId="175" fontId="25" fillId="0" borderId="26" xfId="0" applyNumberFormat="1" applyFont="1" applyBorder="1" applyAlignment="1" applyProtection="1">
      <alignment horizontal="center"/>
      <protection hidden="1"/>
    </xf>
    <xf numFmtId="175" fontId="10" fillId="15" borderId="0" xfId="0" applyNumberFormat="1" applyFont="1" applyFill="1" applyProtection="1">
      <protection hidden="1"/>
    </xf>
    <xf numFmtId="175" fontId="10" fillId="0" borderId="0" xfId="0" applyNumberFormat="1" applyFont="1" applyProtection="1">
      <protection hidden="1"/>
    </xf>
    <xf numFmtId="176" fontId="10" fillId="0" borderId="0" xfId="0" applyNumberFormat="1" applyFont="1" applyAlignment="1" applyProtection="1">
      <alignment horizontal="left"/>
      <protection hidden="1"/>
    </xf>
    <xf numFmtId="177" fontId="0" fillId="0" borderId="50" xfId="0" applyNumberFormat="1" applyBorder="1" applyAlignment="1" applyProtection="1">
      <alignment horizontal="center"/>
      <protection hidden="1"/>
    </xf>
    <xf numFmtId="0" fontId="0" fillId="14" borderId="26" xfId="0" applyFill="1" applyBorder="1" applyAlignment="1" applyProtection="1">
      <alignment horizontal="center"/>
      <protection locked="0" hidden="1"/>
    </xf>
    <xf numFmtId="175" fontId="7" fillId="0" borderId="26" xfId="0" applyNumberFormat="1" applyFont="1" applyBorder="1" applyAlignment="1" applyProtection="1">
      <alignment horizontal="left"/>
      <protection hidden="1"/>
    </xf>
    <xf numFmtId="169" fontId="0" fillId="0" borderId="26" xfId="0" applyNumberFormat="1" applyBorder="1" applyAlignment="1" applyProtection="1">
      <alignment horizontal="left"/>
      <protection hidden="1"/>
    </xf>
    <xf numFmtId="178" fontId="0" fillId="0" borderId="0" xfId="0" applyNumberFormat="1" applyAlignment="1" applyProtection="1">
      <alignment horizontal="left"/>
      <protection hidden="1"/>
    </xf>
    <xf numFmtId="176" fontId="0" fillId="0" borderId="0" xfId="0" applyNumberFormat="1" applyAlignment="1" applyProtection="1">
      <alignment horizontal="left"/>
      <protection hidden="1"/>
    </xf>
    <xf numFmtId="179" fontId="0" fillId="0" borderId="0" xfId="0" applyNumberFormat="1" applyAlignment="1" applyProtection="1">
      <alignment horizontal="left"/>
      <protection hidden="1"/>
    </xf>
    <xf numFmtId="175" fontId="0" fillId="0" borderId="0" xfId="0" applyNumberFormat="1" applyAlignment="1" applyProtection="1">
      <alignment horizontal="left"/>
      <protection hidden="1"/>
    </xf>
    <xf numFmtId="0" fontId="0" fillId="14" borderId="29" xfId="0" applyFill="1" applyBorder="1" applyAlignment="1" applyProtection="1">
      <alignment horizontal="center"/>
      <protection locked="0" hidden="1"/>
    </xf>
    <xf numFmtId="177" fontId="0" fillId="0" borderId="31" xfId="0" applyNumberFormat="1" applyBorder="1" applyAlignment="1" applyProtection="1">
      <alignment horizontal="center"/>
      <protection hidden="1"/>
    </xf>
    <xf numFmtId="175" fontId="7" fillId="0" borderId="63" xfId="0" applyNumberFormat="1" applyFont="1" applyBorder="1" applyAlignment="1" applyProtection="1">
      <alignment horizontal="left"/>
      <protection hidden="1"/>
    </xf>
    <xf numFmtId="169" fontId="0" fillId="0" borderId="63" xfId="0" applyNumberFormat="1" applyBorder="1" applyAlignment="1" applyProtection="1">
      <alignment horizontal="left"/>
      <protection hidden="1"/>
    </xf>
    <xf numFmtId="0" fontId="26" fillId="0" borderId="0" xfId="0" applyFont="1" applyProtection="1">
      <protection hidden="1"/>
    </xf>
    <xf numFmtId="184" fontId="0" fillId="3" borderId="0" xfId="0" applyNumberFormat="1" applyFill="1" applyAlignment="1">
      <alignment horizontal="left"/>
    </xf>
    <xf numFmtId="0" fontId="56" fillId="0" borderId="60" xfId="0" applyFont="1" applyBorder="1" applyAlignment="1" applyProtection="1">
      <alignment horizontal="center"/>
      <protection hidden="1"/>
    </xf>
    <xf numFmtId="188" fontId="0" fillId="2" borderId="0" xfId="2" applyNumberFormat="1" applyFont="1" applyFill="1" applyProtection="1">
      <protection hidden="1"/>
    </xf>
    <xf numFmtId="0" fontId="55" fillId="0" borderId="0" xfId="3" applyFont="1" applyAlignment="1" applyProtection="1">
      <alignment horizontal="center" vertical="center"/>
      <protection hidden="1"/>
    </xf>
    <xf numFmtId="0" fontId="7" fillId="0" borderId="0" xfId="0" applyFont="1"/>
    <xf numFmtId="189" fontId="0" fillId="0" borderId="0" xfId="0" applyNumberFormat="1"/>
    <xf numFmtId="0" fontId="40" fillId="2" borderId="0" xfId="0" applyFont="1" applyFill="1" applyAlignment="1" applyProtection="1">
      <alignment horizontal="center" vertical="center"/>
      <protection hidden="1"/>
    </xf>
    <xf numFmtId="188" fontId="0" fillId="3" borderId="0" xfId="0" applyNumberFormat="1" applyFill="1" applyAlignment="1" applyProtection="1">
      <alignment horizontal="center"/>
      <protection hidden="1"/>
    </xf>
    <xf numFmtId="168" fontId="0" fillId="3" borderId="69" xfId="0" applyNumberFormat="1" applyFill="1" applyBorder="1" applyProtection="1">
      <protection hidden="1"/>
    </xf>
    <xf numFmtId="168" fontId="0" fillId="3" borderId="70" xfId="0" applyNumberFormat="1" applyFill="1" applyBorder="1" applyProtection="1">
      <protection hidden="1"/>
    </xf>
    <xf numFmtId="10" fontId="0" fillId="3" borderId="0" xfId="0" applyNumberFormat="1" applyFill="1" applyAlignment="1" applyProtection="1">
      <alignment horizontal="center"/>
      <protection hidden="1"/>
    </xf>
    <xf numFmtId="169" fontId="0" fillId="3" borderId="69" xfId="0" applyNumberFormat="1" applyFill="1" applyBorder="1" applyAlignment="1" applyProtection="1">
      <alignment horizontal="center"/>
      <protection hidden="1"/>
    </xf>
    <xf numFmtId="169" fontId="0" fillId="3" borderId="32" xfId="0" applyNumberFormat="1" applyFill="1" applyBorder="1" applyAlignment="1" applyProtection="1">
      <alignment horizontal="center"/>
      <protection hidden="1"/>
    </xf>
    <xf numFmtId="0" fontId="0" fillId="3" borderId="32" xfId="0" applyFill="1" applyBorder="1" applyAlignment="1" applyProtection="1">
      <alignment horizontal="center"/>
      <protection hidden="1"/>
    </xf>
    <xf numFmtId="10" fontId="0" fillId="3" borderId="32" xfId="0" applyNumberFormat="1" applyFill="1" applyBorder="1" applyAlignment="1" applyProtection="1">
      <alignment horizontal="center"/>
      <protection hidden="1"/>
    </xf>
    <xf numFmtId="169" fontId="0" fillId="3" borderId="33" xfId="0" applyNumberFormat="1" applyFill="1" applyBorder="1" applyAlignment="1" applyProtection="1">
      <alignment horizontal="center"/>
      <protection hidden="1"/>
    </xf>
    <xf numFmtId="0" fontId="0" fillId="3" borderId="33" xfId="0" applyFill="1" applyBorder="1" applyAlignment="1" applyProtection="1">
      <alignment horizontal="center"/>
      <protection hidden="1"/>
    </xf>
    <xf numFmtId="1" fontId="0" fillId="3" borderId="0" xfId="0" applyNumberFormat="1" applyFill="1" applyAlignment="1">
      <alignment horizontal="center"/>
    </xf>
    <xf numFmtId="169" fontId="7" fillId="3" borderId="0" xfId="0" applyNumberFormat="1" applyFont="1" applyFill="1" applyAlignment="1" applyProtection="1">
      <alignment wrapText="1"/>
      <protection hidden="1"/>
    </xf>
    <xf numFmtId="0" fontId="7" fillId="3" borderId="0" xfId="0" applyFont="1" applyFill="1" applyAlignment="1" applyProtection="1">
      <alignment horizontal="center" wrapText="1"/>
      <protection hidden="1"/>
    </xf>
    <xf numFmtId="0" fontId="7" fillId="3" borderId="0" xfId="0" applyFont="1" applyFill="1" applyAlignment="1" applyProtection="1">
      <alignment wrapText="1"/>
      <protection hidden="1"/>
    </xf>
    <xf numFmtId="2" fontId="0" fillId="3" borderId="0" xfId="0" applyNumberFormat="1" applyFill="1" applyAlignment="1" applyProtection="1">
      <alignment horizontal="center"/>
      <protection hidden="1"/>
    </xf>
    <xf numFmtId="169" fontId="46" fillId="3" borderId="70" xfId="0" applyNumberFormat="1" applyFont="1" applyFill="1" applyBorder="1" applyAlignment="1" applyProtection="1">
      <alignment horizontal="center"/>
      <protection hidden="1"/>
    </xf>
    <xf numFmtId="10" fontId="46" fillId="3" borderId="70" xfId="2" applyNumberFormat="1" applyFont="1" applyFill="1" applyBorder="1" applyAlignment="1" applyProtection="1">
      <alignment horizontal="center"/>
      <protection hidden="1"/>
    </xf>
    <xf numFmtId="0" fontId="46" fillId="3" borderId="70" xfId="0" applyFont="1" applyFill="1" applyBorder="1" applyAlignment="1" applyProtection="1">
      <alignment horizontal="center"/>
      <protection hidden="1"/>
    </xf>
    <xf numFmtId="10" fontId="46" fillId="3" borderId="70" xfId="0" applyNumberFormat="1" applyFont="1" applyFill="1" applyBorder="1" applyAlignment="1" applyProtection="1">
      <alignment horizontal="center"/>
      <protection hidden="1"/>
    </xf>
    <xf numFmtId="0" fontId="57" fillId="3" borderId="70" xfId="0" applyFont="1" applyFill="1" applyBorder="1" applyProtection="1">
      <protection hidden="1"/>
    </xf>
    <xf numFmtId="1" fontId="10" fillId="0" borderId="0" xfId="0" applyNumberFormat="1" applyFont="1" applyProtection="1">
      <protection locked="0"/>
    </xf>
    <xf numFmtId="0" fontId="0" fillId="2" borderId="50" xfId="0" applyFill="1" applyBorder="1" applyProtection="1">
      <protection hidden="1"/>
    </xf>
    <xf numFmtId="0" fontId="0" fillId="2" borderId="33" xfId="0" applyFill="1" applyBorder="1" applyAlignment="1" applyProtection="1">
      <alignment wrapText="1"/>
      <protection hidden="1"/>
    </xf>
    <xf numFmtId="0" fontId="0" fillId="2" borderId="27" xfId="0" applyFill="1" applyBorder="1" applyAlignment="1" applyProtection="1">
      <alignment wrapText="1"/>
      <protection hidden="1"/>
    </xf>
    <xf numFmtId="0" fontId="0" fillId="2" borderId="51" xfId="0" applyFill="1" applyBorder="1" applyProtection="1">
      <protection hidden="1"/>
    </xf>
    <xf numFmtId="0" fontId="0" fillId="2" borderId="52" xfId="0" applyFill="1" applyBorder="1" applyAlignment="1" applyProtection="1">
      <alignment wrapText="1"/>
      <protection hidden="1"/>
    </xf>
    <xf numFmtId="0" fontId="0" fillId="2" borderId="51" xfId="0" applyFill="1" applyBorder="1" applyAlignment="1" applyProtection="1">
      <alignment wrapText="1"/>
      <protection hidden="1"/>
    </xf>
    <xf numFmtId="174" fontId="22" fillId="2" borderId="51" xfId="0" applyNumberFormat="1" applyFont="1" applyFill="1" applyBorder="1" applyProtection="1">
      <protection hidden="1"/>
    </xf>
    <xf numFmtId="0" fontId="41" fillId="2" borderId="52" xfId="0" applyFont="1" applyFill="1" applyBorder="1" applyAlignment="1" applyProtection="1">
      <alignment horizontal="left"/>
      <protection hidden="1"/>
    </xf>
    <xf numFmtId="0" fontId="22" fillId="2" borderId="0" xfId="0" applyFont="1" applyFill="1" applyAlignment="1" applyProtection="1">
      <alignment wrapText="1"/>
      <protection hidden="1"/>
    </xf>
    <xf numFmtId="174" fontId="7" fillId="5" borderId="26" xfId="0" applyNumberFormat="1" applyFont="1" applyFill="1" applyBorder="1" applyAlignment="1" applyProtection="1">
      <alignment horizontal="center" wrapText="1"/>
      <protection hidden="1"/>
    </xf>
    <xf numFmtId="0" fontId="0" fillId="2" borderId="0" xfId="0" applyFill="1" applyAlignment="1" applyProtection="1">
      <alignment horizontal="right" wrapText="1"/>
      <protection hidden="1"/>
    </xf>
    <xf numFmtId="0" fontId="7" fillId="5" borderId="50" xfId="0" applyFont="1" applyFill="1" applyBorder="1" applyAlignment="1" applyProtection="1">
      <alignment horizontal="center" wrapText="1"/>
      <protection hidden="1"/>
    </xf>
    <xf numFmtId="0" fontId="0" fillId="2" borderId="55" xfId="0" applyFill="1" applyBorder="1" applyAlignment="1" applyProtection="1">
      <alignment wrapText="1"/>
      <protection hidden="1"/>
    </xf>
    <xf numFmtId="0" fontId="0" fillId="2" borderId="56" xfId="0" applyFill="1" applyBorder="1" applyAlignment="1" applyProtection="1">
      <alignment wrapText="1"/>
      <protection hidden="1"/>
    </xf>
    <xf numFmtId="183" fontId="0" fillId="0" borderId="26" xfId="0" applyNumberFormat="1" applyBorder="1" applyProtection="1">
      <protection locked="0"/>
    </xf>
    <xf numFmtId="0" fontId="0" fillId="0" borderId="26" xfId="0" applyBorder="1" applyProtection="1">
      <protection locked="0"/>
    </xf>
    <xf numFmtId="166" fontId="0" fillId="0" borderId="26" xfId="0" applyNumberFormat="1" applyBorder="1" applyProtection="1">
      <protection locked="0"/>
    </xf>
    <xf numFmtId="0" fontId="0" fillId="0" borderId="26" xfId="0" applyBorder="1" applyAlignment="1" applyProtection="1">
      <alignment wrapText="1"/>
      <protection locked="0"/>
    </xf>
    <xf numFmtId="166" fontId="0" fillId="0" borderId="26" xfId="0" applyNumberFormat="1" applyBorder="1" applyAlignment="1" applyProtection="1">
      <alignment wrapText="1"/>
      <protection locked="0"/>
    </xf>
    <xf numFmtId="166" fontId="0" fillId="16" borderId="0" xfId="0" applyNumberFormat="1" applyFill="1" applyAlignment="1" applyProtection="1">
      <alignment wrapText="1"/>
      <protection hidden="1"/>
    </xf>
    <xf numFmtId="0" fontId="7" fillId="3" borderId="70" xfId="0" applyFont="1" applyFill="1" applyBorder="1" applyAlignment="1" applyProtection="1">
      <alignment horizontal="center"/>
      <protection hidden="1"/>
    </xf>
    <xf numFmtId="169" fontId="7" fillId="3" borderId="70" xfId="0" applyNumberFormat="1" applyFont="1" applyFill="1" applyBorder="1" applyAlignment="1" applyProtection="1">
      <alignment horizontal="center"/>
      <protection hidden="1"/>
    </xf>
    <xf numFmtId="169" fontId="0" fillId="0" borderId="57" xfId="0" applyNumberFormat="1" applyBorder="1" applyAlignment="1" applyProtection="1">
      <alignment horizontal="center"/>
      <protection hidden="1"/>
    </xf>
    <xf numFmtId="2" fontId="44" fillId="2" borderId="0" xfId="0" applyNumberFormat="1" applyFont="1" applyFill="1" applyAlignment="1" applyProtection="1">
      <alignment horizontal="left"/>
      <protection hidden="1"/>
    </xf>
    <xf numFmtId="14" fontId="0" fillId="2" borderId="0" xfId="0" applyNumberFormat="1" applyFill="1" applyProtection="1">
      <protection hidden="1"/>
    </xf>
    <xf numFmtId="190" fontId="0" fillId="2" borderId="0" xfId="0" applyNumberFormat="1" applyFill="1" applyProtection="1">
      <protection hidden="1"/>
    </xf>
    <xf numFmtId="1" fontId="0" fillId="0" borderId="62" xfId="0" applyNumberFormat="1" applyBorder="1" applyAlignment="1" applyProtection="1">
      <alignment horizontal="center"/>
      <protection hidden="1"/>
    </xf>
    <xf numFmtId="0" fontId="7" fillId="3" borderId="0" xfId="0" applyFont="1" applyFill="1"/>
    <xf numFmtId="169" fontId="7" fillId="0" borderId="0" xfId="0" applyNumberFormat="1" applyFont="1" applyProtection="1">
      <protection hidden="1"/>
    </xf>
    <xf numFmtId="14" fontId="7" fillId="3" borderId="0" xfId="0" applyNumberFormat="1" applyFont="1" applyFill="1"/>
    <xf numFmtId="192" fontId="10" fillId="3" borderId="0" xfId="1" applyNumberFormat="1" applyFont="1" applyFill="1"/>
    <xf numFmtId="192" fontId="10" fillId="3" borderId="0" xfId="0" applyNumberFormat="1" applyFont="1" applyFill="1"/>
    <xf numFmtId="0" fontId="7" fillId="3" borderId="69" xfId="0" applyFont="1" applyFill="1" applyBorder="1" applyAlignment="1" applyProtection="1">
      <alignment horizontal="center"/>
      <protection hidden="1"/>
    </xf>
    <xf numFmtId="10" fontId="7" fillId="3" borderId="69" xfId="0" applyNumberFormat="1" applyFont="1" applyFill="1" applyBorder="1" applyAlignment="1" applyProtection="1">
      <alignment horizontal="center"/>
      <protection hidden="1"/>
    </xf>
    <xf numFmtId="169" fontId="7" fillId="3" borderId="69" xfId="0" applyNumberFormat="1" applyFont="1" applyFill="1" applyBorder="1" applyAlignment="1" applyProtection="1">
      <alignment horizontal="center"/>
      <protection hidden="1"/>
    </xf>
    <xf numFmtId="2" fontId="7" fillId="3" borderId="69" xfId="0" applyNumberFormat="1" applyFont="1" applyFill="1" applyBorder="1" applyAlignment="1" applyProtection="1">
      <alignment horizontal="center"/>
      <protection hidden="1"/>
    </xf>
    <xf numFmtId="14" fontId="43" fillId="18" borderId="73" xfId="0" applyNumberFormat="1" applyFont="1" applyFill="1" applyBorder="1" applyAlignment="1" applyProtection="1">
      <alignment horizontal="center"/>
      <protection hidden="1"/>
    </xf>
    <xf numFmtId="14" fontId="43" fillId="18" borderId="70" xfId="0" applyNumberFormat="1" applyFont="1" applyFill="1" applyBorder="1" applyAlignment="1" applyProtection="1">
      <alignment horizontal="center"/>
      <protection hidden="1"/>
    </xf>
    <xf numFmtId="14" fontId="43" fillId="18" borderId="74" xfId="0" applyNumberFormat="1" applyFont="1" applyFill="1" applyBorder="1" applyAlignment="1" applyProtection="1">
      <alignment horizontal="center"/>
      <protection hidden="1"/>
    </xf>
    <xf numFmtId="0" fontId="0" fillId="18" borderId="75" xfId="0" applyFill="1" applyBorder="1" applyAlignment="1" applyProtection="1">
      <alignment horizontal="center"/>
      <protection hidden="1"/>
    </xf>
    <xf numFmtId="0" fontId="0" fillId="18" borderId="69" xfId="0" applyFill="1" applyBorder="1" applyAlignment="1" applyProtection="1">
      <alignment horizontal="center"/>
      <protection hidden="1"/>
    </xf>
    <xf numFmtId="0" fontId="0" fillId="18" borderId="76" xfId="0" applyFill="1" applyBorder="1" applyAlignment="1" applyProtection="1">
      <alignment horizontal="center"/>
      <protection hidden="1"/>
    </xf>
    <xf numFmtId="167" fontId="9" fillId="0" borderId="0" xfId="0" applyNumberFormat="1" applyFont="1" applyAlignment="1" applyProtection="1">
      <alignment horizontal="right"/>
      <protection hidden="1"/>
    </xf>
    <xf numFmtId="191" fontId="43" fillId="3" borderId="0" xfId="0" applyNumberFormat="1" applyFont="1" applyFill="1" applyProtection="1">
      <protection hidden="1"/>
    </xf>
    <xf numFmtId="1" fontId="24" fillId="0" borderId="10" xfId="0" applyNumberFormat="1" applyFont="1" applyBorder="1" applyProtection="1">
      <protection locked="0"/>
    </xf>
    <xf numFmtId="0" fontId="0" fillId="0" borderId="0" xfId="0" applyAlignment="1" applyProtection="1">
      <alignment horizontal="right"/>
      <protection locked="0"/>
    </xf>
    <xf numFmtId="167" fontId="0" fillId="0" borderId="0" xfId="0" applyNumberFormat="1" applyAlignment="1" applyProtection="1">
      <alignment horizontal="right"/>
      <protection locked="0"/>
    </xf>
    <xf numFmtId="169" fontId="0" fillId="0" borderId="0" xfId="0" applyNumberFormat="1" applyAlignment="1" applyProtection="1">
      <alignment horizontal="right"/>
      <protection locked="0"/>
    </xf>
    <xf numFmtId="169" fontId="0" fillId="0" borderId="0" xfId="0" applyNumberFormat="1" applyProtection="1">
      <protection locked="0"/>
    </xf>
    <xf numFmtId="0" fontId="0" fillId="0" borderId="0" xfId="0" applyProtection="1">
      <protection locked="0"/>
    </xf>
    <xf numFmtId="1" fontId="24" fillId="0" borderId="18" xfId="0" applyNumberFormat="1" applyFont="1" applyBorder="1" applyProtection="1">
      <protection locked="0"/>
    </xf>
    <xf numFmtId="167" fontId="0" fillId="0" borderId="17" xfId="0" applyNumberFormat="1" applyBorder="1" applyAlignment="1" applyProtection="1">
      <alignment horizontal="right"/>
      <protection locked="0"/>
    </xf>
    <xf numFmtId="2" fontId="24" fillId="0" borderId="18" xfId="0" applyNumberFormat="1" applyFont="1" applyBorder="1" applyAlignment="1" applyProtection="1">
      <alignment horizontal="right"/>
      <protection locked="0"/>
    </xf>
    <xf numFmtId="169" fontId="0" fillId="0" borderId="17" xfId="0" applyNumberFormat="1" applyBorder="1" applyAlignment="1" applyProtection="1">
      <alignment horizontal="right"/>
      <protection locked="0"/>
    </xf>
    <xf numFmtId="0" fontId="0" fillId="0" borderId="17" xfId="0" applyBorder="1" applyProtection="1">
      <protection locked="0"/>
    </xf>
    <xf numFmtId="169" fontId="0" fillId="0" borderId="17" xfId="0" applyNumberFormat="1" applyBorder="1" applyProtection="1">
      <protection locked="0"/>
    </xf>
    <xf numFmtId="166" fontId="0" fillId="0" borderId="0" xfId="0" applyNumberFormat="1" applyAlignment="1" applyProtection="1">
      <alignment horizontal="right"/>
      <protection locked="0"/>
    </xf>
    <xf numFmtId="167" fontId="9" fillId="0" borderId="0" xfId="0" applyNumberFormat="1" applyFont="1" applyAlignment="1" applyProtection="1">
      <alignment horizontal="right"/>
      <protection locked="0"/>
    </xf>
    <xf numFmtId="190" fontId="9" fillId="0" borderId="0" xfId="0" applyNumberFormat="1" applyFont="1" applyAlignment="1" applyProtection="1">
      <alignment horizontal="right"/>
      <protection locked="0"/>
    </xf>
    <xf numFmtId="2" fontId="24" fillId="0" borderId="10" xfId="0" applyNumberFormat="1" applyFont="1" applyBorder="1" applyAlignment="1" applyProtection="1">
      <alignment horizontal="right"/>
      <protection locked="0"/>
    </xf>
    <xf numFmtId="1" fontId="24" fillId="0" borderId="14" xfId="0" applyNumberFormat="1" applyFont="1" applyBorder="1" applyProtection="1">
      <protection locked="0"/>
    </xf>
    <xf numFmtId="0" fontId="0" fillId="0" borderId="9" xfId="0" applyBorder="1" applyAlignment="1" applyProtection="1">
      <alignment horizontal="right"/>
      <protection locked="0"/>
    </xf>
    <xf numFmtId="167" fontId="0" fillId="0" borderId="10" xfId="0" applyNumberFormat="1" applyBorder="1" applyAlignment="1" applyProtection="1">
      <alignment horizontal="right"/>
      <protection locked="0"/>
    </xf>
    <xf numFmtId="0" fontId="0" fillId="0" borderId="16" xfId="0" applyBorder="1" applyAlignment="1" applyProtection="1">
      <alignment horizontal="right"/>
      <protection locked="0"/>
    </xf>
    <xf numFmtId="0" fontId="0" fillId="0" borderId="17" xfId="0" applyBorder="1" applyAlignment="1" applyProtection="1">
      <alignment horizontal="right"/>
      <protection locked="0"/>
    </xf>
    <xf numFmtId="167" fontId="0" fillId="0" borderId="18" xfId="0" applyNumberFormat="1" applyBorder="1" applyAlignment="1" applyProtection="1">
      <alignment horizontal="right"/>
      <protection locked="0"/>
    </xf>
    <xf numFmtId="168" fontId="7" fillId="2" borderId="33" xfId="0" applyNumberFormat="1" applyFont="1" applyFill="1" applyBorder="1" applyAlignment="1" applyProtection="1">
      <alignment wrapText="1"/>
      <protection hidden="1"/>
    </xf>
    <xf numFmtId="0" fontId="50" fillId="5" borderId="28" xfId="0" applyFont="1" applyFill="1" applyBorder="1" applyAlignment="1" applyProtection="1">
      <alignment horizontal="center" wrapText="1"/>
      <protection hidden="1"/>
    </xf>
    <xf numFmtId="192" fontId="0" fillId="0" borderId="26" xfId="0" applyNumberFormat="1" applyBorder="1" applyProtection="1">
      <protection hidden="1"/>
    </xf>
    <xf numFmtId="2" fontId="0" fillId="0" borderId="26" xfId="0" applyNumberFormat="1" applyBorder="1" applyProtection="1">
      <protection hidden="1"/>
    </xf>
    <xf numFmtId="192" fontId="0" fillId="0" borderId="26" xfId="0" applyNumberFormat="1" applyBorder="1" applyAlignment="1" applyProtection="1">
      <alignment wrapText="1"/>
      <protection hidden="1"/>
    </xf>
    <xf numFmtId="2" fontId="0" fillId="0" borderId="26" xfId="0" applyNumberFormat="1" applyBorder="1" applyAlignment="1" applyProtection="1">
      <alignment wrapText="1"/>
      <protection hidden="1"/>
    </xf>
    <xf numFmtId="192" fontId="7" fillId="19" borderId="26" xfId="0" applyNumberFormat="1" applyFont="1" applyFill="1" applyBorder="1" applyAlignment="1" applyProtection="1">
      <alignment wrapText="1"/>
      <protection hidden="1"/>
    </xf>
    <xf numFmtId="8" fontId="0" fillId="19" borderId="26" xfId="0" applyNumberFormat="1" applyFill="1" applyBorder="1" applyProtection="1">
      <protection hidden="1"/>
    </xf>
    <xf numFmtId="186" fontId="0" fillId="19" borderId="26" xfId="0" applyNumberFormat="1" applyFill="1" applyBorder="1" applyProtection="1">
      <protection hidden="1"/>
    </xf>
    <xf numFmtId="166" fontId="0" fillId="19" borderId="26" xfId="0" applyNumberFormat="1" applyFill="1" applyBorder="1" applyAlignment="1" applyProtection="1">
      <alignment wrapText="1"/>
      <protection hidden="1"/>
    </xf>
    <xf numFmtId="0" fontId="7" fillId="5" borderId="77" xfId="0" applyFont="1" applyFill="1" applyBorder="1" applyAlignment="1" applyProtection="1">
      <alignment horizontal="center" wrapText="1"/>
      <protection hidden="1"/>
    </xf>
    <xf numFmtId="0" fontId="7" fillId="5" borderId="78" xfId="0" applyFont="1" applyFill="1" applyBorder="1" applyAlignment="1" applyProtection="1">
      <alignment horizontal="center" wrapText="1"/>
      <protection hidden="1"/>
    </xf>
    <xf numFmtId="0" fontId="0" fillId="2" borderId="79" xfId="0" applyFill="1" applyBorder="1" applyAlignment="1" applyProtection="1">
      <alignment wrapText="1"/>
      <protection hidden="1"/>
    </xf>
    <xf numFmtId="183" fontId="0" fillId="0" borderId="77" xfId="0" applyNumberFormat="1" applyBorder="1" applyProtection="1">
      <protection locked="0"/>
    </xf>
    <xf numFmtId="0" fontId="0" fillId="0" borderId="77" xfId="0" applyBorder="1" applyAlignment="1" applyProtection="1">
      <alignment wrapText="1"/>
      <protection locked="0"/>
    </xf>
    <xf numFmtId="166" fontId="0" fillId="0" borderId="77" xfId="0" applyNumberFormat="1" applyBorder="1" applyAlignment="1" applyProtection="1">
      <alignment wrapText="1"/>
      <protection locked="0"/>
    </xf>
    <xf numFmtId="168" fontId="7" fillId="2" borderId="0" xfId="0" applyNumberFormat="1" applyFont="1" applyFill="1" applyAlignment="1" applyProtection="1">
      <alignment wrapText="1"/>
      <protection hidden="1"/>
    </xf>
    <xf numFmtId="190" fontId="0" fillId="19" borderId="26" xfId="0" applyNumberFormat="1" applyFill="1" applyBorder="1" applyProtection="1">
      <protection hidden="1"/>
    </xf>
    <xf numFmtId="1" fontId="0" fillId="0" borderId="26" xfId="0" applyNumberFormat="1" applyBorder="1" applyAlignment="1" applyProtection="1">
      <alignment wrapText="1"/>
      <protection hidden="1"/>
    </xf>
    <xf numFmtId="10" fontId="0" fillId="0" borderId="26" xfId="0" applyNumberFormat="1" applyBorder="1" applyProtection="1">
      <protection hidden="1"/>
    </xf>
    <xf numFmtId="10" fontId="0" fillId="0" borderId="26" xfId="0" applyNumberFormat="1" applyBorder="1" applyAlignment="1" applyProtection="1">
      <alignment wrapText="1"/>
      <protection hidden="1"/>
    </xf>
    <xf numFmtId="182" fontId="0" fillId="19" borderId="77" xfId="2" applyNumberFormat="1" applyFont="1" applyFill="1" applyBorder="1" applyAlignment="1" applyProtection="1">
      <alignment wrapText="1"/>
      <protection hidden="1"/>
    </xf>
    <xf numFmtId="182" fontId="0" fillId="19" borderId="77" xfId="2" applyNumberFormat="1" applyFont="1" applyFill="1" applyBorder="1" applyProtection="1">
      <protection hidden="1"/>
    </xf>
    <xf numFmtId="182" fontId="0" fillId="19" borderId="77" xfId="0" applyNumberFormat="1" applyFill="1" applyBorder="1" applyAlignment="1" applyProtection="1">
      <alignment wrapText="1"/>
      <protection hidden="1"/>
    </xf>
    <xf numFmtId="1" fontId="0" fillId="0" borderId="26" xfId="0" applyNumberFormat="1" applyBorder="1" applyProtection="1">
      <protection locked="0"/>
    </xf>
    <xf numFmtId="0" fontId="39" fillId="0" borderId="0" xfId="0" applyFont="1" applyProtection="1">
      <protection hidden="1"/>
    </xf>
    <xf numFmtId="0" fontId="7" fillId="3" borderId="0" xfId="0" applyFont="1" applyFill="1" applyAlignment="1" applyProtection="1">
      <alignment horizontal="center" vertical="top" wrapText="1"/>
      <protection hidden="1"/>
    </xf>
    <xf numFmtId="0" fontId="7" fillId="3" borderId="0" xfId="0" applyFont="1" applyFill="1" applyAlignment="1" applyProtection="1">
      <alignment horizontal="center"/>
      <protection hidden="1"/>
    </xf>
    <xf numFmtId="0" fontId="40" fillId="2" borderId="0" xfId="0" applyFont="1" applyFill="1" applyAlignment="1" applyProtection="1">
      <alignment horizontal="center" vertical="top" wrapText="1"/>
      <protection hidden="1"/>
    </xf>
    <xf numFmtId="0" fontId="7" fillId="5" borderId="28" xfId="0" applyFont="1" applyFill="1" applyBorder="1" applyAlignment="1" applyProtection="1">
      <alignment horizontal="center" wrapText="1"/>
      <protection hidden="1"/>
    </xf>
    <xf numFmtId="0" fontId="7" fillId="3" borderId="0" xfId="0" applyFont="1" applyFill="1" applyAlignment="1">
      <alignment horizontal="left"/>
    </xf>
    <xf numFmtId="1" fontId="0" fillId="0" borderId="26" xfId="0" applyNumberFormat="1" applyBorder="1"/>
    <xf numFmtId="0" fontId="0" fillId="13" borderId="0" xfId="0" applyFill="1" applyProtection="1">
      <protection hidden="1"/>
    </xf>
    <xf numFmtId="190" fontId="1" fillId="0" borderId="0" xfId="14" applyNumberFormat="1" applyAlignment="1" applyProtection="1">
      <alignment horizontal="center"/>
      <protection locked="0"/>
    </xf>
    <xf numFmtId="0" fontId="66" fillId="19" borderId="0" xfId="0" applyFont="1" applyFill="1" applyAlignment="1" applyProtection="1">
      <alignment horizontal="right"/>
      <protection hidden="1"/>
    </xf>
    <xf numFmtId="174" fontId="46" fillId="0" borderId="0" xfId="0" applyNumberFormat="1" applyFont="1" applyAlignment="1" applyProtection="1">
      <alignment horizontal="center"/>
      <protection hidden="1"/>
    </xf>
    <xf numFmtId="0" fontId="62" fillId="19" borderId="0" xfId="0" applyFont="1" applyFill="1" applyAlignment="1" applyProtection="1">
      <alignment horizontal="right"/>
      <protection hidden="1"/>
    </xf>
    <xf numFmtId="0" fontId="61" fillId="0" borderId="79" xfId="0" applyFont="1" applyBorder="1" applyAlignment="1" applyProtection="1">
      <alignment horizontal="center"/>
      <protection hidden="1"/>
    </xf>
    <xf numFmtId="0" fontId="64" fillId="19" borderId="88" xfId="0" applyFont="1" applyFill="1" applyBorder="1" applyAlignment="1" applyProtection="1">
      <alignment horizontal="center"/>
      <protection hidden="1"/>
    </xf>
    <xf numFmtId="0" fontId="64" fillId="19" borderId="89" xfId="0" applyFont="1" applyFill="1" applyBorder="1" applyAlignment="1" applyProtection="1">
      <alignment horizontal="center"/>
      <protection hidden="1"/>
    </xf>
    <xf numFmtId="0" fontId="64" fillId="19" borderId="93" xfId="0" applyFont="1" applyFill="1" applyBorder="1" applyAlignment="1" applyProtection="1">
      <alignment horizontal="center"/>
      <protection hidden="1"/>
    </xf>
    <xf numFmtId="6" fontId="0" fillId="0" borderId="79" xfId="0" applyNumberFormat="1" applyBorder="1" applyAlignment="1" applyProtection="1">
      <alignment horizontal="center"/>
      <protection hidden="1"/>
    </xf>
    <xf numFmtId="6" fontId="0" fillId="0" borderId="90" xfId="0" applyNumberFormat="1" applyBorder="1" applyAlignment="1" applyProtection="1">
      <alignment horizontal="center"/>
      <protection hidden="1"/>
    </xf>
    <xf numFmtId="10" fontId="0" fillId="0" borderId="79" xfId="0" applyNumberFormat="1" applyBorder="1" applyAlignment="1" applyProtection="1">
      <alignment horizontal="center"/>
      <protection hidden="1"/>
    </xf>
    <xf numFmtId="0" fontId="64" fillId="19" borderId="92" xfId="0" applyFont="1" applyFill="1" applyBorder="1" applyAlignment="1" applyProtection="1">
      <alignment horizontal="center"/>
      <protection hidden="1"/>
    </xf>
    <xf numFmtId="0" fontId="64" fillId="19" borderId="111" xfId="0" applyFont="1" applyFill="1" applyBorder="1" applyAlignment="1" applyProtection="1">
      <alignment horizontal="center"/>
      <protection hidden="1"/>
    </xf>
    <xf numFmtId="187" fontId="0" fillId="22" borderId="74" xfId="0" applyNumberFormat="1" applyFill="1" applyBorder="1" applyAlignment="1" applyProtection="1">
      <alignment horizontal="center"/>
      <protection hidden="1"/>
    </xf>
    <xf numFmtId="0" fontId="0" fillId="22" borderId="96" xfId="0" applyFill="1" applyBorder="1" applyAlignment="1" applyProtection="1">
      <alignment horizontal="center"/>
      <protection hidden="1"/>
    </xf>
    <xf numFmtId="187" fontId="0" fillId="22" borderId="96" xfId="0" applyNumberFormat="1" applyFill="1" applyBorder="1" applyAlignment="1" applyProtection="1">
      <alignment horizontal="center"/>
      <protection hidden="1"/>
    </xf>
    <xf numFmtId="0" fontId="0" fillId="0" borderId="74" xfId="0" applyBorder="1" applyAlignment="1" applyProtection="1">
      <alignment horizontal="center"/>
      <protection hidden="1"/>
    </xf>
    <xf numFmtId="187" fontId="0" fillId="22" borderId="98" xfId="0" applyNumberFormat="1" applyFill="1" applyBorder="1" applyAlignment="1" applyProtection="1">
      <alignment horizontal="center"/>
      <protection hidden="1"/>
    </xf>
    <xf numFmtId="2" fontId="0" fillId="22" borderId="99" xfId="0" applyNumberFormat="1" applyFill="1" applyBorder="1" applyAlignment="1" applyProtection="1">
      <alignment horizontal="center"/>
      <protection hidden="1"/>
    </xf>
    <xf numFmtId="187" fontId="0" fillId="22" borderId="99" xfId="0" applyNumberFormat="1" applyFill="1" applyBorder="1" applyAlignment="1" applyProtection="1">
      <alignment horizontal="center"/>
      <protection hidden="1"/>
    </xf>
    <xf numFmtId="4" fontId="0" fillId="22" borderId="99" xfId="0" applyNumberFormat="1" applyFill="1" applyBorder="1" applyAlignment="1" applyProtection="1">
      <alignment horizontal="center"/>
      <protection hidden="1"/>
    </xf>
    <xf numFmtId="187" fontId="0" fillId="0" borderId="101" xfId="0" applyNumberFormat="1" applyBorder="1" applyAlignment="1" applyProtection="1">
      <alignment horizontal="center"/>
      <protection hidden="1"/>
    </xf>
    <xf numFmtId="0" fontId="60" fillId="19" borderId="108" xfId="0" applyFont="1" applyFill="1" applyBorder="1" applyAlignment="1" applyProtection="1">
      <alignment horizontal="center" vertical="center"/>
      <protection hidden="1"/>
    </xf>
    <xf numFmtId="0" fontId="60" fillId="19" borderId="109" xfId="0" applyFont="1" applyFill="1" applyBorder="1" applyAlignment="1" applyProtection="1">
      <alignment horizontal="center" vertical="center"/>
      <protection hidden="1"/>
    </xf>
    <xf numFmtId="0" fontId="60" fillId="19" borderId="85" xfId="0" applyFont="1" applyFill="1" applyBorder="1" applyAlignment="1" applyProtection="1">
      <alignment horizontal="center"/>
      <protection hidden="1"/>
    </xf>
    <xf numFmtId="0" fontId="60" fillId="19" borderId="108" xfId="0" applyFont="1" applyFill="1" applyBorder="1" applyAlignment="1" applyProtection="1">
      <alignment horizontal="center"/>
      <protection hidden="1"/>
    </xf>
    <xf numFmtId="0" fontId="60" fillId="19" borderId="109" xfId="0" applyFont="1" applyFill="1" applyBorder="1" applyAlignment="1" applyProtection="1">
      <alignment horizontal="center"/>
      <protection hidden="1"/>
    </xf>
    <xf numFmtId="0" fontId="61" fillId="0" borderId="110" xfId="0" applyFont="1" applyBorder="1" applyProtection="1">
      <protection hidden="1"/>
    </xf>
    <xf numFmtId="0" fontId="0" fillId="0" borderId="102" xfId="0" applyBorder="1" applyProtection="1">
      <protection hidden="1"/>
    </xf>
    <xf numFmtId="0" fontId="0" fillId="0" borderId="71" xfId="0" applyBorder="1" applyProtection="1">
      <protection hidden="1"/>
    </xf>
    <xf numFmtId="14" fontId="0" fillId="0" borderId="71" xfId="0" applyNumberFormat="1" applyBorder="1" applyProtection="1">
      <protection hidden="1"/>
    </xf>
    <xf numFmtId="0" fontId="40" fillId="2" borderId="0" xfId="0" applyFont="1" applyFill="1" applyAlignment="1" applyProtection="1">
      <alignment vertical="center"/>
      <protection hidden="1"/>
    </xf>
    <xf numFmtId="0" fontId="40" fillId="2" borderId="0" xfId="0" applyFont="1" applyFill="1" applyProtection="1">
      <protection hidden="1"/>
    </xf>
    <xf numFmtId="183" fontId="0" fillId="0" borderId="26" xfId="0" applyNumberFormat="1" applyFont="1" applyBorder="1" applyProtection="1">
      <protection locked="0"/>
    </xf>
    <xf numFmtId="0" fontId="0" fillId="0" borderId="26" xfId="0" applyFont="1" applyBorder="1" applyProtection="1">
      <protection locked="0"/>
    </xf>
    <xf numFmtId="166" fontId="0" fillId="0" borderId="26" xfId="0" applyNumberFormat="1" applyFont="1" applyBorder="1" applyProtection="1">
      <protection locked="0"/>
    </xf>
    <xf numFmtId="0" fontId="0" fillId="0" borderId="26" xfId="0" applyFont="1" applyBorder="1" applyAlignment="1" applyProtection="1">
      <alignment wrapText="1"/>
      <protection locked="0"/>
    </xf>
    <xf numFmtId="166" fontId="0" fillId="0" borderId="26" xfId="0" applyNumberFormat="1" applyFont="1" applyBorder="1" applyAlignment="1" applyProtection="1">
      <alignment wrapText="1"/>
      <protection locked="0"/>
    </xf>
    <xf numFmtId="0" fontId="16" fillId="3" borderId="0" xfId="0" applyFont="1" applyFill="1" applyAlignment="1" applyProtection="1">
      <alignment horizontal="center"/>
      <protection hidden="1"/>
    </xf>
    <xf numFmtId="180" fontId="42" fillId="2" borderId="0" xfId="1" applyFill="1" applyProtection="1">
      <protection hidden="1"/>
    </xf>
    <xf numFmtId="169" fontId="43" fillId="3" borderId="0" xfId="0" applyNumberFormat="1" applyFont="1" applyFill="1" applyAlignment="1" applyProtection="1">
      <alignment horizontal="right"/>
      <protection hidden="1"/>
    </xf>
    <xf numFmtId="3" fontId="0" fillId="0" borderId="77" xfId="0" applyNumberFormat="1" applyBorder="1" applyAlignment="1" applyProtection="1">
      <alignment wrapText="1"/>
      <protection locked="0"/>
    </xf>
    <xf numFmtId="0" fontId="0" fillId="3" borderId="0" xfId="0" applyFill="1" applyProtection="1">
      <protection hidden="1"/>
    </xf>
    <xf numFmtId="164" fontId="0" fillId="23" borderId="0" xfId="0" applyNumberFormat="1" applyFill="1" applyProtection="1">
      <protection hidden="1"/>
    </xf>
    <xf numFmtId="0" fontId="0" fillId="3" borderId="0" xfId="0" applyFill="1" applyAlignment="1" applyProtection="1">
      <alignment horizontal="left" vertical="center"/>
      <protection hidden="1"/>
    </xf>
    <xf numFmtId="10" fontId="43" fillId="3" borderId="0" xfId="2" applyNumberFormat="1" applyFont="1" applyFill="1" applyAlignment="1" applyProtection="1">
      <alignment horizontal="right"/>
      <protection hidden="1"/>
    </xf>
    <xf numFmtId="0" fontId="0" fillId="0" borderId="0" xfId="0" applyFont="1" applyProtection="1">
      <protection locked="0"/>
    </xf>
    <xf numFmtId="0" fontId="0" fillId="0" borderId="0" xfId="0" applyFill="1" applyBorder="1" applyProtection="1">
      <protection locked="0"/>
    </xf>
    <xf numFmtId="169" fontId="0" fillId="0" borderId="0" xfId="0" applyNumberFormat="1" applyFill="1" applyBorder="1" applyProtection="1">
      <protection locked="0"/>
    </xf>
    <xf numFmtId="2" fontId="24" fillId="0" borderId="10" xfId="0" applyNumberFormat="1" applyFont="1" applyFill="1" applyBorder="1" applyAlignment="1" applyProtection="1">
      <alignment horizontal="right"/>
      <protection locked="0"/>
    </xf>
    <xf numFmtId="0" fontId="0" fillId="0" borderId="17" xfId="0" applyFill="1" applyBorder="1" applyProtection="1">
      <protection locked="0"/>
    </xf>
    <xf numFmtId="169" fontId="0" fillId="0" borderId="17" xfId="0" applyNumberFormat="1" applyFill="1" applyBorder="1" applyProtection="1">
      <protection locked="0"/>
    </xf>
    <xf numFmtId="2" fontId="24" fillId="0" borderId="18" xfId="0" applyNumberFormat="1" applyFont="1" applyFill="1" applyBorder="1" applyAlignment="1" applyProtection="1">
      <alignment horizontal="right"/>
      <protection locked="0"/>
    </xf>
    <xf numFmtId="190" fontId="68" fillId="24" borderId="76" xfId="0" applyNumberFormat="1" applyFont="1" applyFill="1" applyBorder="1" applyAlignment="1" applyProtection="1">
      <alignment horizontal="center"/>
      <protection locked="0"/>
    </xf>
    <xf numFmtId="190" fontId="0" fillId="0" borderId="0" xfId="0" applyNumberFormat="1" applyAlignment="1" applyProtection="1">
      <alignment horizontal="center"/>
      <protection locked="0"/>
    </xf>
    <xf numFmtId="190" fontId="59" fillId="0" borderId="0" xfId="14" applyNumberFormat="1" applyFont="1" applyAlignment="1" applyProtection="1">
      <alignment horizontal="center"/>
      <protection locked="0"/>
    </xf>
    <xf numFmtId="4" fontId="69" fillId="0" borderId="0" xfId="0" applyNumberFormat="1" applyFont="1" applyProtection="1">
      <protection hidden="1"/>
    </xf>
    <xf numFmtId="0" fontId="7" fillId="3" borderId="0" xfId="0" applyFont="1" applyFill="1" applyAlignment="1" applyProtection="1">
      <alignment horizontal="center"/>
      <protection hidden="1"/>
    </xf>
    <xf numFmtId="0" fontId="0" fillId="3" borderId="0" xfId="0" applyFill="1" applyProtection="1">
      <protection hidden="1"/>
    </xf>
    <xf numFmtId="2" fontId="7" fillId="3" borderId="70" xfId="0" applyNumberFormat="1" applyFont="1" applyFill="1" applyBorder="1" applyAlignment="1" applyProtection="1">
      <alignment horizontal="center"/>
      <protection hidden="1"/>
    </xf>
    <xf numFmtId="0" fontId="57" fillId="3" borderId="69" xfId="0" applyFont="1" applyFill="1" applyBorder="1" applyProtection="1">
      <protection hidden="1"/>
    </xf>
    <xf numFmtId="169" fontId="0" fillId="3" borderId="0" xfId="0" applyNumberFormat="1" applyFont="1" applyFill="1" applyAlignment="1" applyProtection="1">
      <alignment horizontal="center"/>
      <protection hidden="1"/>
    </xf>
    <xf numFmtId="169" fontId="57" fillId="3" borderId="69" xfId="0" applyNumberFormat="1" applyFont="1" applyFill="1" applyBorder="1" applyAlignment="1" applyProtection="1">
      <alignment horizontal="center" vertical="center"/>
      <protection hidden="1"/>
    </xf>
    <xf numFmtId="0" fontId="0" fillId="19" borderId="0" xfId="0" applyFill="1" applyProtection="1">
      <protection hidden="1"/>
    </xf>
    <xf numFmtId="0" fontId="7" fillId="19" borderId="0" xfId="0" applyFont="1" applyFill="1" applyProtection="1">
      <protection hidden="1"/>
    </xf>
    <xf numFmtId="14" fontId="70" fillId="0" borderId="0" xfId="0" applyNumberFormat="1" applyFont="1" applyProtection="1">
      <protection hidden="1"/>
    </xf>
    <xf numFmtId="8" fontId="42" fillId="0" borderId="0" xfId="1" applyNumberFormat="1" applyProtection="1">
      <protection hidden="1"/>
    </xf>
    <xf numFmtId="14" fontId="0" fillId="0" borderId="0" xfId="0" applyNumberFormat="1" applyProtection="1">
      <protection hidden="1"/>
    </xf>
    <xf numFmtId="10" fontId="0" fillId="0" borderId="0" xfId="2" applyNumberFormat="1" applyFont="1" applyProtection="1">
      <protection hidden="1"/>
    </xf>
    <xf numFmtId="192" fontId="0" fillId="0" borderId="0" xfId="2" applyNumberFormat="1" applyFont="1" applyProtection="1">
      <protection hidden="1"/>
    </xf>
    <xf numFmtId="2" fontId="0" fillId="0" borderId="0" xfId="2" applyNumberFormat="1" applyFont="1" applyProtection="1">
      <protection hidden="1"/>
    </xf>
    <xf numFmtId="169" fontId="7" fillId="3" borderId="0" xfId="0" applyNumberFormat="1" applyFont="1" applyFill="1" applyAlignment="1" applyProtection="1">
      <alignment horizontal="center"/>
      <protection hidden="1"/>
    </xf>
    <xf numFmtId="10" fontId="0" fillId="3" borderId="0" xfId="2" applyNumberFormat="1" applyFont="1" applyFill="1" applyAlignment="1" applyProtection="1">
      <alignment horizontal="center"/>
      <protection hidden="1"/>
    </xf>
    <xf numFmtId="0" fontId="70" fillId="19" borderId="0" xfId="0" applyFont="1" applyFill="1" applyAlignment="1" applyProtection="1">
      <protection hidden="1"/>
    </xf>
    <xf numFmtId="0" fontId="0" fillId="19" borderId="0" xfId="0" applyFill="1" applyAlignment="1" applyProtection="1">
      <protection hidden="1"/>
    </xf>
    <xf numFmtId="1" fontId="0" fillId="0" borderId="0" xfId="2" applyNumberFormat="1" applyFont="1" applyProtection="1">
      <protection locked="0"/>
    </xf>
    <xf numFmtId="0" fontId="10" fillId="3" borderId="0" xfId="0" applyFont="1" applyFill="1" applyProtection="1">
      <protection hidden="1"/>
    </xf>
    <xf numFmtId="1" fontId="12" fillId="3" borderId="0" xfId="0" applyNumberFormat="1" applyFont="1" applyFill="1" applyAlignment="1" applyProtection="1">
      <alignment horizontal="center"/>
      <protection hidden="1"/>
    </xf>
    <xf numFmtId="0" fontId="12" fillId="3" borderId="0" xfId="0" applyFont="1" applyFill="1" applyAlignment="1" applyProtection="1">
      <alignment horizontal="center"/>
      <protection hidden="1"/>
    </xf>
    <xf numFmtId="0" fontId="13" fillId="3" borderId="0" xfId="0" applyFont="1" applyFill="1" applyAlignment="1" applyProtection="1">
      <alignment horizontal="center"/>
      <protection hidden="1"/>
    </xf>
    <xf numFmtId="0" fontId="11" fillId="3" borderId="0" xfId="0" applyFont="1" applyFill="1" applyAlignment="1" applyProtection="1">
      <alignment horizontal="center"/>
      <protection hidden="1"/>
    </xf>
    <xf numFmtId="169" fontId="10" fillId="3" borderId="0" xfId="0" applyNumberFormat="1" applyFont="1" applyFill="1" applyProtection="1">
      <protection hidden="1"/>
    </xf>
    <xf numFmtId="0" fontId="10" fillId="3" borderId="0" xfId="0" applyFont="1" applyFill="1" applyAlignment="1" applyProtection="1">
      <alignment horizontal="center" wrapText="1"/>
      <protection hidden="1"/>
    </xf>
    <xf numFmtId="0" fontId="16" fillId="20" borderId="0" xfId="0" applyFont="1" applyFill="1" applyAlignment="1">
      <alignment horizontal="center"/>
    </xf>
    <xf numFmtId="0" fontId="10" fillId="3" borderId="2" xfId="0" applyFont="1" applyFill="1" applyBorder="1" applyAlignment="1" applyProtection="1">
      <alignment horizontal="center"/>
      <protection hidden="1"/>
    </xf>
    <xf numFmtId="0" fontId="7" fillId="3" borderId="0" xfId="0" applyFont="1" applyFill="1" applyAlignment="1" applyProtection="1">
      <alignment horizontal="center" vertical="top" wrapText="1"/>
      <protection hidden="1"/>
    </xf>
    <xf numFmtId="0" fontId="10" fillId="3" borderId="1" xfId="0" applyFont="1" applyFill="1" applyBorder="1" applyAlignment="1" applyProtection="1">
      <alignment horizontal="center"/>
      <protection hidden="1"/>
    </xf>
    <xf numFmtId="0" fontId="10" fillId="3" borderId="3" xfId="0" applyFont="1" applyFill="1" applyBorder="1" applyAlignment="1" applyProtection="1">
      <alignment horizontal="center"/>
      <protection hidden="1"/>
    </xf>
    <xf numFmtId="0" fontId="14" fillId="3" borderId="0" xfId="0" applyFont="1" applyFill="1" applyAlignment="1" applyProtection="1">
      <alignment horizontal="center"/>
      <protection hidden="1"/>
    </xf>
    <xf numFmtId="0" fontId="7" fillId="3" borderId="0" xfId="0" applyFont="1" applyFill="1" applyAlignment="1" applyProtection="1">
      <alignment horizontal="center"/>
      <protection hidden="1"/>
    </xf>
    <xf numFmtId="168" fontId="0" fillId="3" borderId="0" xfId="0" applyNumberFormat="1" applyFill="1" applyAlignment="1" applyProtection="1">
      <alignment horizontal="center"/>
      <protection hidden="1"/>
    </xf>
    <xf numFmtId="0" fontId="16" fillId="3" borderId="0" xfId="0" applyFont="1" applyFill="1" applyAlignment="1" applyProtection="1">
      <alignment horizontal="center"/>
      <protection hidden="1"/>
    </xf>
    <xf numFmtId="0" fontId="7" fillId="0" borderId="0" xfId="0" applyFont="1" applyAlignment="1" applyProtection="1">
      <alignment horizontal="center"/>
      <protection hidden="1"/>
    </xf>
    <xf numFmtId="169" fontId="16" fillId="3" borderId="0" xfId="0" applyNumberFormat="1" applyFont="1" applyFill="1" applyAlignment="1" applyProtection="1">
      <alignment horizontal="center"/>
      <protection hidden="1"/>
    </xf>
    <xf numFmtId="0" fontId="20" fillId="6" borderId="19" xfId="0" applyFont="1" applyFill="1" applyBorder="1" applyAlignment="1" applyProtection="1">
      <alignment horizontal="center"/>
      <protection hidden="1"/>
    </xf>
    <xf numFmtId="0" fontId="20" fillId="6" borderId="67" xfId="0" applyFont="1" applyFill="1" applyBorder="1" applyAlignment="1" applyProtection="1">
      <alignment horizontal="center" vertical="center" wrapText="1"/>
      <protection hidden="1"/>
    </xf>
    <xf numFmtId="169" fontId="21" fillId="6" borderId="64" xfId="0" applyNumberFormat="1" applyFont="1" applyFill="1" applyBorder="1" applyAlignment="1" applyProtection="1">
      <alignment horizontal="center" vertical="center"/>
      <protection hidden="1"/>
    </xf>
    <xf numFmtId="0" fontId="0" fillId="6" borderId="65" xfId="0" applyFill="1" applyBorder="1" applyProtection="1">
      <protection hidden="1"/>
    </xf>
    <xf numFmtId="0" fontId="20" fillId="6" borderId="66" xfId="0" applyFont="1" applyFill="1" applyBorder="1" applyAlignment="1" applyProtection="1">
      <alignment horizontal="center"/>
      <protection hidden="1"/>
    </xf>
    <xf numFmtId="0" fontId="20" fillId="6" borderId="64" xfId="0" applyFont="1" applyFill="1" applyBorder="1" applyAlignment="1" applyProtection="1">
      <alignment horizontal="center"/>
      <protection hidden="1"/>
    </xf>
    <xf numFmtId="0" fontId="58" fillId="3" borderId="69" xfId="0" applyFont="1" applyFill="1" applyBorder="1" applyAlignment="1" applyProtection="1">
      <alignment horizontal="center"/>
      <protection hidden="1"/>
    </xf>
    <xf numFmtId="0" fontId="58" fillId="3" borderId="0" xfId="0" applyFont="1" applyFill="1" applyAlignment="1" applyProtection="1">
      <alignment horizontal="center"/>
      <protection hidden="1"/>
    </xf>
    <xf numFmtId="0" fontId="58" fillId="0" borderId="70" xfId="0" applyFont="1" applyBorder="1" applyAlignment="1">
      <alignment horizontal="center"/>
    </xf>
    <xf numFmtId="0" fontId="0" fillId="3" borderId="69" xfId="0" applyFill="1" applyBorder="1" applyProtection="1">
      <protection hidden="1"/>
    </xf>
    <xf numFmtId="0" fontId="0" fillId="3" borderId="0" xfId="0" applyFill="1" applyProtection="1">
      <protection hidden="1"/>
    </xf>
    <xf numFmtId="0" fontId="0" fillId="0" borderId="70" xfId="0" applyBorder="1"/>
    <xf numFmtId="0" fontId="70" fillId="19" borderId="0" xfId="0" applyFont="1" applyFill="1" applyAlignment="1" applyProtection="1">
      <protection hidden="1"/>
    </xf>
    <xf numFmtId="0" fontId="0" fillId="19" borderId="0" xfId="0" applyFill="1" applyAlignment="1" applyProtection="1">
      <protection hidden="1"/>
    </xf>
    <xf numFmtId="0" fontId="0" fillId="0" borderId="54" xfId="0" applyBorder="1" applyAlignment="1" applyProtection="1">
      <alignment horizontal="left"/>
      <protection locked="0"/>
    </xf>
    <xf numFmtId="0" fontId="0" fillId="0" borderId="53" xfId="0" applyBorder="1" applyAlignment="1" applyProtection="1">
      <alignment horizontal="left"/>
      <protection locked="0"/>
    </xf>
    <xf numFmtId="0" fontId="0" fillId="0" borderId="57" xfId="0" applyBorder="1" applyAlignment="1" applyProtection="1">
      <alignment horizontal="left"/>
      <protection locked="0"/>
    </xf>
    <xf numFmtId="0" fontId="7" fillId="5" borderId="26" xfId="0" applyFont="1" applyFill="1" applyBorder="1" applyAlignment="1" applyProtection="1">
      <alignment horizontal="center" wrapText="1"/>
      <protection hidden="1"/>
    </xf>
    <xf numFmtId="0" fontId="7" fillId="5" borderId="26" xfId="0" applyFont="1" applyFill="1" applyBorder="1" applyAlignment="1" applyProtection="1">
      <alignment horizontal="left" wrapText="1"/>
      <protection hidden="1"/>
    </xf>
    <xf numFmtId="0" fontId="7" fillId="16" borderId="32" xfId="0" applyFont="1" applyFill="1" applyBorder="1" applyAlignment="1" applyProtection="1">
      <alignment wrapText="1"/>
      <protection hidden="1"/>
    </xf>
    <xf numFmtId="0" fontId="7" fillId="17" borderId="32" xfId="0" applyFont="1" applyFill="1" applyBorder="1" applyAlignment="1" applyProtection="1">
      <alignment wrapText="1"/>
      <protection hidden="1"/>
    </xf>
    <xf numFmtId="0" fontId="7" fillId="5" borderId="80" xfId="0" applyFont="1" applyFill="1" applyBorder="1" applyAlignment="1" applyProtection="1">
      <alignment horizontal="center" wrapText="1"/>
      <protection hidden="1"/>
    </xf>
    <xf numFmtId="0" fontId="0" fillId="0" borderId="81" xfId="0" applyBorder="1" applyAlignment="1" applyProtection="1">
      <alignment horizontal="left"/>
      <protection locked="0"/>
    </xf>
    <xf numFmtId="0" fontId="0" fillId="0" borderId="82" xfId="0" applyBorder="1" applyAlignment="1" applyProtection="1">
      <alignment horizontal="left"/>
      <protection locked="0"/>
    </xf>
    <xf numFmtId="0" fontId="0" fillId="0" borderId="83" xfId="0" applyBorder="1" applyAlignment="1" applyProtection="1">
      <alignment horizontal="left"/>
      <protection locked="0"/>
    </xf>
    <xf numFmtId="0" fontId="0" fillId="0" borderId="54" xfId="0" applyFont="1" applyBorder="1" applyAlignment="1" applyProtection="1">
      <alignment horizontal="left"/>
      <protection locked="0"/>
    </xf>
    <xf numFmtId="0" fontId="0" fillId="0" borderId="53" xfId="0" applyFont="1" applyBorder="1" applyAlignment="1" applyProtection="1">
      <alignment horizontal="left"/>
      <protection locked="0"/>
    </xf>
    <xf numFmtId="0" fontId="0" fillId="0" borderId="57" xfId="0" applyFont="1" applyBorder="1" applyAlignment="1" applyProtection="1">
      <alignment horizontal="left"/>
      <protection locked="0"/>
    </xf>
    <xf numFmtId="0" fontId="0" fillId="5" borderId="26" xfId="0" applyFill="1" applyBorder="1" applyAlignment="1" applyProtection="1">
      <alignment horizontal="left" wrapText="1"/>
      <protection hidden="1"/>
    </xf>
    <xf numFmtId="0" fontId="40" fillId="2" borderId="0" xfId="0" applyFont="1" applyFill="1" applyAlignment="1" applyProtection="1">
      <alignment horizontal="center" vertical="top" wrapText="1"/>
      <protection hidden="1"/>
    </xf>
    <xf numFmtId="0" fontId="14" fillId="5" borderId="26" xfId="0" applyFont="1" applyFill="1" applyBorder="1" applyAlignment="1" applyProtection="1">
      <alignment horizontal="center" vertical="center" wrapText="1"/>
      <protection hidden="1"/>
    </xf>
    <xf numFmtId="0" fontId="7" fillId="5" borderId="28" xfId="0" applyFont="1" applyFill="1" applyBorder="1" applyAlignment="1" applyProtection="1">
      <alignment horizontal="center" wrapText="1"/>
      <protection hidden="1"/>
    </xf>
    <xf numFmtId="0" fontId="0" fillId="5" borderId="54" xfId="0" applyFill="1" applyBorder="1" applyAlignment="1" applyProtection="1">
      <alignment horizontal="left" wrapText="1"/>
      <protection hidden="1"/>
    </xf>
    <xf numFmtId="0" fontId="0" fillId="0" borderId="26" xfId="0" applyFont="1" applyBorder="1" applyAlignment="1" applyProtection="1">
      <alignment horizontal="left"/>
      <protection locked="0"/>
    </xf>
    <xf numFmtId="0" fontId="27" fillId="8" borderId="68" xfId="0" applyFont="1" applyFill="1" applyBorder="1" applyAlignment="1">
      <alignment horizontal="left" vertical="center" wrapText="1"/>
    </xf>
    <xf numFmtId="0" fontId="29" fillId="8" borderId="49" xfId="0" applyFont="1" applyFill="1" applyBorder="1" applyAlignment="1">
      <alignment horizontal="left" vertical="center" wrapText="1" indent="1"/>
    </xf>
    <xf numFmtId="0" fontId="63" fillId="19" borderId="84" xfId="0" applyFont="1" applyFill="1" applyBorder="1" applyAlignment="1" applyProtection="1">
      <alignment horizontal="center" vertical="center"/>
      <protection hidden="1"/>
    </xf>
    <xf numFmtId="0" fontId="63" fillId="19" borderId="103" xfId="0" applyFont="1" applyFill="1" applyBorder="1" applyAlignment="1" applyProtection="1">
      <alignment horizontal="center" vertical="center"/>
      <protection hidden="1"/>
    </xf>
    <xf numFmtId="0" fontId="63" fillId="19" borderId="86" xfId="0" applyFont="1" applyFill="1" applyBorder="1" applyAlignment="1" applyProtection="1">
      <alignment horizontal="center" vertical="center"/>
      <protection hidden="1"/>
    </xf>
    <xf numFmtId="0" fontId="63" fillId="19" borderId="79" xfId="0" applyFont="1" applyFill="1" applyBorder="1" applyAlignment="1" applyProtection="1">
      <alignment horizontal="center" vertical="center"/>
      <protection hidden="1"/>
    </xf>
    <xf numFmtId="0" fontId="63" fillId="19" borderId="91" xfId="0" applyFont="1" applyFill="1" applyBorder="1" applyAlignment="1" applyProtection="1">
      <alignment horizontal="center" vertical="center"/>
      <protection hidden="1"/>
    </xf>
    <xf numFmtId="0" fontId="63" fillId="19" borderId="100" xfId="0" applyFont="1" applyFill="1" applyBorder="1" applyAlignment="1" applyProtection="1">
      <alignment horizontal="center" vertical="center"/>
      <protection hidden="1"/>
    </xf>
    <xf numFmtId="0" fontId="0" fillId="0" borderId="105" xfId="0" applyBorder="1" applyAlignment="1" applyProtection="1">
      <alignment horizontal="left" vertical="top" wrapText="1"/>
      <protection locked="0"/>
    </xf>
    <xf numFmtId="0" fontId="0" fillId="0" borderId="85" xfId="0" applyBorder="1" applyAlignment="1" applyProtection="1">
      <alignment horizontal="left" vertical="top" wrapText="1"/>
      <protection locked="0"/>
    </xf>
    <xf numFmtId="0" fontId="0" fillId="0" borderId="0" xfId="0" applyAlignment="1" applyProtection="1">
      <alignment horizontal="left" vertical="top" wrapText="1"/>
      <protection locked="0"/>
    </xf>
    <xf numFmtId="0" fontId="0" fillId="0" borderId="87" xfId="0" applyBorder="1" applyAlignment="1" applyProtection="1">
      <alignment horizontal="left" vertical="top" wrapText="1"/>
      <protection locked="0"/>
    </xf>
    <xf numFmtId="0" fontId="0" fillId="0" borderId="72" xfId="0" applyBorder="1" applyAlignment="1" applyProtection="1">
      <alignment horizontal="left" vertical="top" wrapText="1"/>
      <protection locked="0"/>
    </xf>
    <xf numFmtId="0" fontId="0" fillId="0" borderId="71" xfId="0" applyBorder="1" applyAlignment="1" applyProtection="1">
      <alignment horizontal="left" vertical="top" wrapText="1"/>
      <protection locked="0"/>
    </xf>
    <xf numFmtId="0" fontId="0" fillId="21" borderId="84" xfId="0" applyFill="1" applyBorder="1" applyAlignment="1" applyProtection="1">
      <alignment horizontal="center"/>
      <protection hidden="1"/>
    </xf>
    <xf numFmtId="0" fontId="0" fillId="21" borderId="85" xfId="0" applyFill="1" applyBorder="1" applyAlignment="1" applyProtection="1">
      <alignment horizontal="center"/>
      <protection hidden="1"/>
    </xf>
    <xf numFmtId="0" fontId="0" fillId="21" borderId="86" xfId="0" applyFill="1" applyBorder="1" applyAlignment="1" applyProtection="1">
      <alignment horizontal="center"/>
      <protection hidden="1"/>
    </xf>
    <xf numFmtId="0" fontId="0" fillId="21" borderId="87" xfId="0" applyFill="1" applyBorder="1" applyAlignment="1" applyProtection="1">
      <alignment horizontal="center"/>
      <protection hidden="1"/>
    </xf>
    <xf numFmtId="0" fontId="0" fillId="21" borderId="91" xfId="0" applyFill="1" applyBorder="1" applyAlignment="1" applyProtection="1">
      <alignment horizontal="center"/>
      <protection hidden="1"/>
    </xf>
    <xf numFmtId="0" fontId="0" fillId="21" borderId="71" xfId="0" applyFill="1" applyBorder="1" applyAlignment="1" applyProtection="1">
      <alignment horizontal="center"/>
      <protection hidden="1"/>
    </xf>
    <xf numFmtId="0" fontId="65" fillId="19" borderId="0" xfId="0" applyFont="1" applyFill="1" applyAlignment="1" applyProtection="1">
      <alignment horizontal="center" vertical="center"/>
      <protection hidden="1"/>
    </xf>
    <xf numFmtId="0" fontId="67" fillId="19" borderId="0" xfId="0" applyFont="1" applyFill="1" applyAlignment="1" applyProtection="1">
      <alignment horizontal="center" vertical="center"/>
      <protection hidden="1"/>
    </xf>
    <xf numFmtId="0" fontId="67" fillId="19" borderId="79" xfId="0" applyFont="1" applyFill="1" applyBorder="1" applyAlignment="1" applyProtection="1">
      <alignment horizontal="center" vertical="center"/>
      <protection hidden="1"/>
    </xf>
    <xf numFmtId="0" fontId="62" fillId="19" borderId="94" xfId="0" applyFont="1" applyFill="1" applyBorder="1" applyAlignment="1" applyProtection="1">
      <alignment horizontal="center" vertical="center"/>
      <protection hidden="1"/>
    </xf>
    <xf numFmtId="0" fontId="62" fillId="19" borderId="95" xfId="0" applyFont="1" applyFill="1" applyBorder="1" applyAlignment="1" applyProtection="1">
      <alignment horizontal="center" vertical="center"/>
      <protection hidden="1"/>
    </xf>
    <xf numFmtId="0" fontId="62" fillId="19" borderId="97" xfId="0" applyFont="1" applyFill="1" applyBorder="1" applyAlignment="1" applyProtection="1">
      <alignment horizontal="center" vertical="center"/>
      <protection hidden="1"/>
    </xf>
    <xf numFmtId="0" fontId="62" fillId="19" borderId="98" xfId="0" applyFont="1" applyFill="1" applyBorder="1" applyAlignment="1" applyProtection="1">
      <alignment horizontal="center" vertical="center"/>
      <protection hidden="1"/>
    </xf>
    <xf numFmtId="0" fontId="62" fillId="19" borderId="91" xfId="0" applyFont="1" applyFill="1" applyBorder="1" applyAlignment="1" applyProtection="1">
      <alignment horizontal="center" vertical="center"/>
      <protection hidden="1"/>
    </xf>
    <xf numFmtId="0" fontId="62" fillId="19" borderId="100" xfId="0" applyFont="1" applyFill="1" applyBorder="1" applyAlignment="1" applyProtection="1">
      <alignment horizontal="center" vertical="center"/>
      <protection hidden="1"/>
    </xf>
    <xf numFmtId="0" fontId="0" fillId="0" borderId="104" xfId="0" applyBorder="1" applyAlignment="1" applyProtection="1">
      <alignment horizontal="left" vertical="top" wrapText="1"/>
      <protection locked="0"/>
    </xf>
    <xf numFmtId="0" fontId="0" fillId="0" borderId="106" xfId="0" applyBorder="1" applyAlignment="1" applyProtection="1">
      <alignment horizontal="left" vertical="top" wrapText="1"/>
      <protection locked="0"/>
    </xf>
    <xf numFmtId="0" fontId="0" fillId="0" borderId="107" xfId="0" applyBorder="1" applyAlignment="1" applyProtection="1">
      <alignment horizontal="left" vertical="top" wrapText="1"/>
      <protection locked="0"/>
    </xf>
    <xf numFmtId="0" fontId="63" fillId="19" borderId="84" xfId="0" applyFont="1" applyFill="1" applyBorder="1" applyAlignment="1" applyProtection="1">
      <alignment horizontal="center" vertical="center" wrapText="1"/>
      <protection hidden="1"/>
    </xf>
    <xf numFmtId="0" fontId="63" fillId="19" borderId="103" xfId="0" applyFont="1" applyFill="1" applyBorder="1" applyAlignment="1" applyProtection="1">
      <alignment horizontal="center" vertical="center" wrapText="1"/>
      <protection hidden="1"/>
    </xf>
    <xf numFmtId="0" fontId="63" fillId="19" borderId="86" xfId="0" applyFont="1" applyFill="1" applyBorder="1" applyAlignment="1" applyProtection="1">
      <alignment horizontal="center" vertical="center" wrapText="1"/>
      <protection hidden="1"/>
    </xf>
    <xf numFmtId="0" fontId="63" fillId="19" borderId="79" xfId="0" applyFont="1" applyFill="1" applyBorder="1" applyAlignment="1" applyProtection="1">
      <alignment horizontal="center" vertical="center" wrapText="1"/>
      <protection hidden="1"/>
    </xf>
    <xf numFmtId="0" fontId="63" fillId="19" borderId="91" xfId="0" applyFont="1" applyFill="1" applyBorder="1" applyAlignment="1" applyProtection="1">
      <alignment horizontal="center" vertical="center" wrapText="1"/>
      <protection hidden="1"/>
    </xf>
    <xf numFmtId="0" fontId="63" fillId="19" borderId="100" xfId="0" applyFont="1" applyFill="1" applyBorder="1" applyAlignment="1" applyProtection="1">
      <alignment horizontal="center" vertical="center" wrapText="1"/>
      <protection hidden="1"/>
    </xf>
    <xf numFmtId="0" fontId="0" fillId="0" borderId="105" xfId="0" applyBorder="1" applyAlignment="1" applyProtection="1">
      <alignment vertical="top" wrapText="1"/>
      <protection locked="0"/>
    </xf>
    <xf numFmtId="0" fontId="0" fillId="0" borderId="85" xfId="0" applyBorder="1" applyAlignment="1" applyProtection="1">
      <alignment vertical="top" wrapText="1"/>
      <protection locked="0"/>
    </xf>
    <xf numFmtId="0" fontId="0" fillId="0" borderId="0" xfId="0" applyAlignment="1" applyProtection="1">
      <alignment vertical="top" wrapText="1"/>
      <protection locked="0"/>
    </xf>
    <xf numFmtId="0" fontId="0" fillId="0" borderId="87" xfId="0" applyBorder="1" applyAlignment="1" applyProtection="1">
      <alignment vertical="top" wrapText="1"/>
      <protection locked="0"/>
    </xf>
    <xf numFmtId="0" fontId="0" fillId="0" borderId="72" xfId="0" applyBorder="1" applyAlignment="1" applyProtection="1">
      <alignment vertical="top" wrapText="1"/>
      <protection locked="0"/>
    </xf>
    <xf numFmtId="0" fontId="0" fillId="0" borderId="71" xfId="0" applyBorder="1" applyAlignment="1" applyProtection="1">
      <alignment vertical="top" wrapText="1"/>
      <protection locked="0"/>
    </xf>
    <xf numFmtId="0" fontId="0" fillId="0" borderId="105" xfId="0" applyBorder="1" applyAlignment="1" applyProtection="1">
      <alignment horizontal="left" vertical="top" wrapText="1"/>
      <protection hidden="1"/>
    </xf>
    <xf numFmtId="0" fontId="0" fillId="0" borderId="85" xfId="0" applyBorder="1" applyAlignment="1" applyProtection="1">
      <alignment horizontal="left" vertical="top" wrapText="1"/>
      <protection hidden="1"/>
    </xf>
    <xf numFmtId="0" fontId="0" fillId="0" borderId="0" xfId="0" applyAlignment="1" applyProtection="1">
      <alignment horizontal="left" vertical="top" wrapText="1"/>
      <protection hidden="1"/>
    </xf>
    <xf numFmtId="0" fontId="0" fillId="0" borderId="87" xfId="0" applyBorder="1" applyAlignment="1" applyProtection="1">
      <alignment horizontal="left" vertical="top" wrapText="1"/>
      <protection hidden="1"/>
    </xf>
    <xf numFmtId="0" fontId="0" fillId="0" borderId="72" xfId="0" applyBorder="1" applyAlignment="1" applyProtection="1">
      <alignment horizontal="left" vertical="top" wrapText="1"/>
      <protection hidden="1"/>
    </xf>
    <xf numFmtId="0" fontId="0" fillId="0" borderId="71" xfId="0" applyBorder="1" applyAlignment="1" applyProtection="1">
      <alignment horizontal="left" vertical="top" wrapText="1"/>
      <protection hidden="1"/>
    </xf>
    <xf numFmtId="0" fontId="7" fillId="3" borderId="0" xfId="0" applyFont="1" applyFill="1" applyAlignment="1">
      <alignment horizontal="left" wrapText="1"/>
    </xf>
    <xf numFmtId="0" fontId="7" fillId="0" borderId="0" xfId="0" applyFont="1" applyAlignment="1">
      <alignment horizontal="left" wrapText="1"/>
    </xf>
  </cellXfs>
  <cellStyles count="26">
    <cellStyle name="Currency" xfId="1" builtinId="4"/>
    <cellStyle name="Normal" xfId="0" builtinId="0"/>
    <cellStyle name="Normal 2" xfId="4" xr:uid="{00000000-0005-0000-0000-000002000000}"/>
    <cellStyle name="Normal 2 2" xfId="8" xr:uid="{00000000-0005-0000-0000-000003000000}"/>
    <cellStyle name="Normal 2 2 2" xfId="20" xr:uid="{00000000-0005-0000-0000-000004000000}"/>
    <cellStyle name="Normal 2 3" xfId="16" xr:uid="{00000000-0005-0000-0000-000005000000}"/>
    <cellStyle name="Normal 3" xfId="6" xr:uid="{00000000-0005-0000-0000-000006000000}"/>
    <cellStyle name="Normal 3 2" xfId="10" xr:uid="{00000000-0005-0000-0000-000007000000}"/>
    <cellStyle name="Normal 3 2 2" xfId="22" xr:uid="{00000000-0005-0000-0000-000008000000}"/>
    <cellStyle name="Normal 3 3" xfId="18" xr:uid="{00000000-0005-0000-0000-000009000000}"/>
    <cellStyle name="Normal 4" xfId="12" xr:uid="{00000000-0005-0000-0000-00000A000000}"/>
    <cellStyle name="Normal 4 2" xfId="24" xr:uid="{00000000-0005-0000-0000-00000B000000}"/>
    <cellStyle name="Normal 5" xfId="14" xr:uid="{00000000-0005-0000-0000-00000C000000}"/>
    <cellStyle name="Percent" xfId="2" builtinId="5"/>
    <cellStyle name="Percent 2" xfId="5" xr:uid="{00000000-0005-0000-0000-00000E000000}"/>
    <cellStyle name="Percent 2 2" xfId="9" xr:uid="{00000000-0005-0000-0000-00000F000000}"/>
    <cellStyle name="Percent 2 2 2" xfId="21" xr:uid="{00000000-0005-0000-0000-000010000000}"/>
    <cellStyle name="Percent 2 3" xfId="17" xr:uid="{00000000-0005-0000-0000-000011000000}"/>
    <cellStyle name="Percent 3" xfId="7" xr:uid="{00000000-0005-0000-0000-000012000000}"/>
    <cellStyle name="Percent 3 2" xfId="11" xr:uid="{00000000-0005-0000-0000-000013000000}"/>
    <cellStyle name="Percent 3 2 2" xfId="23" xr:uid="{00000000-0005-0000-0000-000014000000}"/>
    <cellStyle name="Percent 3 3" xfId="19" xr:uid="{00000000-0005-0000-0000-000015000000}"/>
    <cellStyle name="Percent 4" xfId="13" xr:uid="{00000000-0005-0000-0000-000016000000}"/>
    <cellStyle name="Percent 4 2" xfId="25" xr:uid="{00000000-0005-0000-0000-000017000000}"/>
    <cellStyle name="Percent 5" xfId="15" xr:uid="{00000000-0005-0000-0000-000018000000}"/>
    <cellStyle name="Result3" xfId="3" xr:uid="{00000000-0005-0000-0000-000019000000}"/>
  </cellStyles>
  <dxfs count="73">
    <dxf>
      <font>
        <b val="0"/>
        <condense val="0"/>
        <extend val="0"/>
        <color indexed="54"/>
      </font>
    </dxf>
    <dxf>
      <font>
        <b val="0"/>
        <condense val="0"/>
        <extend val="0"/>
        <color indexed="9"/>
      </font>
    </dxf>
    <dxf>
      <font>
        <b val="0"/>
        <condense val="0"/>
        <extend val="0"/>
        <color indexed="9"/>
      </font>
    </dxf>
    <dxf>
      <font>
        <b val="0"/>
        <condense val="0"/>
        <extend val="0"/>
        <color indexed="26"/>
      </font>
    </dxf>
    <dxf>
      <font>
        <b val="0"/>
        <condense val="0"/>
        <extend val="0"/>
        <color indexed="26"/>
      </font>
    </dxf>
    <dxf>
      <font>
        <b val="0"/>
        <condense val="0"/>
        <extend val="0"/>
        <color indexed="9"/>
      </font>
    </dxf>
    <dxf>
      <font>
        <b val="0"/>
        <condense val="0"/>
        <extend val="0"/>
        <color indexed="26"/>
      </font>
    </dxf>
    <dxf>
      <font>
        <b val="0"/>
        <condense val="0"/>
        <extend val="0"/>
        <color indexed="26"/>
      </font>
    </dxf>
    <dxf>
      <font>
        <b val="0"/>
        <condense val="0"/>
        <extend val="0"/>
        <color indexed="9"/>
      </font>
    </dxf>
    <dxf>
      <font>
        <b val="0"/>
        <condense val="0"/>
        <extend val="0"/>
        <color indexed="26"/>
      </font>
    </dxf>
    <dxf>
      <font>
        <b val="0"/>
        <condense val="0"/>
        <extend val="0"/>
        <color indexed="26"/>
      </font>
    </dxf>
    <dxf>
      <font>
        <b val="0"/>
        <condense val="0"/>
        <extend val="0"/>
        <color indexed="9"/>
      </font>
    </dxf>
    <dxf>
      <font>
        <b val="0"/>
        <condense val="0"/>
        <extend val="0"/>
        <color indexed="26"/>
      </font>
    </dxf>
    <dxf>
      <font>
        <b val="0"/>
        <condense val="0"/>
        <extend val="0"/>
        <color indexed="26"/>
      </font>
    </dxf>
    <dxf>
      <font>
        <b val="0"/>
        <condense val="0"/>
        <extend val="0"/>
        <color indexed="9"/>
      </font>
    </dxf>
    <dxf>
      <font>
        <b val="0"/>
        <condense val="0"/>
        <extend val="0"/>
        <color indexed="26"/>
      </font>
    </dxf>
    <dxf>
      <font>
        <b val="0"/>
        <condense val="0"/>
        <extend val="0"/>
        <color indexed="26"/>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9"/>
      </font>
    </dxf>
    <dxf>
      <font>
        <b val="0"/>
        <condense val="0"/>
        <extend val="0"/>
        <color indexed="9"/>
      </font>
    </dxf>
    <dxf>
      <font>
        <b val="0"/>
        <condense val="0"/>
        <extend val="0"/>
        <color indexed="22"/>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55"/>
      </font>
    </dxf>
    <dxf>
      <font>
        <b val="0"/>
        <condense val="0"/>
        <extend val="0"/>
        <color indexed="31"/>
      </font>
    </dxf>
    <dxf>
      <font>
        <b val="0"/>
        <condense val="0"/>
        <extend val="0"/>
        <color indexed="18"/>
      </font>
    </dxf>
    <dxf>
      <font>
        <b val="0"/>
        <condense val="0"/>
        <extend val="0"/>
        <color indexed="9"/>
      </font>
    </dxf>
    <dxf>
      <fill>
        <patternFill>
          <bgColor indexed="51"/>
        </patternFill>
      </fill>
    </dxf>
    <dxf>
      <fill>
        <patternFill>
          <bgColor indexed="11"/>
        </patternFill>
      </fill>
    </dxf>
    <dxf>
      <fill>
        <patternFill patternType="solid">
          <bgColor indexed="10"/>
        </patternFill>
      </fill>
    </dxf>
    <dxf>
      <fill>
        <patternFill>
          <bgColor rgb="FFFF0000"/>
        </patternFill>
      </fill>
    </dxf>
    <dxf>
      <font>
        <b/>
        <i val="0"/>
        <condense val="0"/>
        <extend val="0"/>
      </font>
      <fill>
        <patternFill>
          <fgColor indexed="64"/>
          <bgColor theme="0"/>
        </patternFill>
      </fill>
    </dxf>
    <dxf>
      <fill>
        <patternFill>
          <bgColor theme="0" tint="-0.24994659260841701"/>
        </patternFill>
      </fill>
    </dxf>
    <dxf>
      <fill>
        <patternFill>
          <bgColor rgb="FFFFFF00"/>
        </patternFill>
      </fill>
    </dxf>
    <dxf>
      <font>
        <b val="0"/>
        <condense val="0"/>
        <extend val="0"/>
        <color indexed="26"/>
      </font>
    </dxf>
    <dxf>
      <font>
        <color indexed="10"/>
        <name val="Calibri Light"/>
        <scheme val="none"/>
      </font>
    </dxf>
    <dxf>
      <font>
        <color rgb="FFFFC000"/>
        <name val="Calibri Light"/>
        <scheme val="none"/>
      </font>
    </dxf>
    <dxf>
      <font>
        <color theme="1"/>
      </font>
    </dxf>
    <dxf>
      <font>
        <color rgb="FF92D050"/>
      </font>
    </dxf>
    <dxf>
      <font>
        <color theme="0" tint="-0.34998626667073579"/>
      </font>
    </dxf>
    <dxf>
      <font>
        <b val="0"/>
        <condense val="0"/>
        <extend val="0"/>
        <color indexed="31"/>
      </font>
    </dxf>
    <dxf>
      <font>
        <b val="0"/>
        <condense val="0"/>
        <extend val="0"/>
        <color indexed="23"/>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E6E64C"/>
      <rgbColor rgb="00FF00FF"/>
      <rgbColor rgb="0000FFFF"/>
      <rgbColor rgb="007E0021"/>
      <rgbColor rgb="0000AE00"/>
      <rgbColor rgb="00000080"/>
      <rgbColor rgb="00808000"/>
      <rgbColor rgb="00800080"/>
      <rgbColor rgb="00008080"/>
      <rgbColor rgb="00C0C0C0"/>
      <rgbColor rgb="00808080"/>
      <rgbColor rgb="009999FF"/>
      <rgbColor rgb="00993366"/>
      <rgbColor rgb="00E6E6E6"/>
      <rgbColor rgb="00CCFFFF"/>
      <rgbColor rgb="00660066"/>
      <rgbColor rgb="00FF8080"/>
      <rgbColor rgb="000066CC"/>
      <rgbColor rgb="00CCCCCC"/>
      <rgbColor rgb="00000080"/>
      <rgbColor rgb="00FF00FF"/>
      <rgbColor rgb="00FFFF00"/>
      <rgbColor rgb="0000FFFF"/>
      <rgbColor rgb="00800080"/>
      <rgbColor rgb="00800000"/>
      <rgbColor rgb="00008080"/>
      <rgbColor rgb="000000FF"/>
      <rgbColor rgb="0000CCFF"/>
      <rgbColor rgb="00CCFFFF"/>
      <rgbColor rgb="00CCFFCC"/>
      <rgbColor rgb="00FFFF99"/>
      <rgbColor rgb="0083CAFF"/>
      <rgbColor rgb="00FF99CC"/>
      <rgbColor rgb="00CC99FF"/>
      <rgbColor rgb="00FFCC99"/>
      <rgbColor rgb="003366FF"/>
      <rgbColor rgb="0033CCCC"/>
      <rgbColor rgb="00B3B300"/>
      <rgbColor rgb="00CCCC00"/>
      <rgbColor rgb="00FF9900"/>
      <rgbColor rgb="00FF6633"/>
      <rgbColor rgb="00666666"/>
      <rgbColor rgb="00999999"/>
      <rgbColor rgb="00003366"/>
      <rgbColor rgb="00579D1C"/>
      <rgbColor rgb="00003300"/>
      <rgbColor rgb="00333300"/>
      <rgbColor rgb="00DC2300"/>
      <rgbColor rgb="00993366"/>
      <rgbColor rgb="00333399"/>
      <rgbColor rgb="004C4C4C"/>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990" b="0" i="0" u="none" strike="noStrike" baseline="0">
                <a:solidFill>
                  <a:srgbClr val="000000"/>
                </a:solidFill>
                <a:latin typeface="Bitstream Vera Sans"/>
                <a:ea typeface="Bitstream Vera Sans"/>
                <a:cs typeface="Bitstream Vera Sans"/>
              </a:defRPr>
            </a:pPr>
            <a:r>
              <a:rPr lang="en-AU"/>
              <a:t>Daily Sales &amp; Door Count by Month</a:t>
            </a:r>
          </a:p>
        </c:rich>
      </c:tx>
      <c:layout>
        <c:manualLayout>
          <c:xMode val="edge"/>
          <c:yMode val="edge"/>
          <c:x val="0.27378437228814956"/>
          <c:y val="2.3923386159008603E-2"/>
        </c:manualLayout>
      </c:layout>
      <c:overlay val="0"/>
      <c:spPr>
        <a:noFill/>
        <a:ln w="25400">
          <a:noFill/>
        </a:ln>
      </c:spPr>
    </c:title>
    <c:autoTitleDeleted val="0"/>
    <c:plotArea>
      <c:layout>
        <c:manualLayout>
          <c:layoutTarget val="inner"/>
          <c:xMode val="edge"/>
          <c:yMode val="edge"/>
          <c:x val="0.10604459361568051"/>
          <c:y val="0.25518381053100475"/>
          <c:w val="0.70095476379964816"/>
          <c:h val="0.56299928198402915"/>
        </c:manualLayout>
      </c:layout>
      <c:barChart>
        <c:barDir val="col"/>
        <c:grouping val="clustered"/>
        <c:varyColors val="0"/>
        <c:ser>
          <c:idx val="0"/>
          <c:order val="0"/>
          <c:tx>
            <c:strRef>
              <c:f>'Daily &amp; Weekly Totals'!$G$2</c:f>
              <c:strCache>
                <c:ptCount val="1"/>
                <c:pt idx="0">
                  <c:v>Value of Sales</c:v>
                </c:pt>
              </c:strCache>
            </c:strRef>
          </c:tx>
          <c:spPr>
            <a:solidFill>
              <a:srgbClr val="9999FF"/>
            </a:solidFill>
            <a:ln w="3175">
              <a:solidFill>
                <a:srgbClr val="000000"/>
              </a:solidFill>
              <a:prstDash val="solid"/>
            </a:ln>
          </c:spPr>
          <c:invertIfNegative val="0"/>
          <c:cat>
            <c:strRef>
              <c:f>'Daily &amp; Weekly Totals'!$D$5:$D$61</c:f>
              <c:strCache>
                <c:ptCount val="57"/>
                <c:pt idx="0">
                  <c:v>Monday</c:v>
                </c:pt>
                <c:pt idx="1">
                  <c:v>Tuesday</c:v>
                </c:pt>
                <c:pt idx="2">
                  <c:v>Wednesday</c:v>
                </c:pt>
                <c:pt idx="3">
                  <c:v>Thursday</c:v>
                </c:pt>
                <c:pt idx="4">
                  <c:v>Friday</c:v>
                </c:pt>
                <c:pt idx="5">
                  <c:v>Saturday</c:v>
                </c:pt>
                <c:pt idx="6">
                  <c:v>Sunday</c:v>
                </c:pt>
                <c:pt idx="7">
                  <c:v>Week 1 Results</c:v>
                </c:pt>
                <c:pt idx="9">
                  <c:v>Week 2</c:v>
                </c:pt>
                <c:pt idx="10">
                  <c:v>Monday</c:v>
                </c:pt>
                <c:pt idx="11">
                  <c:v>Tuesday</c:v>
                </c:pt>
                <c:pt idx="12">
                  <c:v>Wednesday</c:v>
                </c:pt>
                <c:pt idx="13">
                  <c:v>Thursday</c:v>
                </c:pt>
                <c:pt idx="14">
                  <c:v>Friday</c:v>
                </c:pt>
                <c:pt idx="15">
                  <c:v>Saturday</c:v>
                </c:pt>
                <c:pt idx="16">
                  <c:v>Sunday</c:v>
                </c:pt>
                <c:pt idx="17">
                  <c:v>Week 2 Results</c:v>
                </c:pt>
                <c:pt idx="19">
                  <c:v>Week 3</c:v>
                </c:pt>
                <c:pt idx="20">
                  <c:v>Monday</c:v>
                </c:pt>
                <c:pt idx="21">
                  <c:v>Tuesday</c:v>
                </c:pt>
                <c:pt idx="22">
                  <c:v>Wednesday</c:v>
                </c:pt>
                <c:pt idx="23">
                  <c:v>Thursday</c:v>
                </c:pt>
                <c:pt idx="24">
                  <c:v>Friday</c:v>
                </c:pt>
                <c:pt idx="25">
                  <c:v>Saturday</c:v>
                </c:pt>
                <c:pt idx="26">
                  <c:v>Sunday</c:v>
                </c:pt>
                <c:pt idx="27">
                  <c:v>Week 3 Results</c:v>
                </c:pt>
                <c:pt idx="29">
                  <c:v>Week 4</c:v>
                </c:pt>
                <c:pt idx="30">
                  <c:v>Monday</c:v>
                </c:pt>
                <c:pt idx="31">
                  <c:v>Tuesday</c:v>
                </c:pt>
                <c:pt idx="32">
                  <c:v>Wednesday</c:v>
                </c:pt>
                <c:pt idx="33">
                  <c:v>Thursday</c:v>
                </c:pt>
                <c:pt idx="34">
                  <c:v>Friday</c:v>
                </c:pt>
                <c:pt idx="35">
                  <c:v>Saturday</c:v>
                </c:pt>
                <c:pt idx="36">
                  <c:v>Sunday</c:v>
                </c:pt>
                <c:pt idx="37">
                  <c:v>Week 4 Results</c:v>
                </c:pt>
                <c:pt idx="39">
                  <c:v>Week 5</c:v>
                </c:pt>
                <c:pt idx="40">
                  <c:v>Monday</c:v>
                </c:pt>
                <c:pt idx="41">
                  <c:v>Tuesday</c:v>
                </c:pt>
                <c:pt idx="42">
                  <c:v>Wednesday</c:v>
                </c:pt>
                <c:pt idx="43">
                  <c:v>Thursday</c:v>
                </c:pt>
                <c:pt idx="44">
                  <c:v>Friday</c:v>
                </c:pt>
                <c:pt idx="45">
                  <c:v>Saturday</c:v>
                </c:pt>
                <c:pt idx="46">
                  <c:v>Sunday</c:v>
                </c:pt>
                <c:pt idx="47">
                  <c:v>Week 5 Results</c:v>
                </c:pt>
                <c:pt idx="49">
                  <c:v>Week 6</c:v>
                </c:pt>
                <c:pt idx="50">
                  <c:v>Monday</c:v>
                </c:pt>
                <c:pt idx="51">
                  <c:v>Tuesday</c:v>
                </c:pt>
                <c:pt idx="52">
                  <c:v>Wednesday</c:v>
                </c:pt>
                <c:pt idx="53">
                  <c:v>Thursday</c:v>
                </c:pt>
                <c:pt idx="54">
                  <c:v>Friday</c:v>
                </c:pt>
                <c:pt idx="55">
                  <c:v>Saturday</c:v>
                </c:pt>
                <c:pt idx="56">
                  <c:v>Sunday</c:v>
                </c:pt>
              </c:strCache>
            </c:strRef>
          </c:cat>
          <c:val>
            <c:numRef>
              <c:f>'Daily &amp; Weekly Totals'!$G$5:$G$61</c:f>
              <c:numCache>
                <c:formatCode>[$$-C09]#,##0.00;[Red]\-[$$-C09]#,##0.00</c:formatCode>
                <c:ptCount val="57"/>
                <c:pt idx="0">
                  <c:v>0</c:v>
                </c:pt>
                <c:pt idx="1">
                  <c:v>0</c:v>
                </c:pt>
                <c:pt idx="2">
                  <c:v>0</c:v>
                </c:pt>
                <c:pt idx="3">
                  <c:v>0</c:v>
                </c:pt>
                <c:pt idx="4">
                  <c:v>0</c:v>
                </c:pt>
                <c:pt idx="5">
                  <c:v>0</c:v>
                </c:pt>
                <c:pt idx="6">
                  <c:v>0</c:v>
                </c:pt>
                <c:pt idx="7">
                  <c:v>0</c:v>
                </c:pt>
                <c:pt idx="10">
                  <c:v>0</c:v>
                </c:pt>
                <c:pt idx="11">
                  <c:v>0</c:v>
                </c:pt>
                <c:pt idx="12">
                  <c:v>0</c:v>
                </c:pt>
                <c:pt idx="13">
                  <c:v>0</c:v>
                </c:pt>
                <c:pt idx="14">
                  <c:v>0</c:v>
                </c:pt>
                <c:pt idx="15">
                  <c:v>0</c:v>
                </c:pt>
                <c:pt idx="16">
                  <c:v>0</c:v>
                </c:pt>
                <c:pt idx="17">
                  <c:v>0</c:v>
                </c:pt>
                <c:pt idx="20">
                  <c:v>0</c:v>
                </c:pt>
                <c:pt idx="21">
                  <c:v>0</c:v>
                </c:pt>
                <c:pt idx="22">
                  <c:v>0</c:v>
                </c:pt>
                <c:pt idx="23">
                  <c:v>0</c:v>
                </c:pt>
                <c:pt idx="24">
                  <c:v>0</c:v>
                </c:pt>
                <c:pt idx="25">
                  <c:v>0</c:v>
                </c:pt>
                <c:pt idx="26">
                  <c:v>0</c:v>
                </c:pt>
                <c:pt idx="27">
                  <c:v>0</c:v>
                </c:pt>
                <c:pt idx="30">
                  <c:v>0</c:v>
                </c:pt>
                <c:pt idx="31">
                  <c:v>0</c:v>
                </c:pt>
                <c:pt idx="32">
                  <c:v>0</c:v>
                </c:pt>
                <c:pt idx="33">
                  <c:v>0</c:v>
                </c:pt>
                <c:pt idx="34">
                  <c:v>0</c:v>
                </c:pt>
                <c:pt idx="35">
                  <c:v>0</c:v>
                </c:pt>
                <c:pt idx="36">
                  <c:v>0</c:v>
                </c:pt>
                <c:pt idx="37">
                  <c:v>0</c:v>
                </c:pt>
                <c:pt idx="40">
                  <c:v>0</c:v>
                </c:pt>
                <c:pt idx="41">
                  <c:v>0</c:v>
                </c:pt>
                <c:pt idx="42">
                  <c:v>0</c:v>
                </c:pt>
                <c:pt idx="43">
                  <c:v>0</c:v>
                </c:pt>
                <c:pt idx="44">
                  <c:v>0</c:v>
                </c:pt>
                <c:pt idx="45">
                  <c:v>0</c:v>
                </c:pt>
                <c:pt idx="46">
                  <c:v>0</c:v>
                </c:pt>
                <c:pt idx="47">
                  <c:v>0</c:v>
                </c:pt>
                <c:pt idx="50">
                  <c:v>0</c:v>
                </c:pt>
                <c:pt idx="51">
                  <c:v>0</c:v>
                </c:pt>
                <c:pt idx="52">
                  <c:v>0</c:v>
                </c:pt>
                <c:pt idx="53">
                  <c:v>0</c:v>
                </c:pt>
                <c:pt idx="54">
                  <c:v>0</c:v>
                </c:pt>
                <c:pt idx="55">
                  <c:v>0</c:v>
                </c:pt>
                <c:pt idx="56">
                  <c:v>0</c:v>
                </c:pt>
              </c:numCache>
            </c:numRef>
          </c:val>
          <c:extLst>
            <c:ext xmlns:c16="http://schemas.microsoft.com/office/drawing/2014/chart" uri="{C3380CC4-5D6E-409C-BE32-E72D297353CC}">
              <c16:uniqueId val="{00000000-8B8A-4281-A1ED-4E7CF4418F66}"/>
            </c:ext>
          </c:extLst>
        </c:ser>
        <c:dLbls>
          <c:showLegendKey val="0"/>
          <c:showVal val="0"/>
          <c:showCatName val="0"/>
          <c:showSerName val="0"/>
          <c:showPercent val="0"/>
          <c:showBubbleSize val="0"/>
        </c:dLbls>
        <c:gapWidth val="100"/>
        <c:axId val="490692816"/>
        <c:axId val="1"/>
      </c:barChart>
      <c:lineChart>
        <c:grouping val="standard"/>
        <c:varyColors val="0"/>
        <c:ser>
          <c:idx val="0"/>
          <c:order val="1"/>
          <c:tx>
            <c:strRef>
              <c:f>'Daily &amp; Weekly Totals'!$L$2</c:f>
              <c:strCache>
                <c:ptCount val="1"/>
                <c:pt idx="0">
                  <c:v>Door Count</c:v>
                </c:pt>
              </c:strCache>
            </c:strRef>
          </c:tx>
          <c:spPr>
            <a:ln w="3175">
              <a:solidFill>
                <a:srgbClr val="993366"/>
              </a:solidFill>
              <a:prstDash val="solid"/>
            </a:ln>
          </c:spPr>
          <c:marker>
            <c:symbol val="diamond"/>
            <c:size val="4"/>
            <c:spPr>
              <a:solidFill>
                <a:srgbClr val="993366"/>
              </a:solidFill>
              <a:ln>
                <a:solidFill>
                  <a:srgbClr val="993366"/>
                </a:solidFill>
                <a:prstDash val="solid"/>
              </a:ln>
            </c:spPr>
          </c:marker>
          <c:val>
            <c:numRef>
              <c:f>'Daily &amp; Weekly Totals'!$L$5:$L$61</c:f>
              <c:numCache>
                <c:formatCode>General</c:formatCode>
                <c:ptCount val="57"/>
                <c:pt idx="0">
                  <c:v>0</c:v>
                </c:pt>
                <c:pt idx="1">
                  <c:v>0</c:v>
                </c:pt>
                <c:pt idx="2">
                  <c:v>0</c:v>
                </c:pt>
                <c:pt idx="3">
                  <c:v>0</c:v>
                </c:pt>
                <c:pt idx="4">
                  <c:v>0</c:v>
                </c:pt>
                <c:pt idx="5">
                  <c:v>0</c:v>
                </c:pt>
                <c:pt idx="6">
                  <c:v>0</c:v>
                </c:pt>
                <c:pt idx="7">
                  <c:v>0</c:v>
                </c:pt>
                <c:pt idx="8" formatCode="0.00%">
                  <c:v>0</c:v>
                </c:pt>
                <c:pt idx="9" formatCode="0.00%">
                  <c:v>0</c:v>
                </c:pt>
                <c:pt idx="10">
                  <c:v>0</c:v>
                </c:pt>
                <c:pt idx="11">
                  <c:v>0</c:v>
                </c:pt>
                <c:pt idx="12">
                  <c:v>0</c:v>
                </c:pt>
                <c:pt idx="13">
                  <c:v>0</c:v>
                </c:pt>
                <c:pt idx="14">
                  <c:v>0</c:v>
                </c:pt>
                <c:pt idx="15">
                  <c:v>0</c:v>
                </c:pt>
                <c:pt idx="16">
                  <c:v>0</c:v>
                </c:pt>
                <c:pt idx="17">
                  <c:v>0</c:v>
                </c:pt>
                <c:pt idx="18" formatCode="0.00%">
                  <c:v>0</c:v>
                </c:pt>
                <c:pt idx="19" formatCode="0.00%">
                  <c:v>0</c:v>
                </c:pt>
                <c:pt idx="20">
                  <c:v>0</c:v>
                </c:pt>
                <c:pt idx="21">
                  <c:v>0</c:v>
                </c:pt>
                <c:pt idx="22">
                  <c:v>0</c:v>
                </c:pt>
                <c:pt idx="23">
                  <c:v>0</c:v>
                </c:pt>
                <c:pt idx="24">
                  <c:v>0</c:v>
                </c:pt>
                <c:pt idx="25">
                  <c:v>0</c:v>
                </c:pt>
                <c:pt idx="26">
                  <c:v>0</c:v>
                </c:pt>
                <c:pt idx="27">
                  <c:v>0</c:v>
                </c:pt>
                <c:pt idx="28" formatCode="0.00%">
                  <c:v>0</c:v>
                </c:pt>
                <c:pt idx="30">
                  <c:v>0</c:v>
                </c:pt>
                <c:pt idx="31">
                  <c:v>0</c:v>
                </c:pt>
                <c:pt idx="32">
                  <c:v>0</c:v>
                </c:pt>
                <c:pt idx="33">
                  <c:v>0</c:v>
                </c:pt>
                <c:pt idx="34">
                  <c:v>0</c:v>
                </c:pt>
                <c:pt idx="35">
                  <c:v>0</c:v>
                </c:pt>
                <c:pt idx="36">
                  <c:v>0</c:v>
                </c:pt>
                <c:pt idx="37">
                  <c:v>0</c:v>
                </c:pt>
                <c:pt idx="38" formatCode="0.00%">
                  <c:v>0</c:v>
                </c:pt>
                <c:pt idx="40">
                  <c:v>0</c:v>
                </c:pt>
                <c:pt idx="41">
                  <c:v>0</c:v>
                </c:pt>
                <c:pt idx="42">
                  <c:v>0</c:v>
                </c:pt>
                <c:pt idx="43">
                  <c:v>0</c:v>
                </c:pt>
                <c:pt idx="44">
                  <c:v>0</c:v>
                </c:pt>
                <c:pt idx="45">
                  <c:v>0</c:v>
                </c:pt>
                <c:pt idx="46">
                  <c:v>0</c:v>
                </c:pt>
                <c:pt idx="47">
                  <c:v>0</c:v>
                </c:pt>
                <c:pt idx="48" formatCode="0.00%">
                  <c:v>0</c:v>
                </c:pt>
                <c:pt idx="50">
                  <c:v>0</c:v>
                </c:pt>
                <c:pt idx="51">
                  <c:v>0</c:v>
                </c:pt>
                <c:pt idx="52">
                  <c:v>0</c:v>
                </c:pt>
                <c:pt idx="53">
                  <c:v>0</c:v>
                </c:pt>
                <c:pt idx="54">
                  <c:v>0</c:v>
                </c:pt>
                <c:pt idx="55">
                  <c:v>0</c:v>
                </c:pt>
                <c:pt idx="56">
                  <c:v>0</c:v>
                </c:pt>
              </c:numCache>
            </c:numRef>
          </c:val>
          <c:smooth val="0"/>
          <c:extLst>
            <c:ext xmlns:c16="http://schemas.microsoft.com/office/drawing/2014/chart" uri="{C3380CC4-5D6E-409C-BE32-E72D297353CC}">
              <c16:uniqueId val="{00000001-8B8A-4281-A1ED-4E7CF4418F66}"/>
            </c:ext>
          </c:extLst>
        </c:ser>
        <c:dLbls>
          <c:showLegendKey val="0"/>
          <c:showVal val="0"/>
          <c:showCatName val="0"/>
          <c:showSerName val="0"/>
          <c:showPercent val="0"/>
          <c:showBubbleSize val="0"/>
        </c:dLbls>
        <c:marker val="1"/>
        <c:smooth val="0"/>
        <c:axId val="3"/>
        <c:axId val="4"/>
      </c:lineChart>
      <c:catAx>
        <c:axId val="490692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790" b="0" i="0" u="none" strike="noStrike" baseline="0">
                <a:solidFill>
                  <a:srgbClr val="000000"/>
                </a:solidFill>
                <a:latin typeface="Bitstream Vera Sans"/>
                <a:ea typeface="Bitstream Vera Sans"/>
                <a:cs typeface="Bitstream Vera Sans"/>
              </a:defRPr>
            </a:pPr>
            <a:endParaRPr lang="en-US"/>
          </a:p>
        </c:txPr>
        <c:crossAx val="1"/>
        <c:crossesAt val="0"/>
        <c:auto val="1"/>
        <c:lblAlgn val="ctr"/>
        <c:lblOffset val="100"/>
        <c:tickLblSkip val="2"/>
        <c:tickMarkSkip val="1"/>
        <c:noMultiLvlLbl val="0"/>
      </c:catAx>
      <c:valAx>
        <c:axId val="1"/>
        <c:scaling>
          <c:orientation val="minMax"/>
        </c:scaling>
        <c:delete val="0"/>
        <c:axPos val="l"/>
        <c:majorGridlines>
          <c:spPr>
            <a:ln w="3175">
              <a:solidFill>
                <a:srgbClr val="000000"/>
              </a:solidFill>
              <a:prstDash val="solid"/>
            </a:ln>
          </c:spPr>
        </c:majorGridlines>
        <c:numFmt formatCode="[$$-C09]#,##0.00;[Red]\-[$$-C09]#,##0.00" sourceLinked="1"/>
        <c:majorTickMark val="out"/>
        <c:minorTickMark val="none"/>
        <c:tickLblPos val="nextTo"/>
        <c:spPr>
          <a:ln w="3175">
            <a:solidFill>
              <a:srgbClr val="000000"/>
            </a:solidFill>
            <a:prstDash val="solid"/>
          </a:ln>
        </c:spPr>
        <c:txPr>
          <a:bodyPr rot="0" vert="horz"/>
          <a:lstStyle/>
          <a:p>
            <a:pPr>
              <a:defRPr sz="790" b="0" i="0" u="none" strike="noStrike" baseline="0">
                <a:solidFill>
                  <a:srgbClr val="000000"/>
                </a:solidFill>
                <a:latin typeface="Bitstream Vera Sans"/>
                <a:ea typeface="Bitstream Vera Sans"/>
                <a:cs typeface="Bitstream Vera Sans"/>
              </a:defRPr>
            </a:pPr>
            <a:endParaRPr lang="en-US"/>
          </a:p>
        </c:txPr>
        <c:crossAx val="490692816"/>
        <c:crossesAt val="1"/>
        <c:crossBetween val="between"/>
        <c:majorUnit val="1000"/>
      </c:valAx>
      <c:catAx>
        <c:axId val="3"/>
        <c:scaling>
          <c:orientation val="minMax"/>
        </c:scaling>
        <c:delete val="1"/>
        <c:axPos val="b"/>
        <c:majorTickMark val="out"/>
        <c:minorTickMark val="none"/>
        <c:tickLblPos val="nextTo"/>
        <c:crossAx val="4"/>
        <c:crossesAt val="0"/>
        <c:auto val="1"/>
        <c:lblAlgn val="ctr"/>
        <c:lblOffset val="100"/>
        <c:noMultiLvlLbl val="0"/>
      </c:catAx>
      <c:valAx>
        <c:axId val="4"/>
        <c:scaling>
          <c:orientation val="minMax"/>
        </c:scaling>
        <c:delete val="0"/>
        <c:axPos val="r"/>
        <c:numFmt formatCode="General" sourceLinked="1"/>
        <c:majorTickMark val="out"/>
        <c:minorTickMark val="none"/>
        <c:tickLblPos val="nextTo"/>
        <c:spPr>
          <a:ln w="3175">
            <a:solidFill>
              <a:srgbClr val="000000"/>
            </a:solidFill>
            <a:prstDash val="solid"/>
          </a:ln>
        </c:spPr>
        <c:txPr>
          <a:bodyPr rot="0" vert="horz"/>
          <a:lstStyle/>
          <a:p>
            <a:pPr>
              <a:defRPr sz="790" b="0" i="0" u="none" strike="noStrike" baseline="0">
                <a:solidFill>
                  <a:srgbClr val="000000"/>
                </a:solidFill>
                <a:latin typeface="Bitstream Vera Sans"/>
                <a:ea typeface="Bitstream Vera Sans"/>
                <a:cs typeface="Bitstream Vera Sans"/>
              </a:defRPr>
            </a:pPr>
            <a:endParaRPr lang="en-US"/>
          </a:p>
        </c:txPr>
        <c:crossAx val="3"/>
        <c:crosses val="max"/>
        <c:crossBetween val="between"/>
        <c:majorUnit val="30"/>
      </c:valAx>
      <c:spPr>
        <a:noFill/>
        <a:ln w="25400">
          <a:noFill/>
        </a:ln>
      </c:spPr>
    </c:plotArea>
    <c:legend>
      <c:legendPos val="r"/>
      <c:layout>
        <c:manualLayout>
          <c:xMode val="edge"/>
          <c:yMode val="edge"/>
          <c:x val="0.85012455012366306"/>
          <c:y val="0.62114537444933926"/>
          <c:w val="0.13212231959182719"/>
          <c:h val="6.9855254877281323E-2"/>
        </c:manualLayout>
      </c:layout>
      <c:overlay val="0"/>
      <c:spPr>
        <a:noFill/>
        <a:ln w="3175">
          <a:solidFill>
            <a:srgbClr val="000000"/>
          </a:solidFill>
          <a:prstDash val="solid"/>
        </a:ln>
      </c:spPr>
      <c:txPr>
        <a:bodyPr/>
        <a:lstStyle/>
        <a:p>
          <a:pPr>
            <a:defRPr sz="765" b="0" i="0" u="none" strike="noStrike" baseline="0">
              <a:solidFill>
                <a:srgbClr val="000000"/>
              </a:solidFill>
              <a:latin typeface="Bitstream Vera Sans"/>
              <a:ea typeface="Bitstream Vera Sans"/>
              <a:cs typeface="Bitstream Vera Sans"/>
            </a:defRPr>
          </a:pPr>
          <a:endParaRPr lang="en-US"/>
        </a:p>
      </c:txPr>
    </c:legend>
    <c:plotVisOnly val="0"/>
    <c:dispBlanksAs val="gap"/>
    <c:showDLblsOverMax val="0"/>
  </c:chart>
  <c:spPr>
    <a:solidFill>
      <a:srgbClr val="FFFFFF"/>
    </a:solid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0555555555551" footer="0.51180555555555551"/>
    <c:pageSetup firstPageNumber="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990" b="0" i="0" u="none" strike="noStrike" baseline="0">
                <a:solidFill>
                  <a:srgbClr val="000000"/>
                </a:solidFill>
                <a:latin typeface="Bitstream Vera Sans"/>
                <a:ea typeface="Bitstream Vera Sans"/>
                <a:cs typeface="Bitstream Vera Sans"/>
              </a:defRPr>
            </a:pPr>
            <a:r>
              <a:rPr lang="en-AU"/>
              <a:t>Sales Trend by Weekday</a:t>
            </a:r>
          </a:p>
        </c:rich>
      </c:tx>
      <c:layout>
        <c:manualLayout>
          <c:xMode val="edge"/>
          <c:yMode val="edge"/>
          <c:x val="0.33612585767703351"/>
          <c:y val="2.8346456692913389E-2"/>
        </c:manualLayout>
      </c:layout>
      <c:overlay val="0"/>
      <c:spPr>
        <a:noFill/>
        <a:ln w="25400">
          <a:noFill/>
        </a:ln>
      </c:spPr>
    </c:title>
    <c:autoTitleDeleted val="0"/>
    <c:plotArea>
      <c:layout>
        <c:manualLayout>
          <c:layoutTarget val="inner"/>
          <c:xMode val="edge"/>
          <c:yMode val="edge"/>
          <c:x val="0.10714291209650741"/>
          <c:y val="0.25039370078740159"/>
          <c:w val="0.74474828114140934"/>
          <c:h val="0.67559055118110234"/>
        </c:manualLayout>
      </c:layout>
      <c:lineChart>
        <c:grouping val="standard"/>
        <c:varyColors val="0"/>
        <c:ser>
          <c:idx val="0"/>
          <c:order val="0"/>
          <c:tx>
            <c:strRef>
              <c:f>'Daily &amp; Weekly Totals'!$W$4</c:f>
              <c:strCache>
                <c:ptCount val="1"/>
                <c:pt idx="0">
                  <c:v>Week 1</c:v>
                </c:pt>
              </c:strCache>
            </c:strRef>
          </c:tx>
          <c:spPr>
            <a:ln w="3175">
              <a:solidFill>
                <a:srgbClr val="0000FF"/>
              </a:solidFill>
              <a:prstDash val="solid"/>
            </a:ln>
          </c:spPr>
          <c:marker>
            <c:symbol val="none"/>
          </c:marker>
          <c:dLbls>
            <c:spPr>
              <a:noFill/>
              <a:ln w="25400">
                <a:noFill/>
              </a:ln>
            </c:spPr>
            <c:txPr>
              <a:bodyPr wrap="square" lIns="38100" tIns="19050" rIns="38100" bIns="19050" anchor="ctr">
                <a:spAutoFit/>
              </a:bodyPr>
              <a:lstStyle/>
              <a:p>
                <a:pPr>
                  <a:defRPr sz="470" b="0" i="0" u="none" strike="noStrike" baseline="0">
                    <a:solidFill>
                      <a:srgbClr val="000000"/>
                    </a:solidFill>
                    <a:latin typeface="Bitstream Vera Sans"/>
                    <a:ea typeface="Bitstream Vera Sans"/>
                    <a:cs typeface="Bitstream Vera Sans"/>
                  </a:defRPr>
                </a:pPr>
                <a:endParaRPr lang="en-US"/>
              </a:p>
            </c:txPr>
            <c:showLegendKey val="1"/>
            <c:showVal val="1"/>
            <c:showCatName val="0"/>
            <c:showSerName val="0"/>
            <c:showPercent val="0"/>
            <c:showBubbleSize val="0"/>
            <c:showLeaderLines val="0"/>
            <c:extLst>
              <c:ext xmlns:c15="http://schemas.microsoft.com/office/drawing/2012/chart" uri="{CE6537A1-D6FC-4f65-9D91-7224C49458BB}">
                <c15:showLeaderLines val="0"/>
              </c:ext>
            </c:extLst>
          </c:dLbls>
          <c:cat>
            <c:strRef>
              <c:f>'Daily &amp; Weekly Totals'!$V$5:$V$11</c:f>
              <c:strCache>
                <c:ptCount val="7"/>
                <c:pt idx="0">
                  <c:v>Monday</c:v>
                </c:pt>
                <c:pt idx="1">
                  <c:v>Tuesday</c:v>
                </c:pt>
                <c:pt idx="2">
                  <c:v>Wednesday</c:v>
                </c:pt>
                <c:pt idx="3">
                  <c:v>Thursday</c:v>
                </c:pt>
                <c:pt idx="4">
                  <c:v>Friday</c:v>
                </c:pt>
                <c:pt idx="5">
                  <c:v>Saturday</c:v>
                </c:pt>
                <c:pt idx="6">
                  <c:v>Sunday</c:v>
                </c:pt>
              </c:strCache>
            </c:strRef>
          </c:cat>
          <c:val>
            <c:numRef>
              <c:f>'Daily &amp; Weekly Totals'!$W$5:$W$11</c:f>
              <c:numCache>
                <c:formatCode>[$$-C09]#,##0.00;[Red]\-[$$-C09]#,##0.00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0-F761-4143-9082-3FEE52D7DE38}"/>
            </c:ext>
          </c:extLst>
        </c:ser>
        <c:ser>
          <c:idx val="1"/>
          <c:order val="1"/>
          <c:tx>
            <c:strRef>
              <c:f>'Daily &amp; Weekly Totals'!$X$4</c:f>
              <c:strCache>
                <c:ptCount val="1"/>
                <c:pt idx="0">
                  <c:v>Week 2</c:v>
                </c:pt>
              </c:strCache>
            </c:strRef>
          </c:tx>
          <c:spPr>
            <a:ln w="3175">
              <a:solidFill>
                <a:srgbClr val="DC2300"/>
              </a:solidFill>
              <a:prstDash val="lgDash"/>
            </a:ln>
          </c:spPr>
          <c:marker>
            <c:symbol val="none"/>
          </c:marker>
          <c:dLbls>
            <c:spPr>
              <a:noFill/>
              <a:ln w="25400">
                <a:noFill/>
              </a:ln>
            </c:spPr>
            <c:txPr>
              <a:bodyPr wrap="square" lIns="38100" tIns="19050" rIns="38100" bIns="19050" anchor="ctr">
                <a:spAutoFit/>
              </a:bodyPr>
              <a:lstStyle/>
              <a:p>
                <a:pPr>
                  <a:defRPr sz="470" b="0" i="0" u="none" strike="noStrike" baseline="0">
                    <a:solidFill>
                      <a:srgbClr val="000000"/>
                    </a:solidFill>
                    <a:latin typeface="Bitstream Vera Sans"/>
                    <a:ea typeface="Bitstream Vera Sans"/>
                    <a:cs typeface="Bitstream Vera Sans"/>
                  </a:defRPr>
                </a:pPr>
                <a:endParaRPr lang="en-US"/>
              </a:p>
            </c:txPr>
            <c:showLegendKey val="1"/>
            <c:showVal val="1"/>
            <c:showCatName val="0"/>
            <c:showSerName val="0"/>
            <c:showPercent val="0"/>
            <c:showBubbleSize val="0"/>
            <c:showLeaderLines val="0"/>
            <c:extLst>
              <c:ext xmlns:c15="http://schemas.microsoft.com/office/drawing/2012/chart" uri="{CE6537A1-D6FC-4f65-9D91-7224C49458BB}">
                <c15:showLeaderLines val="0"/>
              </c:ext>
            </c:extLst>
          </c:dLbls>
          <c:cat>
            <c:strRef>
              <c:f>'Daily &amp; Weekly Totals'!$V$5:$V$11</c:f>
              <c:strCache>
                <c:ptCount val="7"/>
                <c:pt idx="0">
                  <c:v>Monday</c:v>
                </c:pt>
                <c:pt idx="1">
                  <c:v>Tuesday</c:v>
                </c:pt>
                <c:pt idx="2">
                  <c:v>Wednesday</c:v>
                </c:pt>
                <c:pt idx="3">
                  <c:v>Thursday</c:v>
                </c:pt>
                <c:pt idx="4">
                  <c:v>Friday</c:v>
                </c:pt>
                <c:pt idx="5">
                  <c:v>Saturday</c:v>
                </c:pt>
                <c:pt idx="6">
                  <c:v>Sunday</c:v>
                </c:pt>
              </c:strCache>
            </c:strRef>
          </c:cat>
          <c:val>
            <c:numRef>
              <c:f>'Daily &amp; Weekly Totals'!$X$5:$X$11</c:f>
              <c:numCache>
                <c:formatCode>[$$-C09]#,##0.00;[Red]\-[$$-C09]#,##0.00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1-F761-4143-9082-3FEE52D7DE38}"/>
            </c:ext>
          </c:extLst>
        </c:ser>
        <c:ser>
          <c:idx val="2"/>
          <c:order val="2"/>
          <c:tx>
            <c:strRef>
              <c:f>'Daily &amp; Weekly Totals'!$Y$4</c:f>
              <c:strCache>
                <c:ptCount val="1"/>
                <c:pt idx="0">
                  <c:v>Week 3</c:v>
                </c:pt>
              </c:strCache>
            </c:strRef>
          </c:tx>
          <c:spPr>
            <a:ln w="3175">
              <a:solidFill>
                <a:srgbClr val="E6E64C"/>
              </a:solidFill>
              <a:prstDash val="lgDash"/>
            </a:ln>
          </c:spPr>
          <c:marker>
            <c:symbol val="none"/>
          </c:marker>
          <c:dLbls>
            <c:spPr>
              <a:noFill/>
              <a:ln w="25400">
                <a:noFill/>
              </a:ln>
            </c:spPr>
            <c:txPr>
              <a:bodyPr wrap="square" lIns="38100" tIns="19050" rIns="38100" bIns="19050" anchor="ctr">
                <a:spAutoFit/>
              </a:bodyPr>
              <a:lstStyle/>
              <a:p>
                <a:pPr>
                  <a:defRPr sz="470" b="0" i="0" u="none" strike="noStrike" baseline="0">
                    <a:solidFill>
                      <a:srgbClr val="000000"/>
                    </a:solidFill>
                    <a:latin typeface="Bitstream Vera Sans"/>
                    <a:ea typeface="Bitstream Vera Sans"/>
                    <a:cs typeface="Bitstream Vera Sans"/>
                  </a:defRPr>
                </a:pPr>
                <a:endParaRPr lang="en-US"/>
              </a:p>
            </c:txPr>
            <c:showLegendKey val="1"/>
            <c:showVal val="1"/>
            <c:showCatName val="0"/>
            <c:showSerName val="0"/>
            <c:showPercent val="0"/>
            <c:showBubbleSize val="0"/>
            <c:showLeaderLines val="0"/>
            <c:extLst>
              <c:ext xmlns:c15="http://schemas.microsoft.com/office/drawing/2012/chart" uri="{CE6537A1-D6FC-4f65-9D91-7224C49458BB}">
                <c15:showLeaderLines val="0"/>
              </c:ext>
            </c:extLst>
          </c:dLbls>
          <c:cat>
            <c:strRef>
              <c:f>'Daily &amp; Weekly Totals'!$V$5:$V$11</c:f>
              <c:strCache>
                <c:ptCount val="7"/>
                <c:pt idx="0">
                  <c:v>Monday</c:v>
                </c:pt>
                <c:pt idx="1">
                  <c:v>Tuesday</c:v>
                </c:pt>
                <c:pt idx="2">
                  <c:v>Wednesday</c:v>
                </c:pt>
                <c:pt idx="3">
                  <c:v>Thursday</c:v>
                </c:pt>
                <c:pt idx="4">
                  <c:v>Friday</c:v>
                </c:pt>
                <c:pt idx="5">
                  <c:v>Saturday</c:v>
                </c:pt>
                <c:pt idx="6">
                  <c:v>Sunday</c:v>
                </c:pt>
              </c:strCache>
            </c:strRef>
          </c:cat>
          <c:val>
            <c:numRef>
              <c:f>'Daily &amp; Weekly Totals'!$Y$5:$Y$11</c:f>
              <c:numCache>
                <c:formatCode>[$$-C09]#,##0.00;[Red]\-[$$-C09]#,##0.00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F761-4143-9082-3FEE52D7DE38}"/>
            </c:ext>
          </c:extLst>
        </c:ser>
        <c:ser>
          <c:idx val="3"/>
          <c:order val="3"/>
          <c:tx>
            <c:strRef>
              <c:f>'Daily &amp; Weekly Totals'!$Z$4</c:f>
              <c:strCache>
                <c:ptCount val="1"/>
                <c:pt idx="0">
                  <c:v>Week 4</c:v>
                </c:pt>
              </c:strCache>
            </c:strRef>
          </c:tx>
          <c:spPr>
            <a:ln w="3175">
              <a:solidFill>
                <a:srgbClr val="00AE00"/>
              </a:solidFill>
              <a:prstDash val="sysDash"/>
            </a:ln>
          </c:spPr>
          <c:marker>
            <c:symbol val="none"/>
          </c:marker>
          <c:dLbls>
            <c:spPr>
              <a:noFill/>
              <a:ln w="25400">
                <a:noFill/>
              </a:ln>
            </c:spPr>
            <c:txPr>
              <a:bodyPr wrap="square" lIns="38100" tIns="19050" rIns="38100" bIns="19050" anchor="ctr">
                <a:spAutoFit/>
              </a:bodyPr>
              <a:lstStyle/>
              <a:p>
                <a:pPr>
                  <a:defRPr sz="470" b="0" i="0" u="none" strike="noStrike" baseline="0">
                    <a:solidFill>
                      <a:srgbClr val="000000"/>
                    </a:solidFill>
                    <a:latin typeface="Bitstream Vera Sans"/>
                    <a:ea typeface="Bitstream Vera Sans"/>
                    <a:cs typeface="Bitstream Vera Sans"/>
                  </a:defRPr>
                </a:pPr>
                <a:endParaRPr lang="en-US"/>
              </a:p>
            </c:txPr>
            <c:showLegendKey val="1"/>
            <c:showVal val="1"/>
            <c:showCatName val="0"/>
            <c:showSerName val="0"/>
            <c:showPercent val="0"/>
            <c:showBubbleSize val="0"/>
            <c:showLeaderLines val="0"/>
            <c:extLst>
              <c:ext xmlns:c15="http://schemas.microsoft.com/office/drawing/2012/chart" uri="{CE6537A1-D6FC-4f65-9D91-7224C49458BB}">
                <c15:showLeaderLines val="0"/>
              </c:ext>
            </c:extLst>
          </c:dLbls>
          <c:cat>
            <c:strRef>
              <c:f>'Daily &amp; Weekly Totals'!$V$5:$V$11</c:f>
              <c:strCache>
                <c:ptCount val="7"/>
                <c:pt idx="0">
                  <c:v>Monday</c:v>
                </c:pt>
                <c:pt idx="1">
                  <c:v>Tuesday</c:v>
                </c:pt>
                <c:pt idx="2">
                  <c:v>Wednesday</c:v>
                </c:pt>
                <c:pt idx="3">
                  <c:v>Thursday</c:v>
                </c:pt>
                <c:pt idx="4">
                  <c:v>Friday</c:v>
                </c:pt>
                <c:pt idx="5">
                  <c:v>Saturday</c:v>
                </c:pt>
                <c:pt idx="6">
                  <c:v>Sunday</c:v>
                </c:pt>
              </c:strCache>
            </c:strRef>
          </c:cat>
          <c:val>
            <c:numRef>
              <c:f>'Daily &amp; Weekly Totals'!$Z$5:$Z$11</c:f>
              <c:numCache>
                <c:formatCode>[$$-C09]#,##0.00;[Red]\-[$$-C09]#,##0.00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3-F761-4143-9082-3FEE52D7DE38}"/>
            </c:ext>
          </c:extLst>
        </c:ser>
        <c:ser>
          <c:idx val="4"/>
          <c:order val="4"/>
          <c:tx>
            <c:strRef>
              <c:f>'Daily &amp; Weekly Totals'!$AA$4</c:f>
              <c:strCache>
                <c:ptCount val="1"/>
                <c:pt idx="0">
                  <c:v>Week 5</c:v>
                </c:pt>
              </c:strCache>
            </c:strRef>
          </c:tx>
          <c:spPr>
            <a:ln w="3175">
              <a:solidFill>
                <a:srgbClr val="FF6633"/>
              </a:solidFill>
              <a:prstDash val="sysDash"/>
            </a:ln>
          </c:spPr>
          <c:marker>
            <c:symbol val="none"/>
          </c:marker>
          <c:dLbls>
            <c:spPr>
              <a:noFill/>
              <a:ln w="25400">
                <a:noFill/>
              </a:ln>
            </c:spPr>
            <c:txPr>
              <a:bodyPr wrap="square" lIns="38100" tIns="19050" rIns="38100" bIns="19050" anchor="ctr">
                <a:spAutoFit/>
              </a:bodyPr>
              <a:lstStyle/>
              <a:p>
                <a:pPr>
                  <a:defRPr sz="470" b="0" i="0" u="none" strike="noStrike" baseline="0">
                    <a:solidFill>
                      <a:srgbClr val="000000"/>
                    </a:solidFill>
                    <a:latin typeface="Bitstream Vera Sans"/>
                    <a:ea typeface="Bitstream Vera Sans"/>
                    <a:cs typeface="Bitstream Vera Sans"/>
                  </a:defRPr>
                </a:pPr>
                <a:endParaRPr lang="en-US"/>
              </a:p>
            </c:txPr>
            <c:showLegendKey val="1"/>
            <c:showVal val="1"/>
            <c:showCatName val="0"/>
            <c:showSerName val="0"/>
            <c:showPercent val="0"/>
            <c:showBubbleSize val="0"/>
            <c:showLeaderLines val="0"/>
            <c:extLst>
              <c:ext xmlns:c15="http://schemas.microsoft.com/office/drawing/2012/chart" uri="{CE6537A1-D6FC-4f65-9D91-7224C49458BB}">
                <c15:showLeaderLines val="0"/>
              </c:ext>
            </c:extLst>
          </c:dLbls>
          <c:cat>
            <c:strRef>
              <c:f>'Daily &amp; Weekly Totals'!$V$5:$V$11</c:f>
              <c:strCache>
                <c:ptCount val="7"/>
                <c:pt idx="0">
                  <c:v>Monday</c:v>
                </c:pt>
                <c:pt idx="1">
                  <c:v>Tuesday</c:v>
                </c:pt>
                <c:pt idx="2">
                  <c:v>Wednesday</c:v>
                </c:pt>
                <c:pt idx="3">
                  <c:v>Thursday</c:v>
                </c:pt>
                <c:pt idx="4">
                  <c:v>Friday</c:v>
                </c:pt>
                <c:pt idx="5">
                  <c:v>Saturday</c:v>
                </c:pt>
                <c:pt idx="6">
                  <c:v>Sunday</c:v>
                </c:pt>
              </c:strCache>
            </c:strRef>
          </c:cat>
          <c:val>
            <c:numRef>
              <c:f>'Daily &amp; Weekly Totals'!$AA$5:$AA$11</c:f>
              <c:numCache>
                <c:formatCode>[$$-C09]#,##0.00;[Red]\-[$$-C09]#,##0.00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4-F761-4143-9082-3FEE52D7DE38}"/>
            </c:ext>
          </c:extLst>
        </c:ser>
        <c:ser>
          <c:idx val="5"/>
          <c:order val="5"/>
          <c:tx>
            <c:strRef>
              <c:f>'Daily &amp; Weekly Totals'!$AB$4</c:f>
              <c:strCache>
                <c:ptCount val="1"/>
                <c:pt idx="0">
                  <c:v>Week 6</c:v>
                </c:pt>
              </c:strCache>
            </c:strRef>
          </c:tx>
          <c:spPr>
            <a:ln w="3175">
              <a:solidFill>
                <a:srgbClr val="999999"/>
              </a:solidFill>
              <a:prstDash val="sysDash"/>
            </a:ln>
          </c:spPr>
          <c:marker>
            <c:symbol val="none"/>
          </c:marker>
          <c:dLbls>
            <c:spPr>
              <a:noFill/>
              <a:ln w="25400">
                <a:noFill/>
              </a:ln>
            </c:spPr>
            <c:txPr>
              <a:bodyPr wrap="square" lIns="38100" tIns="19050" rIns="38100" bIns="19050" anchor="ctr">
                <a:spAutoFit/>
              </a:bodyPr>
              <a:lstStyle/>
              <a:p>
                <a:pPr>
                  <a:defRPr sz="470" b="0" i="0" u="none" strike="noStrike" baseline="0">
                    <a:solidFill>
                      <a:srgbClr val="000000"/>
                    </a:solidFill>
                    <a:latin typeface="Bitstream Vera Sans"/>
                    <a:ea typeface="Bitstream Vera Sans"/>
                    <a:cs typeface="Bitstream Vera Sans"/>
                  </a:defRPr>
                </a:pPr>
                <a:endParaRPr lang="en-US"/>
              </a:p>
            </c:txPr>
            <c:showLegendKey val="1"/>
            <c:showVal val="1"/>
            <c:showCatName val="0"/>
            <c:showSerName val="0"/>
            <c:showPercent val="0"/>
            <c:showBubbleSize val="0"/>
            <c:showLeaderLines val="0"/>
            <c:extLst>
              <c:ext xmlns:c15="http://schemas.microsoft.com/office/drawing/2012/chart" uri="{CE6537A1-D6FC-4f65-9D91-7224C49458BB}">
                <c15:showLeaderLines val="0"/>
              </c:ext>
            </c:extLst>
          </c:dLbls>
          <c:cat>
            <c:strRef>
              <c:f>'Daily &amp; Weekly Totals'!$V$5:$V$11</c:f>
              <c:strCache>
                <c:ptCount val="7"/>
                <c:pt idx="0">
                  <c:v>Monday</c:v>
                </c:pt>
                <c:pt idx="1">
                  <c:v>Tuesday</c:v>
                </c:pt>
                <c:pt idx="2">
                  <c:v>Wednesday</c:v>
                </c:pt>
                <c:pt idx="3">
                  <c:v>Thursday</c:v>
                </c:pt>
                <c:pt idx="4">
                  <c:v>Friday</c:v>
                </c:pt>
                <c:pt idx="5">
                  <c:v>Saturday</c:v>
                </c:pt>
                <c:pt idx="6">
                  <c:v>Sunday</c:v>
                </c:pt>
              </c:strCache>
            </c:strRef>
          </c:cat>
          <c:val>
            <c:numRef>
              <c:f>'Daily &amp; Weekly Totals'!$AB$5:$AB$11</c:f>
              <c:numCache>
                <c:formatCode>[$$-C09]#,##0.00;[Red]\-[$$-C09]#,##0.00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5-F761-4143-9082-3FEE52D7DE38}"/>
            </c:ext>
          </c:extLst>
        </c:ser>
        <c:dLbls>
          <c:showLegendKey val="0"/>
          <c:showVal val="0"/>
          <c:showCatName val="0"/>
          <c:showSerName val="0"/>
          <c:showPercent val="0"/>
          <c:showBubbleSize val="0"/>
        </c:dLbls>
        <c:smooth val="0"/>
        <c:axId val="490692488"/>
        <c:axId val="1"/>
      </c:lineChart>
      <c:catAx>
        <c:axId val="490692488"/>
        <c:scaling>
          <c:orientation val="minMax"/>
        </c:scaling>
        <c:delete val="0"/>
        <c:axPos val="b"/>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790" b="0" i="0" u="none" strike="noStrike" baseline="0">
                <a:solidFill>
                  <a:srgbClr val="000000"/>
                </a:solidFill>
                <a:latin typeface="Bitstream Vera Sans"/>
                <a:ea typeface="Bitstream Vera Sans"/>
                <a:cs typeface="Bitstream Vera Sans"/>
              </a:defRPr>
            </a:pPr>
            <a:endParaRPr lang="en-US"/>
          </a:p>
        </c:txPr>
        <c:crossAx val="1"/>
        <c:crossesAt val="0"/>
        <c:auto val="1"/>
        <c:lblAlgn val="ctr"/>
        <c:lblOffset val="100"/>
        <c:tickLblSkip val="1"/>
        <c:tickMarkSkip val="1"/>
        <c:noMultiLvlLbl val="0"/>
      </c:catAx>
      <c:valAx>
        <c:axId val="1"/>
        <c:scaling>
          <c:orientation val="minMax"/>
        </c:scaling>
        <c:delete val="0"/>
        <c:axPos val="l"/>
        <c:majorGridlines>
          <c:spPr>
            <a:ln w="3175">
              <a:solidFill>
                <a:srgbClr val="000000"/>
              </a:solidFill>
              <a:prstDash val="solid"/>
            </a:ln>
          </c:spPr>
        </c:majorGridlines>
        <c:numFmt formatCode="[$$-C09]#,##0.00;[Red]\-[$$-C09]#,##0.00" sourceLinked="1"/>
        <c:majorTickMark val="out"/>
        <c:minorTickMark val="none"/>
        <c:tickLblPos val="nextTo"/>
        <c:spPr>
          <a:ln w="3175">
            <a:solidFill>
              <a:srgbClr val="000000"/>
            </a:solidFill>
            <a:prstDash val="solid"/>
          </a:ln>
        </c:spPr>
        <c:txPr>
          <a:bodyPr rot="0" vert="horz"/>
          <a:lstStyle/>
          <a:p>
            <a:pPr>
              <a:defRPr sz="790" b="0" i="0" u="none" strike="noStrike" baseline="0">
                <a:solidFill>
                  <a:srgbClr val="000000"/>
                </a:solidFill>
                <a:latin typeface="Bitstream Vera Sans"/>
                <a:ea typeface="Bitstream Vera Sans"/>
                <a:cs typeface="Bitstream Vera Sans"/>
              </a:defRPr>
            </a:pPr>
            <a:endParaRPr lang="en-US"/>
          </a:p>
        </c:txPr>
        <c:crossAx val="490692488"/>
        <c:crossesAt val="1"/>
        <c:crossBetween val="midCat"/>
        <c:majorUnit val="1000"/>
      </c:valAx>
      <c:spPr>
        <a:noFill/>
        <a:ln w="25400">
          <a:noFill/>
        </a:ln>
      </c:spPr>
    </c:plotArea>
    <c:legend>
      <c:legendPos val="r"/>
      <c:layout>
        <c:manualLayout>
          <c:xMode val="edge"/>
          <c:yMode val="edge"/>
          <c:x val="0.91042953876189625"/>
          <c:y val="0.53697989775825927"/>
          <c:w val="8.0572605182431964E-2"/>
          <c:h val="0.12492240677015062"/>
        </c:manualLayout>
      </c:layout>
      <c:overlay val="0"/>
      <c:spPr>
        <a:noFill/>
        <a:ln w="3175">
          <a:solidFill>
            <a:srgbClr val="000000"/>
          </a:solidFill>
          <a:prstDash val="solid"/>
        </a:ln>
      </c:spPr>
      <c:txPr>
        <a:bodyPr/>
        <a:lstStyle/>
        <a:p>
          <a:pPr>
            <a:defRPr sz="460" b="0" i="0" u="none" strike="noStrike" baseline="0">
              <a:solidFill>
                <a:srgbClr val="000000"/>
              </a:solidFill>
              <a:latin typeface="Bitstream Vera Sans"/>
              <a:ea typeface="Bitstream Vera Sans"/>
              <a:cs typeface="Bitstream Vera Sans"/>
            </a:defRPr>
          </a:pPr>
          <a:endParaRPr lang="en-US"/>
        </a:p>
      </c:txPr>
    </c:legend>
    <c:plotVisOnly val="0"/>
    <c:dispBlanksAs val="gap"/>
    <c:showDLblsOverMax val="0"/>
  </c:chart>
  <c:spPr>
    <a:solidFill>
      <a:srgbClr val="FFFFFF"/>
    </a:solid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0555555555551" footer="0.51180555555555551"/>
    <c:pageSetup firstPageNumber="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990" b="0" i="0" u="none" strike="noStrike" baseline="0">
                <a:solidFill>
                  <a:srgbClr val="000000"/>
                </a:solidFill>
                <a:latin typeface="Bitstream Vera Sans"/>
                <a:ea typeface="Bitstream Vera Sans"/>
                <a:cs typeface="Bitstream Vera Sans"/>
              </a:defRPr>
            </a:pPr>
            <a:r>
              <a:rPr lang="en-AU"/>
              <a:t>Door Count Trend by Weekday</a:t>
            </a:r>
          </a:p>
        </c:rich>
      </c:tx>
      <c:layout>
        <c:manualLayout>
          <c:xMode val="edge"/>
          <c:yMode val="edge"/>
          <c:x val="0.30052370379355625"/>
          <c:y val="2.8346456692913385E-2"/>
        </c:manualLayout>
      </c:layout>
      <c:overlay val="0"/>
      <c:spPr>
        <a:noFill/>
        <a:ln w="25400">
          <a:noFill/>
        </a:ln>
      </c:spPr>
    </c:title>
    <c:autoTitleDeleted val="0"/>
    <c:plotArea>
      <c:layout>
        <c:manualLayout>
          <c:layoutTarget val="inner"/>
          <c:xMode val="edge"/>
          <c:yMode val="edge"/>
          <c:x val="6.6176504530195746E-2"/>
          <c:y val="0.24881889763779527"/>
          <c:w val="0.78886595082820643"/>
          <c:h val="0.67716535433070868"/>
        </c:manualLayout>
      </c:layout>
      <c:lineChart>
        <c:grouping val="standard"/>
        <c:varyColors val="0"/>
        <c:ser>
          <c:idx val="0"/>
          <c:order val="0"/>
          <c:tx>
            <c:strRef>
              <c:f>Friedman!$B$3</c:f>
              <c:strCache>
                <c:ptCount val="1"/>
                <c:pt idx="0">
                  <c:v>30 Mar 20</c:v>
                </c:pt>
              </c:strCache>
            </c:strRef>
          </c:tx>
          <c:spPr>
            <a:ln w="3175">
              <a:solidFill>
                <a:srgbClr val="0000FF"/>
              </a:solidFill>
              <a:prstDash val="solid"/>
            </a:ln>
          </c:spPr>
          <c:marker>
            <c:symbol val="square"/>
            <c:size val="6"/>
            <c:spPr>
              <a:solidFill>
                <a:srgbClr val="0000FF"/>
              </a:solidFill>
              <a:ln>
                <a:solidFill>
                  <a:srgbClr val="0000FF"/>
                </a:solidFill>
                <a:prstDash val="solid"/>
              </a:ln>
            </c:spPr>
          </c:marker>
          <c:dLbls>
            <c:spPr>
              <a:noFill/>
              <a:ln w="25400">
                <a:noFill/>
              </a:ln>
            </c:spPr>
            <c:txPr>
              <a:bodyPr wrap="square" lIns="38100" tIns="19050" rIns="38100" bIns="19050" anchor="ctr">
                <a:spAutoFit/>
              </a:bodyPr>
              <a:lstStyle/>
              <a:p>
                <a:pPr>
                  <a:defRPr sz="470" b="0" i="0" u="none" strike="noStrike" baseline="0">
                    <a:solidFill>
                      <a:srgbClr val="000000"/>
                    </a:solidFill>
                    <a:latin typeface="Bitstream Vera Sans"/>
                    <a:ea typeface="Bitstream Vera Sans"/>
                    <a:cs typeface="Bitstream Vera Sans"/>
                  </a:defRPr>
                </a:pPr>
                <a:endParaRPr lang="en-US"/>
              </a:p>
            </c:txPr>
            <c:showLegendKey val="1"/>
            <c:showVal val="1"/>
            <c:showCatName val="0"/>
            <c:showSerName val="0"/>
            <c:showPercent val="0"/>
            <c:showBubbleSize val="0"/>
            <c:showLeaderLines val="0"/>
            <c:extLst>
              <c:ext xmlns:c15="http://schemas.microsoft.com/office/drawing/2012/chart" uri="{CE6537A1-D6FC-4f65-9D91-7224C49458BB}">
                <c15:showLeaderLines val="0"/>
              </c:ext>
            </c:extLst>
          </c:dLbls>
          <c:cat>
            <c:strRef>
              <c:f>Friedman!$A$17:$A$23</c:f>
              <c:strCache>
                <c:ptCount val="7"/>
                <c:pt idx="0">
                  <c:v>Monday</c:v>
                </c:pt>
                <c:pt idx="1">
                  <c:v>Tuesday</c:v>
                </c:pt>
                <c:pt idx="2">
                  <c:v>Wednesday</c:v>
                </c:pt>
                <c:pt idx="3">
                  <c:v>Thursday</c:v>
                </c:pt>
                <c:pt idx="4">
                  <c:v>Friday</c:v>
                </c:pt>
                <c:pt idx="5">
                  <c:v>Saturday</c:v>
                </c:pt>
                <c:pt idx="6">
                  <c:v>Sunday</c:v>
                </c:pt>
              </c:strCache>
            </c:strRef>
          </c:cat>
          <c:val>
            <c:numRef>
              <c:f>Friedman!$G$3:$G$9</c:f>
              <c:numCache>
                <c:formatCode>0</c:formatCode>
                <c:ptCount val="7"/>
              </c:numCache>
            </c:numRef>
          </c:val>
          <c:smooth val="0"/>
          <c:extLst>
            <c:ext xmlns:c16="http://schemas.microsoft.com/office/drawing/2014/chart" uri="{C3380CC4-5D6E-409C-BE32-E72D297353CC}">
              <c16:uniqueId val="{00000000-8FD3-4816-A585-5D66CA805039}"/>
            </c:ext>
          </c:extLst>
        </c:ser>
        <c:ser>
          <c:idx val="1"/>
          <c:order val="1"/>
          <c:tx>
            <c:strRef>
              <c:f>Friedman!$B$10</c:f>
              <c:strCache>
                <c:ptCount val="1"/>
                <c:pt idx="0">
                  <c:v>6 Apr 20</c:v>
                </c:pt>
              </c:strCache>
            </c:strRef>
          </c:tx>
          <c:spPr>
            <a:ln w="3175">
              <a:solidFill>
                <a:srgbClr val="DC2300"/>
              </a:solidFill>
              <a:prstDash val="solid"/>
            </a:ln>
          </c:spPr>
          <c:marker>
            <c:symbol val="diamond"/>
            <c:size val="6"/>
            <c:spPr>
              <a:solidFill>
                <a:srgbClr val="DC2300"/>
              </a:solidFill>
              <a:ln>
                <a:solidFill>
                  <a:srgbClr val="DC2300"/>
                </a:solidFill>
                <a:prstDash val="solid"/>
              </a:ln>
            </c:spPr>
          </c:marker>
          <c:dLbls>
            <c:spPr>
              <a:noFill/>
              <a:ln w="25400">
                <a:noFill/>
              </a:ln>
            </c:spPr>
            <c:txPr>
              <a:bodyPr wrap="square" lIns="38100" tIns="19050" rIns="38100" bIns="19050" anchor="ctr">
                <a:spAutoFit/>
              </a:bodyPr>
              <a:lstStyle/>
              <a:p>
                <a:pPr>
                  <a:defRPr sz="470" b="0" i="0" u="none" strike="noStrike" baseline="0">
                    <a:solidFill>
                      <a:srgbClr val="000000"/>
                    </a:solidFill>
                    <a:latin typeface="Bitstream Vera Sans"/>
                    <a:ea typeface="Bitstream Vera Sans"/>
                    <a:cs typeface="Bitstream Vera Sans"/>
                  </a:defRPr>
                </a:pPr>
                <a:endParaRPr lang="en-US"/>
              </a:p>
            </c:txPr>
            <c:showLegendKey val="1"/>
            <c:showVal val="1"/>
            <c:showCatName val="0"/>
            <c:showSerName val="0"/>
            <c:showPercent val="0"/>
            <c:showBubbleSize val="0"/>
            <c:showLeaderLines val="0"/>
            <c:extLst>
              <c:ext xmlns:c15="http://schemas.microsoft.com/office/drawing/2012/chart" uri="{CE6537A1-D6FC-4f65-9D91-7224C49458BB}">
                <c15:showLeaderLines val="0"/>
              </c:ext>
            </c:extLst>
          </c:dLbls>
          <c:cat>
            <c:strRef>
              <c:f>Friedman!$A$17:$A$23</c:f>
              <c:strCache>
                <c:ptCount val="7"/>
                <c:pt idx="0">
                  <c:v>Monday</c:v>
                </c:pt>
                <c:pt idx="1">
                  <c:v>Tuesday</c:v>
                </c:pt>
                <c:pt idx="2">
                  <c:v>Wednesday</c:v>
                </c:pt>
                <c:pt idx="3">
                  <c:v>Thursday</c:v>
                </c:pt>
                <c:pt idx="4">
                  <c:v>Friday</c:v>
                </c:pt>
                <c:pt idx="5">
                  <c:v>Saturday</c:v>
                </c:pt>
                <c:pt idx="6">
                  <c:v>Sunday</c:v>
                </c:pt>
              </c:strCache>
            </c:strRef>
          </c:cat>
          <c:val>
            <c:numRef>
              <c:f>Friedman!$G$10:$G$16</c:f>
              <c:numCache>
                <c:formatCode>0</c:formatCode>
                <c:ptCount val="7"/>
              </c:numCache>
            </c:numRef>
          </c:val>
          <c:smooth val="0"/>
          <c:extLst>
            <c:ext xmlns:c16="http://schemas.microsoft.com/office/drawing/2014/chart" uri="{C3380CC4-5D6E-409C-BE32-E72D297353CC}">
              <c16:uniqueId val="{00000001-8FD3-4816-A585-5D66CA805039}"/>
            </c:ext>
          </c:extLst>
        </c:ser>
        <c:ser>
          <c:idx val="2"/>
          <c:order val="2"/>
          <c:tx>
            <c:strRef>
              <c:f>Friedman!$B$17</c:f>
              <c:strCache>
                <c:ptCount val="1"/>
                <c:pt idx="0">
                  <c:v>13 Apr 20</c:v>
                </c:pt>
              </c:strCache>
            </c:strRef>
          </c:tx>
          <c:spPr>
            <a:ln w="3175">
              <a:solidFill>
                <a:srgbClr val="E6E64C"/>
              </a:solidFill>
              <a:prstDash val="solid"/>
            </a:ln>
          </c:spPr>
          <c:marker>
            <c:symbol val="dash"/>
            <c:size val="6"/>
            <c:spPr>
              <a:noFill/>
              <a:ln>
                <a:solidFill>
                  <a:srgbClr val="E6E64C"/>
                </a:solidFill>
                <a:prstDash val="solid"/>
              </a:ln>
            </c:spPr>
          </c:marker>
          <c:dLbls>
            <c:spPr>
              <a:noFill/>
              <a:ln w="25400">
                <a:noFill/>
              </a:ln>
            </c:spPr>
            <c:txPr>
              <a:bodyPr wrap="square" lIns="38100" tIns="19050" rIns="38100" bIns="19050" anchor="ctr">
                <a:spAutoFit/>
              </a:bodyPr>
              <a:lstStyle/>
              <a:p>
                <a:pPr>
                  <a:defRPr sz="470" b="0" i="0" u="none" strike="noStrike" baseline="0">
                    <a:solidFill>
                      <a:srgbClr val="000000"/>
                    </a:solidFill>
                    <a:latin typeface="Bitstream Vera Sans"/>
                    <a:ea typeface="Bitstream Vera Sans"/>
                    <a:cs typeface="Bitstream Vera Sans"/>
                  </a:defRPr>
                </a:pPr>
                <a:endParaRPr lang="en-US"/>
              </a:p>
            </c:txPr>
            <c:showLegendKey val="1"/>
            <c:showVal val="1"/>
            <c:showCatName val="0"/>
            <c:showSerName val="0"/>
            <c:showPercent val="0"/>
            <c:showBubbleSize val="0"/>
            <c:showLeaderLines val="0"/>
            <c:extLst>
              <c:ext xmlns:c15="http://schemas.microsoft.com/office/drawing/2012/chart" uri="{CE6537A1-D6FC-4f65-9D91-7224C49458BB}">
                <c15:showLeaderLines val="0"/>
              </c:ext>
            </c:extLst>
          </c:dLbls>
          <c:cat>
            <c:strRef>
              <c:f>Friedman!$A$17:$A$23</c:f>
              <c:strCache>
                <c:ptCount val="7"/>
                <c:pt idx="0">
                  <c:v>Monday</c:v>
                </c:pt>
                <c:pt idx="1">
                  <c:v>Tuesday</c:v>
                </c:pt>
                <c:pt idx="2">
                  <c:v>Wednesday</c:v>
                </c:pt>
                <c:pt idx="3">
                  <c:v>Thursday</c:v>
                </c:pt>
                <c:pt idx="4">
                  <c:v>Friday</c:v>
                </c:pt>
                <c:pt idx="5">
                  <c:v>Saturday</c:v>
                </c:pt>
                <c:pt idx="6">
                  <c:v>Sunday</c:v>
                </c:pt>
              </c:strCache>
            </c:strRef>
          </c:cat>
          <c:val>
            <c:numRef>
              <c:f>Friedman!$G$17:$G$23</c:f>
              <c:numCache>
                <c:formatCode>0</c:formatCode>
                <c:ptCount val="7"/>
              </c:numCache>
            </c:numRef>
          </c:val>
          <c:smooth val="0"/>
          <c:extLst>
            <c:ext xmlns:c16="http://schemas.microsoft.com/office/drawing/2014/chart" uri="{C3380CC4-5D6E-409C-BE32-E72D297353CC}">
              <c16:uniqueId val="{00000002-8FD3-4816-A585-5D66CA805039}"/>
            </c:ext>
          </c:extLst>
        </c:ser>
        <c:ser>
          <c:idx val="3"/>
          <c:order val="3"/>
          <c:tx>
            <c:strRef>
              <c:f>Friedman!$B$24</c:f>
              <c:strCache>
                <c:ptCount val="1"/>
                <c:pt idx="0">
                  <c:v>20 Apr 20</c:v>
                </c:pt>
              </c:strCache>
            </c:strRef>
          </c:tx>
          <c:spPr>
            <a:ln w="3175">
              <a:solidFill>
                <a:srgbClr val="579D1C"/>
              </a:solidFill>
              <a:prstDash val="solid"/>
            </a:ln>
          </c:spPr>
          <c:marker>
            <c:symbol val="triangle"/>
            <c:size val="6"/>
            <c:spPr>
              <a:solidFill>
                <a:srgbClr val="579D1C"/>
              </a:solidFill>
              <a:ln>
                <a:solidFill>
                  <a:srgbClr val="579D1C"/>
                </a:solidFill>
                <a:prstDash val="solid"/>
              </a:ln>
            </c:spPr>
          </c:marker>
          <c:cat>
            <c:strRef>
              <c:f>Friedman!$A$17:$A$23</c:f>
              <c:strCache>
                <c:ptCount val="7"/>
                <c:pt idx="0">
                  <c:v>Monday</c:v>
                </c:pt>
                <c:pt idx="1">
                  <c:v>Tuesday</c:v>
                </c:pt>
                <c:pt idx="2">
                  <c:v>Wednesday</c:v>
                </c:pt>
                <c:pt idx="3">
                  <c:v>Thursday</c:v>
                </c:pt>
                <c:pt idx="4">
                  <c:v>Friday</c:v>
                </c:pt>
                <c:pt idx="5">
                  <c:v>Saturday</c:v>
                </c:pt>
                <c:pt idx="6">
                  <c:v>Sunday</c:v>
                </c:pt>
              </c:strCache>
            </c:strRef>
          </c:cat>
          <c:val>
            <c:numRef>
              <c:f>Friedman!$G$24:$G$30</c:f>
              <c:numCache>
                <c:formatCode>0</c:formatCode>
                <c:ptCount val="7"/>
              </c:numCache>
            </c:numRef>
          </c:val>
          <c:smooth val="0"/>
          <c:extLst>
            <c:ext xmlns:c16="http://schemas.microsoft.com/office/drawing/2014/chart" uri="{C3380CC4-5D6E-409C-BE32-E72D297353CC}">
              <c16:uniqueId val="{00000003-8FD3-4816-A585-5D66CA805039}"/>
            </c:ext>
          </c:extLst>
        </c:ser>
        <c:ser>
          <c:idx val="4"/>
          <c:order val="4"/>
          <c:tx>
            <c:strRef>
              <c:f>Friedman!$B$31</c:f>
              <c:strCache>
                <c:ptCount val="1"/>
                <c:pt idx="0">
                  <c:v>27 Apr 20</c:v>
                </c:pt>
              </c:strCache>
            </c:strRef>
          </c:tx>
          <c:spPr>
            <a:ln w="3175">
              <a:solidFill>
                <a:srgbClr val="7E0021"/>
              </a:solidFill>
              <a:prstDash val="solid"/>
            </a:ln>
          </c:spPr>
          <c:marker>
            <c:symbol val="circle"/>
            <c:size val="6"/>
            <c:spPr>
              <a:solidFill>
                <a:srgbClr val="7E0021"/>
              </a:solidFill>
              <a:ln>
                <a:solidFill>
                  <a:srgbClr val="7E0021"/>
                </a:solidFill>
                <a:prstDash val="solid"/>
              </a:ln>
            </c:spPr>
          </c:marker>
          <c:cat>
            <c:strRef>
              <c:f>Friedman!$A$17:$A$23</c:f>
              <c:strCache>
                <c:ptCount val="7"/>
                <c:pt idx="0">
                  <c:v>Monday</c:v>
                </c:pt>
                <c:pt idx="1">
                  <c:v>Tuesday</c:v>
                </c:pt>
                <c:pt idx="2">
                  <c:v>Wednesday</c:v>
                </c:pt>
                <c:pt idx="3">
                  <c:v>Thursday</c:v>
                </c:pt>
                <c:pt idx="4">
                  <c:v>Friday</c:v>
                </c:pt>
                <c:pt idx="5">
                  <c:v>Saturday</c:v>
                </c:pt>
                <c:pt idx="6">
                  <c:v>Sunday</c:v>
                </c:pt>
              </c:strCache>
            </c:strRef>
          </c:cat>
          <c:val>
            <c:numRef>
              <c:f>Friedman!$G$31:$G$37</c:f>
              <c:numCache>
                <c:formatCode>0</c:formatCode>
                <c:ptCount val="7"/>
              </c:numCache>
            </c:numRef>
          </c:val>
          <c:smooth val="0"/>
          <c:extLst>
            <c:ext xmlns:c16="http://schemas.microsoft.com/office/drawing/2014/chart" uri="{C3380CC4-5D6E-409C-BE32-E72D297353CC}">
              <c16:uniqueId val="{00000004-8FD3-4816-A585-5D66CA805039}"/>
            </c:ext>
          </c:extLst>
        </c:ser>
        <c:ser>
          <c:idx val="5"/>
          <c:order val="5"/>
          <c:tx>
            <c:strRef>
              <c:f>Friedman!$B$31</c:f>
              <c:strCache>
                <c:ptCount val="1"/>
                <c:pt idx="0">
                  <c:v>27 Apr 20</c:v>
                </c:pt>
              </c:strCache>
            </c:strRef>
          </c:tx>
          <c:spPr>
            <a:ln w="3175">
              <a:solidFill>
                <a:srgbClr val="83CAFF"/>
              </a:solidFill>
              <a:prstDash val="solid"/>
            </a:ln>
          </c:spPr>
          <c:marker>
            <c:symbol val="plus"/>
            <c:size val="6"/>
            <c:spPr>
              <a:noFill/>
              <a:ln>
                <a:solidFill>
                  <a:srgbClr val="83CAFF"/>
                </a:solidFill>
                <a:prstDash val="solid"/>
              </a:ln>
            </c:spPr>
          </c:marker>
          <c:cat>
            <c:strRef>
              <c:f>Friedman!$A$17:$A$23</c:f>
              <c:strCache>
                <c:ptCount val="7"/>
                <c:pt idx="0">
                  <c:v>Monday</c:v>
                </c:pt>
                <c:pt idx="1">
                  <c:v>Tuesday</c:v>
                </c:pt>
                <c:pt idx="2">
                  <c:v>Wednesday</c:v>
                </c:pt>
                <c:pt idx="3">
                  <c:v>Thursday</c:v>
                </c:pt>
                <c:pt idx="4">
                  <c:v>Friday</c:v>
                </c:pt>
                <c:pt idx="5">
                  <c:v>Saturday</c:v>
                </c:pt>
                <c:pt idx="6">
                  <c:v>Sunday</c:v>
                </c:pt>
              </c:strCache>
            </c:strRef>
          </c:cat>
          <c:val>
            <c:numRef>
              <c:f>Friedman!$G$38:$G$44</c:f>
              <c:numCache>
                <c:formatCode>0</c:formatCode>
                <c:ptCount val="7"/>
              </c:numCache>
            </c:numRef>
          </c:val>
          <c:smooth val="0"/>
          <c:extLst>
            <c:ext xmlns:c16="http://schemas.microsoft.com/office/drawing/2014/chart" uri="{C3380CC4-5D6E-409C-BE32-E72D297353CC}">
              <c16:uniqueId val="{00000005-8FD3-4816-A585-5D66CA805039}"/>
            </c:ext>
          </c:extLst>
        </c:ser>
        <c:dLbls>
          <c:showLegendKey val="0"/>
          <c:showVal val="0"/>
          <c:showCatName val="0"/>
          <c:showSerName val="0"/>
          <c:showPercent val="0"/>
          <c:showBubbleSize val="0"/>
        </c:dLbls>
        <c:marker val="1"/>
        <c:smooth val="0"/>
        <c:axId val="490645104"/>
        <c:axId val="1"/>
      </c:lineChart>
      <c:catAx>
        <c:axId val="490645104"/>
        <c:scaling>
          <c:orientation val="minMax"/>
        </c:scaling>
        <c:delete val="0"/>
        <c:axPos val="b"/>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790" b="0" i="0" u="none" strike="noStrike" baseline="0">
                <a:solidFill>
                  <a:srgbClr val="000000"/>
                </a:solidFill>
                <a:latin typeface="Bitstream Vera Sans"/>
                <a:ea typeface="Bitstream Vera Sans"/>
                <a:cs typeface="Bitstream Vera Sans"/>
              </a:defRPr>
            </a:pPr>
            <a:endParaRPr lang="en-US"/>
          </a:p>
        </c:txPr>
        <c:crossAx val="1"/>
        <c:crossesAt val="0"/>
        <c:auto val="1"/>
        <c:lblAlgn val="ctr"/>
        <c:lblOffset val="100"/>
        <c:tickLblSkip val="1"/>
        <c:tickMarkSkip val="1"/>
        <c:noMultiLvlLbl val="0"/>
      </c:catAx>
      <c:valAx>
        <c:axId val="1"/>
        <c:scaling>
          <c:orientation val="minMax"/>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790" b="0" i="0" u="none" strike="noStrike" baseline="0">
                <a:solidFill>
                  <a:srgbClr val="000000"/>
                </a:solidFill>
                <a:latin typeface="Bitstream Vera Sans"/>
                <a:ea typeface="Bitstream Vera Sans"/>
                <a:cs typeface="Bitstream Vera Sans"/>
              </a:defRPr>
            </a:pPr>
            <a:endParaRPr lang="en-US"/>
          </a:p>
        </c:txPr>
        <c:crossAx val="490645104"/>
        <c:crossesAt val="1"/>
        <c:crossBetween val="midCat"/>
      </c:valAx>
      <c:spPr>
        <a:noFill/>
        <a:ln w="25400">
          <a:noFill/>
        </a:ln>
      </c:spPr>
    </c:plotArea>
    <c:legend>
      <c:legendPos val="r"/>
      <c:layout>
        <c:manualLayout>
          <c:xMode val="edge"/>
          <c:yMode val="edge"/>
          <c:x val="0.91329252473284561"/>
          <c:y val="0.53669186822957249"/>
          <c:w val="7.4846633240533256E-2"/>
          <c:h val="0.12500007591441956"/>
        </c:manualLayout>
      </c:layout>
      <c:overlay val="0"/>
      <c:spPr>
        <a:noFill/>
        <a:ln w="3175">
          <a:solidFill>
            <a:srgbClr val="000000"/>
          </a:solidFill>
          <a:prstDash val="solid"/>
        </a:ln>
      </c:spPr>
      <c:txPr>
        <a:bodyPr/>
        <a:lstStyle/>
        <a:p>
          <a:pPr>
            <a:defRPr sz="460" b="0" i="0" u="none" strike="noStrike" baseline="0">
              <a:solidFill>
                <a:srgbClr val="000000"/>
              </a:solidFill>
              <a:latin typeface="Bitstream Vera Sans"/>
              <a:ea typeface="Bitstream Vera Sans"/>
              <a:cs typeface="Bitstream Vera Sans"/>
            </a:defRPr>
          </a:pPr>
          <a:endParaRPr lang="en-US"/>
        </a:p>
      </c:txPr>
    </c:legend>
    <c:plotVisOnly val="0"/>
    <c:dispBlanksAs val="gap"/>
    <c:showDLblsOverMax val="0"/>
  </c:chart>
  <c:spPr>
    <a:solidFill>
      <a:srgbClr val="FFFFFF"/>
    </a:solid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0555555555551" footer="0.51180555555555551"/>
    <c:pageSetup firstPageNumber="0"/>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1" Type="http://schemas.openxmlformats.org/officeDocument/2006/relationships/image" Target="../media/image2.png"/></Relationships>
</file>

<file path=xl/drawings/_rels/drawing14.xml.rels><?xml version="1.0" encoding="UTF-8" standalone="yes"?>
<Relationships xmlns="http://schemas.openxmlformats.org/package/2006/relationships"><Relationship Id="rId1" Type="http://schemas.openxmlformats.org/officeDocument/2006/relationships/image" Target="../media/image2.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png"/></Relationships>
</file>

<file path=xl/drawings/_rels/drawing17.xml.rels><?xml version="1.0" encoding="UTF-8" standalone="yes"?>
<Relationships xmlns="http://schemas.openxmlformats.org/package/2006/relationships"><Relationship Id="rId1" Type="http://schemas.openxmlformats.org/officeDocument/2006/relationships/image" Target="../media/image2.png"/></Relationships>
</file>

<file path=xl/drawings/_rels/drawing18.xml.rels><?xml version="1.0" encoding="UTF-8" standalone="yes"?>
<Relationships xmlns="http://schemas.openxmlformats.org/package/2006/relationships"><Relationship Id="rId1" Type="http://schemas.openxmlformats.org/officeDocument/2006/relationships/image" Target="../media/image2.png"/></Relationships>
</file>

<file path=xl/drawings/_rels/drawing19.xml.rels><?xml version="1.0" encoding="UTF-8" standalone="yes"?>
<Relationships xmlns="http://schemas.openxmlformats.org/package/2006/relationships"><Relationship Id="rId1" Type="http://schemas.openxmlformats.org/officeDocument/2006/relationships/image" Target="../media/image2.png"/></Relationships>
</file>

<file path=xl/drawings/_rels/drawing20.xml.rels><?xml version="1.0" encoding="UTF-8" standalone="yes"?>
<Relationships xmlns="http://schemas.openxmlformats.org/package/2006/relationships"><Relationship Id="rId1" Type="http://schemas.openxmlformats.org/officeDocument/2006/relationships/image" Target="../media/image2.png"/></Relationships>
</file>

<file path=xl/drawings/_rels/drawing2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2.xml.rels><?xml version="1.0" encoding="UTF-8" standalone="yes"?>
<Relationships xmlns="http://schemas.openxmlformats.org/package/2006/relationships"><Relationship Id="rId1" Type="http://schemas.openxmlformats.org/officeDocument/2006/relationships/image" Target="../media/image2.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28</xdr:row>
          <xdr:rowOff>47625</xdr:rowOff>
        </xdr:from>
        <xdr:to>
          <xdr:col>3</xdr:col>
          <xdr:colOff>171450</xdr:colOff>
          <xdr:row>29</xdr:row>
          <xdr:rowOff>104775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600-000001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Submit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87630</xdr:colOff>
      <xdr:row>0</xdr:row>
      <xdr:rowOff>114300</xdr:rowOff>
    </xdr:from>
    <xdr:to>
      <xdr:col>11</xdr:col>
      <xdr:colOff>598170</xdr:colOff>
      <xdr:row>14</xdr:row>
      <xdr:rowOff>354330</xdr:rowOff>
    </xdr:to>
    <xdr:graphicFrame macro="">
      <xdr:nvGraphicFramePr>
        <xdr:cNvPr id="2268" name="Chart 1">
          <a:extLst>
            <a:ext uri="{FF2B5EF4-FFF2-40B4-BE49-F238E27FC236}">
              <a16:creationId xmlns:a16="http://schemas.microsoft.com/office/drawing/2014/main" id="{00000000-0008-0000-0D00-0000DC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19050</xdr:colOff>
      <xdr:row>15</xdr:row>
      <xdr:rowOff>38100</xdr:rowOff>
    </xdr:from>
    <xdr:to>
      <xdr:col>11</xdr:col>
      <xdr:colOff>617220</xdr:colOff>
      <xdr:row>29</xdr:row>
      <xdr:rowOff>354330</xdr:rowOff>
    </xdr:to>
    <xdr:graphicFrame macro="">
      <xdr:nvGraphicFramePr>
        <xdr:cNvPr id="2269" name="Chart 2">
          <a:extLst>
            <a:ext uri="{FF2B5EF4-FFF2-40B4-BE49-F238E27FC236}">
              <a16:creationId xmlns:a16="http://schemas.microsoft.com/office/drawing/2014/main" id="{00000000-0008-0000-0D00-0000DD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30</xdr:row>
      <xdr:rowOff>68580</xdr:rowOff>
    </xdr:from>
    <xdr:to>
      <xdr:col>11</xdr:col>
      <xdr:colOff>598170</xdr:colOff>
      <xdr:row>44</xdr:row>
      <xdr:rowOff>381000</xdr:rowOff>
    </xdr:to>
    <xdr:graphicFrame macro="">
      <xdr:nvGraphicFramePr>
        <xdr:cNvPr id="2270" name="Chart 3">
          <a:extLst>
            <a:ext uri="{FF2B5EF4-FFF2-40B4-BE49-F238E27FC236}">
              <a16:creationId xmlns:a16="http://schemas.microsoft.com/office/drawing/2014/main" id="{00000000-0008-0000-0D00-0000DE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38100</xdr:colOff>
      <xdr:row>2</xdr:row>
      <xdr:rowOff>0</xdr:rowOff>
    </xdr:from>
    <xdr:to>
      <xdr:col>0</xdr:col>
      <xdr:colOff>1645920</xdr:colOff>
      <xdr:row>3</xdr:row>
      <xdr:rowOff>64770</xdr:rowOff>
    </xdr:to>
    <xdr:pic>
      <xdr:nvPicPr>
        <xdr:cNvPr id="3148" name="Graphics 1">
          <a:extLst>
            <a:ext uri="{FF2B5EF4-FFF2-40B4-BE49-F238E27FC236}">
              <a16:creationId xmlns:a16="http://schemas.microsoft.com/office/drawing/2014/main" id="{00000000-0008-0000-1300-00004C0C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666750"/>
          <a:ext cx="1607820" cy="4686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80808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5" name="Picture 4">
          <a:extLst>
            <a:ext uri="{FF2B5EF4-FFF2-40B4-BE49-F238E27FC236}">
              <a16:creationId xmlns:a16="http://schemas.microsoft.com/office/drawing/2014/main" id="{00000000-0008-0000-14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8275"/>
          <a:ext cx="2528147" cy="60173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18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1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1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1C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1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1E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1F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2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2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2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2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2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2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2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2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AU183"/>
  <sheetViews>
    <sheetView tabSelected="1" zoomScale="80" zoomScaleNormal="80" workbookViewId="0">
      <selection activeCell="D11" sqref="D11"/>
    </sheetView>
  </sheetViews>
  <sheetFormatPr defaultColWidth="11.5703125" defaultRowHeight="15.95" customHeight="1"/>
  <cols>
    <col min="1" max="1" width="2.28515625" customWidth="1"/>
    <col min="2" max="2" width="4.85546875" customWidth="1"/>
    <col min="3" max="3" width="12.5703125" customWidth="1"/>
    <col min="4" max="4" width="15.42578125" customWidth="1"/>
    <col min="5" max="5" width="4.28515625" customWidth="1"/>
    <col min="6" max="6" width="15.5703125" customWidth="1"/>
    <col min="7" max="7" width="15" customWidth="1"/>
    <col min="8" max="8" width="13.28515625" customWidth="1"/>
    <col min="9" max="13" width="12.7109375" customWidth="1"/>
    <col min="14" max="14" width="13.140625" bestFit="1" customWidth="1"/>
    <col min="15" max="15" width="14" customWidth="1"/>
    <col min="16" max="16" width="13.5703125" customWidth="1"/>
    <col min="17" max="21" width="11.5703125" customWidth="1"/>
    <col min="22" max="22" width="12.28515625" bestFit="1" customWidth="1"/>
    <col min="23" max="25" width="11.7109375" bestFit="1" customWidth="1"/>
    <col min="26" max="26" width="11.85546875" bestFit="1" customWidth="1"/>
    <col min="27" max="27" width="12" bestFit="1" customWidth="1"/>
    <col min="28" max="28" width="11.7109375" bestFit="1" customWidth="1"/>
    <col min="29" max="29" width="12.28515625" bestFit="1" customWidth="1"/>
    <col min="30" max="30" width="11.7109375" bestFit="1" customWidth="1"/>
    <col min="31" max="31" width="13.140625" customWidth="1"/>
    <col min="32" max="33" width="13" customWidth="1"/>
    <col min="34" max="34" width="12.7109375" customWidth="1"/>
    <col min="35" max="35" width="13.28515625" customWidth="1"/>
    <col min="36" max="36" width="12.28515625" bestFit="1" customWidth="1"/>
    <col min="37" max="39" width="11.7109375" bestFit="1" customWidth="1"/>
    <col min="40" max="40" width="11.85546875" bestFit="1" customWidth="1"/>
    <col min="41" max="41" width="12" bestFit="1" customWidth="1"/>
    <col min="42" max="42" width="11.7109375" bestFit="1" customWidth="1"/>
    <col min="43" max="43" width="12.28515625" bestFit="1" customWidth="1"/>
    <col min="44" max="46" width="11.7109375" bestFit="1" customWidth="1"/>
    <col min="47" max="47" width="11.85546875" bestFit="1" customWidth="1"/>
  </cols>
  <sheetData>
    <row r="1" spans="2:21" s="1" customFormat="1" ht="15.95" customHeight="1"/>
    <row r="2" spans="2:21" s="1" customFormat="1" ht="15.95" customHeight="1">
      <c r="B2" s="2" t="s">
        <v>0</v>
      </c>
      <c r="C2" s="2"/>
      <c r="D2" s="3" t="s">
        <v>386</v>
      </c>
      <c r="F2" s="2" t="s">
        <v>1</v>
      </c>
      <c r="G2" s="2"/>
      <c r="H2" s="4">
        <v>43864</v>
      </c>
      <c r="I2" s="1" t="str">
        <f>IF(WEEKDAY(H2,2)=1,"","ERROR - Not Monday")</f>
        <v/>
      </c>
      <c r="T2" s="305"/>
      <c r="U2" s="143"/>
    </row>
    <row r="3" spans="2:21" s="1" customFormat="1" ht="15.95" customHeight="1">
      <c r="B3" s="422" t="s">
        <v>333</v>
      </c>
      <c r="C3" s="422"/>
      <c r="D3" s="3" t="s">
        <v>217</v>
      </c>
      <c r="F3" s="2" t="s">
        <v>3</v>
      </c>
      <c r="G3" s="2"/>
      <c r="H3" s="213">
        <v>0</v>
      </c>
      <c r="J3" s="143"/>
      <c r="T3" s="305"/>
      <c r="U3" s="143"/>
    </row>
    <row r="4" spans="2:21" s="1" customFormat="1" ht="15.95" customHeight="1">
      <c r="F4" s="2" t="s">
        <v>5</v>
      </c>
      <c r="G4" s="2"/>
      <c r="H4" s="436">
        <f>MAX(F35:AU35)</f>
        <v>0</v>
      </c>
      <c r="T4" s="305"/>
      <c r="U4" s="143"/>
    </row>
    <row r="5" spans="2:21" s="1" customFormat="1" ht="15.95" customHeight="1">
      <c r="B5" s="424" t="s">
        <v>2</v>
      </c>
      <c r="C5" s="424"/>
      <c r="D5" s="5">
        <v>4</v>
      </c>
      <c r="T5" s="305"/>
      <c r="U5" s="143"/>
    </row>
    <row r="6" spans="2:21" s="1" customFormat="1" ht="15.95" customHeight="1">
      <c r="B6" s="424" t="s">
        <v>4</v>
      </c>
      <c r="C6" s="424"/>
      <c r="D6" s="5">
        <v>2020</v>
      </c>
      <c r="G6" s="197"/>
      <c r="T6" s="305"/>
      <c r="U6" s="143"/>
    </row>
    <row r="7" spans="2:21" s="1" customFormat="1" ht="15.95" customHeight="1">
      <c r="B7" s="424" t="s">
        <v>6</v>
      </c>
      <c r="C7" s="424"/>
      <c r="D7" s="423">
        <f>DATE(D6,D5,1)</f>
        <v>43922</v>
      </c>
      <c r="F7" s="411" t="s">
        <v>327</v>
      </c>
      <c r="G7" s="259"/>
      <c r="T7" s="305"/>
      <c r="U7" s="143"/>
    </row>
    <row r="8" spans="2:21" s="1" customFormat="1" ht="15.95" customHeight="1">
      <c r="B8" s="424" t="s">
        <v>7</v>
      </c>
      <c r="C8" s="424"/>
      <c r="D8" s="423">
        <f>EOMONTH(D7,0)</f>
        <v>43951</v>
      </c>
      <c r="T8" s="305"/>
      <c r="U8" s="143"/>
    </row>
    <row r="9" spans="2:21" s="1" customFormat="1" ht="15.95" customHeight="1">
      <c r="F9" s="412" t="s">
        <v>8</v>
      </c>
      <c r="G9" s="304">
        <f>Specifications!C3</f>
        <v>3</v>
      </c>
      <c r="T9" s="305"/>
      <c r="U9" s="143"/>
    </row>
    <row r="10" spans="2:21" s="1" customFormat="1" ht="15.95" customHeight="1">
      <c r="T10" s="305"/>
      <c r="U10" s="143"/>
    </row>
    <row r="11" spans="2:21" s="1" customFormat="1" ht="15.95" customHeight="1">
      <c r="B11" s="2" t="s">
        <v>9</v>
      </c>
      <c r="C11" s="2"/>
      <c r="D11" s="5"/>
      <c r="I11" s="24"/>
      <c r="T11" s="305"/>
      <c r="U11" s="143"/>
    </row>
    <row r="12" spans="2:21" s="1" customFormat="1" ht="15.95" customHeight="1">
      <c r="N12" s="6"/>
      <c r="O12" s="6"/>
      <c r="Q12" s="6"/>
      <c r="R12" s="6"/>
      <c r="S12" s="6"/>
      <c r="T12" s="305"/>
      <c r="U12" s="143"/>
    </row>
    <row r="13" spans="2:21" s="1" customFormat="1" ht="15.95" customHeight="1">
      <c r="B13" s="2" t="s">
        <v>10</v>
      </c>
      <c r="C13" s="2"/>
      <c r="D13" s="2"/>
      <c r="F13" s="2" t="s">
        <v>285</v>
      </c>
      <c r="G13" s="2"/>
      <c r="N13" s="2" t="s">
        <v>284</v>
      </c>
      <c r="O13" s="2"/>
      <c r="T13" s="305"/>
      <c r="U13" s="143"/>
    </row>
    <row r="14" spans="2:21" s="1" customFormat="1" ht="15.95" customHeight="1">
      <c r="B14" s="2"/>
      <c r="C14" s="2" t="s">
        <v>11</v>
      </c>
      <c r="D14" s="2" t="s">
        <v>12</v>
      </c>
      <c r="F14" s="2" t="s">
        <v>13</v>
      </c>
      <c r="G14" s="2" t="s">
        <v>14</v>
      </c>
      <c r="H14" s="2" t="s">
        <v>15</v>
      </c>
      <c r="I14" s="2" t="s">
        <v>16</v>
      </c>
      <c r="J14" s="2" t="s">
        <v>17</v>
      </c>
      <c r="K14" s="2" t="s">
        <v>18</v>
      </c>
      <c r="L14" s="2" t="s">
        <v>62</v>
      </c>
      <c r="N14" s="2" t="s">
        <v>13</v>
      </c>
      <c r="O14" s="2" t="s">
        <v>14</v>
      </c>
      <c r="P14" s="2" t="s">
        <v>15</v>
      </c>
      <c r="Q14" s="2" t="s">
        <v>19</v>
      </c>
      <c r="T14" s="305"/>
      <c r="U14" s="143"/>
    </row>
    <row r="15" spans="2:21" s="1" customFormat="1" ht="15.95" customHeight="1">
      <c r="B15" s="2">
        <v>1</v>
      </c>
      <c r="C15" s="330"/>
      <c r="D15" s="330" t="s">
        <v>20</v>
      </c>
      <c r="F15" s="7">
        <v>1</v>
      </c>
      <c r="G15" s="324">
        <f t="shared" ref="G15:H20" si="0">O15-364</f>
        <v>43556</v>
      </c>
      <c r="H15" s="324">
        <f t="shared" si="0"/>
        <v>43562</v>
      </c>
      <c r="I15" s="339"/>
      <c r="J15" s="339"/>
      <c r="K15" s="338"/>
      <c r="L15" s="339"/>
      <c r="N15" s="7">
        <v>1</v>
      </c>
      <c r="O15" s="324">
        <f>F25</f>
        <v>43920</v>
      </c>
      <c r="P15" s="324">
        <f>L25</f>
        <v>43926</v>
      </c>
      <c r="Q15" s="323">
        <f>SUM(F26:L26)</f>
        <v>0</v>
      </c>
      <c r="T15" s="305"/>
      <c r="U15" s="143"/>
    </row>
    <row r="16" spans="2:21" s="1" customFormat="1" ht="15.95" customHeight="1">
      <c r="B16" s="2">
        <v>2</v>
      </c>
      <c r="C16" s="426"/>
      <c r="D16" s="330" t="s">
        <v>21</v>
      </c>
      <c r="F16" s="7">
        <v>2</v>
      </c>
      <c r="G16" s="324">
        <f t="shared" si="0"/>
        <v>43563</v>
      </c>
      <c r="H16" s="324">
        <f t="shared" si="0"/>
        <v>43569</v>
      </c>
      <c r="I16" s="339"/>
      <c r="J16" s="339"/>
      <c r="K16" s="338"/>
      <c r="L16" s="339"/>
      <c r="N16" s="7">
        <v>2</v>
      </c>
      <c r="O16" s="324">
        <f>M25</f>
        <v>43927</v>
      </c>
      <c r="P16" s="324">
        <f>S25</f>
        <v>43933</v>
      </c>
      <c r="Q16" s="323">
        <f>SUM(M26:S26)</f>
        <v>0</v>
      </c>
      <c r="T16" s="305"/>
      <c r="U16" s="143"/>
    </row>
    <row r="17" spans="2:47" s="1" customFormat="1" ht="15.95" customHeight="1">
      <c r="B17" s="2">
        <v>3</v>
      </c>
      <c r="C17" s="426"/>
      <c r="D17" s="330" t="s">
        <v>22</v>
      </c>
      <c r="F17" s="7">
        <v>3</v>
      </c>
      <c r="G17" s="324">
        <f t="shared" si="0"/>
        <v>43570</v>
      </c>
      <c r="H17" s="324">
        <f t="shared" si="0"/>
        <v>43576</v>
      </c>
      <c r="I17" s="339"/>
      <c r="J17" s="339"/>
      <c r="K17" s="338"/>
      <c r="L17" s="339"/>
      <c r="N17" s="7">
        <v>3</v>
      </c>
      <c r="O17" s="324">
        <f>T25</f>
        <v>43934</v>
      </c>
      <c r="P17" s="324">
        <f>Z25</f>
        <v>43940</v>
      </c>
      <c r="Q17" s="323">
        <f>SUM(T26:Z26)</f>
        <v>0</v>
      </c>
      <c r="T17" s="305"/>
      <c r="U17" s="143"/>
    </row>
    <row r="18" spans="2:47" s="1" customFormat="1" ht="15.95" customHeight="1">
      <c r="B18" s="2">
        <v>4</v>
      </c>
      <c r="C18" s="426"/>
      <c r="D18" s="330" t="s">
        <v>22</v>
      </c>
      <c r="F18" s="7">
        <v>4</v>
      </c>
      <c r="G18" s="324">
        <f t="shared" si="0"/>
        <v>43577</v>
      </c>
      <c r="H18" s="324">
        <f t="shared" si="0"/>
        <v>43583</v>
      </c>
      <c r="I18" s="339"/>
      <c r="J18" s="339"/>
      <c r="K18" s="338"/>
      <c r="L18" s="339"/>
      <c r="N18" s="7">
        <v>4</v>
      </c>
      <c r="O18" s="324">
        <f>AA25</f>
        <v>43941</v>
      </c>
      <c r="P18" s="324">
        <f>AG25</f>
        <v>43947</v>
      </c>
      <c r="Q18" s="323">
        <f>SUM(AA26:AG26)</f>
        <v>0</v>
      </c>
      <c r="T18" s="305"/>
      <c r="U18" s="143"/>
    </row>
    <row r="19" spans="2:47" s="1" customFormat="1" ht="15.95" customHeight="1">
      <c r="B19" s="2">
        <v>5</v>
      </c>
      <c r="C19" s="426"/>
      <c r="D19" s="330" t="s">
        <v>23</v>
      </c>
      <c r="F19" s="7">
        <v>5</v>
      </c>
      <c r="G19" s="324">
        <f t="shared" si="0"/>
        <v>43584</v>
      </c>
      <c r="H19" s="324">
        <f t="shared" si="0"/>
        <v>43590</v>
      </c>
      <c r="I19" s="339"/>
      <c r="J19" s="339"/>
      <c r="K19" s="338"/>
      <c r="L19" s="339"/>
      <c r="N19" s="7">
        <v>5</v>
      </c>
      <c r="O19" s="324">
        <f>AH25</f>
        <v>43948</v>
      </c>
      <c r="P19" s="324">
        <f>AN25</f>
        <v>43954</v>
      </c>
      <c r="Q19" s="323">
        <f>SUM(AH26:AN26)</f>
        <v>0</v>
      </c>
      <c r="T19" s="305"/>
      <c r="U19" s="143"/>
    </row>
    <row r="20" spans="2:47" s="1" customFormat="1" ht="15.95" customHeight="1">
      <c r="B20" s="2">
        <v>6</v>
      </c>
      <c r="C20" s="426"/>
      <c r="D20" s="330" t="s">
        <v>360</v>
      </c>
      <c r="F20" s="7">
        <v>6</v>
      </c>
      <c r="G20" s="324">
        <f t="shared" si="0"/>
        <v>43591</v>
      </c>
      <c r="H20" s="324">
        <f t="shared" si="0"/>
        <v>43597</v>
      </c>
      <c r="I20" s="339"/>
      <c r="J20" s="339"/>
      <c r="K20" s="338"/>
      <c r="L20" s="339"/>
      <c r="N20" s="7">
        <v>6</v>
      </c>
      <c r="O20" s="324">
        <f>AO25</f>
        <v>43955</v>
      </c>
      <c r="P20" s="324">
        <f>AU25</f>
        <v>43961</v>
      </c>
      <c r="Q20" s="323">
        <f>SUM(AO26:AU26)</f>
        <v>0</v>
      </c>
      <c r="T20" s="305"/>
      <c r="U20" s="143"/>
    </row>
    <row r="21" spans="2:47" s="1" customFormat="1" ht="15.95" customHeight="1">
      <c r="B21" s="2">
        <v>7</v>
      </c>
      <c r="C21" s="426"/>
      <c r="D21" s="330" t="s">
        <v>24</v>
      </c>
      <c r="P21" s="305"/>
      <c r="Q21" s="306"/>
      <c r="T21" s="305"/>
      <c r="U21" s="143"/>
    </row>
    <row r="22" spans="2:47" s="1" customFormat="1" ht="15.95" customHeight="1">
      <c r="B22" s="2">
        <v>8</v>
      </c>
      <c r="C22" s="426"/>
      <c r="D22" s="330" t="s">
        <v>24</v>
      </c>
      <c r="P22" s="305"/>
      <c r="Q22" s="306"/>
      <c r="T22" s="305"/>
      <c r="U22" s="143"/>
    </row>
    <row r="23" spans="2:47" s="1" customFormat="1" ht="15.95" customHeight="1">
      <c r="B23" s="2">
        <v>9</v>
      </c>
      <c r="C23" s="426"/>
      <c r="D23" s="330" t="s">
        <v>24</v>
      </c>
      <c r="F23" s="2" t="s">
        <v>25</v>
      </c>
      <c r="G23" s="2"/>
      <c r="P23" s="305"/>
      <c r="Q23" s="306"/>
      <c r="T23" s="305"/>
      <c r="U23" s="143"/>
    </row>
    <row r="24" spans="2:47" s="1" customFormat="1" ht="15.95" customHeight="1">
      <c r="B24" s="2">
        <v>10</v>
      </c>
      <c r="C24" s="426"/>
      <c r="D24" s="330" t="s">
        <v>24</v>
      </c>
      <c r="F24" s="320" t="s">
        <v>26</v>
      </c>
      <c r="G24" s="321" t="s">
        <v>27</v>
      </c>
      <c r="H24" s="321" t="s">
        <v>28</v>
      </c>
      <c r="I24" s="321" t="s">
        <v>29</v>
      </c>
      <c r="J24" s="321" t="s">
        <v>30</v>
      </c>
      <c r="K24" s="321" t="s">
        <v>31</v>
      </c>
      <c r="L24" s="321" t="s">
        <v>32</v>
      </c>
      <c r="M24" s="321" t="s">
        <v>26</v>
      </c>
      <c r="N24" s="321" t="s">
        <v>27</v>
      </c>
      <c r="O24" s="321" t="s">
        <v>28</v>
      </c>
      <c r="P24" s="321" t="s">
        <v>29</v>
      </c>
      <c r="Q24" s="321" t="s">
        <v>30</v>
      </c>
      <c r="R24" s="321" t="s">
        <v>31</v>
      </c>
      <c r="S24" s="321" t="s">
        <v>32</v>
      </c>
      <c r="T24" s="321" t="s">
        <v>26</v>
      </c>
      <c r="U24" s="321" t="s">
        <v>27</v>
      </c>
      <c r="V24" s="321" t="s">
        <v>28</v>
      </c>
      <c r="W24" s="321" t="s">
        <v>29</v>
      </c>
      <c r="X24" s="321" t="s">
        <v>30</v>
      </c>
      <c r="Y24" s="321" t="s">
        <v>31</v>
      </c>
      <c r="Z24" s="321" t="s">
        <v>32</v>
      </c>
      <c r="AA24" s="321" t="s">
        <v>26</v>
      </c>
      <c r="AB24" s="321" t="s">
        <v>27</v>
      </c>
      <c r="AC24" s="321" t="s">
        <v>28</v>
      </c>
      <c r="AD24" s="321" t="s">
        <v>29</v>
      </c>
      <c r="AE24" s="321" t="s">
        <v>30</v>
      </c>
      <c r="AF24" s="321" t="s">
        <v>31</v>
      </c>
      <c r="AG24" s="321" t="s">
        <v>32</v>
      </c>
      <c r="AH24" s="321" t="s">
        <v>26</v>
      </c>
      <c r="AI24" s="321" t="s">
        <v>27</v>
      </c>
      <c r="AJ24" s="321" t="s">
        <v>28</v>
      </c>
      <c r="AK24" s="321" t="s">
        <v>29</v>
      </c>
      <c r="AL24" s="321" t="s">
        <v>30</v>
      </c>
      <c r="AM24" s="321" t="s">
        <v>31</v>
      </c>
      <c r="AN24" s="321" t="s">
        <v>32</v>
      </c>
      <c r="AO24" s="321" t="s">
        <v>26</v>
      </c>
      <c r="AP24" s="321" t="s">
        <v>27</v>
      </c>
      <c r="AQ24" s="321" t="s">
        <v>28</v>
      </c>
      <c r="AR24" s="321" t="s">
        <v>29</v>
      </c>
      <c r="AS24" s="321" t="s">
        <v>30</v>
      </c>
      <c r="AT24" s="321" t="s">
        <v>31</v>
      </c>
      <c r="AU24" s="322" t="s">
        <v>32</v>
      </c>
    </row>
    <row r="25" spans="2:47" s="1" customFormat="1" ht="15.95" customHeight="1">
      <c r="B25" s="2">
        <v>11</v>
      </c>
      <c r="C25" s="330"/>
      <c r="D25" s="330" t="s">
        <v>24</v>
      </c>
      <c r="F25" s="317">
        <f>'Daily &amp; Weekly Totals'!E5</f>
        <v>43920</v>
      </c>
      <c r="G25" s="318">
        <f>F25+1</f>
        <v>43921</v>
      </c>
      <c r="H25" s="318">
        <f t="shared" ref="H25:AU25" si="1">G25+1</f>
        <v>43922</v>
      </c>
      <c r="I25" s="318">
        <f t="shared" si="1"/>
        <v>43923</v>
      </c>
      <c r="J25" s="318">
        <f t="shared" si="1"/>
        <v>43924</v>
      </c>
      <c r="K25" s="318">
        <f t="shared" si="1"/>
        <v>43925</v>
      </c>
      <c r="L25" s="318">
        <f t="shared" si="1"/>
        <v>43926</v>
      </c>
      <c r="M25" s="318">
        <f t="shared" si="1"/>
        <v>43927</v>
      </c>
      <c r="N25" s="318">
        <f t="shared" si="1"/>
        <v>43928</v>
      </c>
      <c r="O25" s="318">
        <f t="shared" si="1"/>
        <v>43929</v>
      </c>
      <c r="P25" s="318">
        <f t="shared" si="1"/>
        <v>43930</v>
      </c>
      <c r="Q25" s="318">
        <f t="shared" si="1"/>
        <v>43931</v>
      </c>
      <c r="R25" s="318">
        <f t="shared" si="1"/>
        <v>43932</v>
      </c>
      <c r="S25" s="318">
        <f t="shared" si="1"/>
        <v>43933</v>
      </c>
      <c r="T25" s="318">
        <f t="shared" si="1"/>
        <v>43934</v>
      </c>
      <c r="U25" s="318">
        <f t="shared" si="1"/>
        <v>43935</v>
      </c>
      <c r="V25" s="318">
        <f t="shared" si="1"/>
        <v>43936</v>
      </c>
      <c r="W25" s="318">
        <f t="shared" si="1"/>
        <v>43937</v>
      </c>
      <c r="X25" s="318">
        <f t="shared" si="1"/>
        <v>43938</v>
      </c>
      <c r="Y25" s="318">
        <f t="shared" si="1"/>
        <v>43939</v>
      </c>
      <c r="Z25" s="318">
        <f t="shared" si="1"/>
        <v>43940</v>
      </c>
      <c r="AA25" s="318">
        <f t="shared" si="1"/>
        <v>43941</v>
      </c>
      <c r="AB25" s="318">
        <f t="shared" si="1"/>
        <v>43942</v>
      </c>
      <c r="AC25" s="318">
        <f t="shared" si="1"/>
        <v>43943</v>
      </c>
      <c r="AD25" s="318">
        <f t="shared" si="1"/>
        <v>43944</v>
      </c>
      <c r="AE25" s="318">
        <f t="shared" si="1"/>
        <v>43945</v>
      </c>
      <c r="AF25" s="318">
        <f t="shared" si="1"/>
        <v>43946</v>
      </c>
      <c r="AG25" s="318">
        <f t="shared" si="1"/>
        <v>43947</v>
      </c>
      <c r="AH25" s="318">
        <f t="shared" si="1"/>
        <v>43948</v>
      </c>
      <c r="AI25" s="318">
        <f t="shared" si="1"/>
        <v>43949</v>
      </c>
      <c r="AJ25" s="318">
        <f t="shared" si="1"/>
        <v>43950</v>
      </c>
      <c r="AK25" s="318">
        <f t="shared" si="1"/>
        <v>43951</v>
      </c>
      <c r="AL25" s="318">
        <f t="shared" si="1"/>
        <v>43952</v>
      </c>
      <c r="AM25" s="318">
        <f t="shared" si="1"/>
        <v>43953</v>
      </c>
      <c r="AN25" s="318">
        <f t="shared" si="1"/>
        <v>43954</v>
      </c>
      <c r="AO25" s="318">
        <f t="shared" si="1"/>
        <v>43955</v>
      </c>
      <c r="AP25" s="318">
        <f t="shared" si="1"/>
        <v>43956</v>
      </c>
      <c r="AQ25" s="318">
        <f t="shared" si="1"/>
        <v>43957</v>
      </c>
      <c r="AR25" s="318">
        <f t="shared" si="1"/>
        <v>43958</v>
      </c>
      <c r="AS25" s="318">
        <f t="shared" si="1"/>
        <v>43959</v>
      </c>
      <c r="AT25" s="318">
        <f t="shared" si="1"/>
        <v>43960</v>
      </c>
      <c r="AU25" s="319">
        <f t="shared" si="1"/>
        <v>43961</v>
      </c>
    </row>
    <row r="26" spans="2:47" s="1" customFormat="1" ht="15.95" customHeight="1">
      <c r="B26" s="2">
        <v>12</v>
      </c>
      <c r="C26" s="330"/>
      <c r="D26" s="330" t="s">
        <v>24</v>
      </c>
      <c r="F26" s="380"/>
      <c r="G26" s="380"/>
      <c r="H26" s="380"/>
      <c r="I26" s="380"/>
      <c r="J26" s="380"/>
      <c r="K26" s="434"/>
      <c r="L26" s="434"/>
      <c r="M26" s="380"/>
      <c r="N26" s="380"/>
      <c r="O26" s="380"/>
      <c r="P26" s="380"/>
      <c r="Q26" s="435"/>
      <c r="R26" s="435"/>
      <c r="S26" s="380"/>
      <c r="T26" s="380"/>
      <c r="U26" s="380"/>
      <c r="V26" s="380"/>
      <c r="W26" s="380"/>
      <c r="X26" s="380"/>
      <c r="Y26" s="380"/>
      <c r="Z26" s="380"/>
      <c r="AA26" s="380"/>
      <c r="AB26" s="380"/>
      <c r="AC26" s="380"/>
      <c r="AD26" s="380"/>
      <c r="AE26" s="380"/>
      <c r="AF26" s="380"/>
      <c r="AG26" s="380"/>
      <c r="AH26" s="380"/>
      <c r="AI26" s="380"/>
      <c r="AJ26" s="380"/>
      <c r="AK26" s="433"/>
      <c r="AL26" s="433"/>
      <c r="AM26" s="433"/>
      <c r="AN26" s="433"/>
      <c r="AO26" s="433"/>
      <c r="AP26" s="433"/>
      <c r="AQ26" s="433"/>
      <c r="AR26" s="433"/>
      <c r="AS26" s="433"/>
      <c r="AT26" s="433"/>
      <c r="AU26" s="433"/>
    </row>
    <row r="27" spans="2:47" s="1" customFormat="1" ht="15.95" customHeight="1">
      <c r="B27" s="2">
        <v>13</v>
      </c>
      <c r="C27" s="330"/>
      <c r="D27" s="330" t="s">
        <v>24</v>
      </c>
      <c r="T27" s="305"/>
      <c r="U27" s="143"/>
    </row>
    <row r="28" spans="2:47" s="1" customFormat="1" ht="15.95" customHeight="1">
      <c r="B28" s="2">
        <v>14</v>
      </c>
      <c r="C28" s="330"/>
      <c r="D28" s="330" t="s">
        <v>24</v>
      </c>
      <c r="T28" s="305"/>
      <c r="U28" s="143"/>
    </row>
    <row r="29" spans="2:47" s="1" customFormat="1" ht="15.95" customHeight="1">
      <c r="B29" s="2">
        <v>15</v>
      </c>
      <c r="C29" s="330"/>
      <c r="D29" s="330" t="s">
        <v>24</v>
      </c>
      <c r="T29" s="305"/>
      <c r="U29" s="143"/>
    </row>
    <row r="30" spans="2:47" s="1" customFormat="1" ht="15.95" customHeight="1">
      <c r="B30" s="2">
        <v>16</v>
      </c>
      <c r="C30" s="330"/>
      <c r="D30" s="330" t="s">
        <v>24</v>
      </c>
      <c r="T30" s="305"/>
      <c r="U30" s="143"/>
    </row>
    <row r="31" spans="2:47" s="1" customFormat="1" ht="15.95" customHeight="1">
      <c r="B31" s="2">
        <v>17</v>
      </c>
      <c r="C31" s="330"/>
      <c r="D31" s="330" t="s">
        <v>24</v>
      </c>
      <c r="T31" s="305"/>
      <c r="U31" s="143"/>
    </row>
    <row r="32" spans="2:47" s="1" customFormat="1" ht="15.95" customHeight="1">
      <c r="B32" s="2">
        <v>18</v>
      </c>
      <c r="C32" s="330"/>
      <c r="D32" s="330" t="s">
        <v>24</v>
      </c>
      <c r="T32" s="305"/>
      <c r="U32" s="143"/>
    </row>
    <row r="33" spans="2:47" s="1" customFormat="1" ht="15.95" customHeight="1">
      <c r="B33" s="2">
        <v>19</v>
      </c>
      <c r="C33" s="330"/>
      <c r="D33" s="330" t="s">
        <v>24</v>
      </c>
      <c r="T33" s="305"/>
      <c r="U33" s="143"/>
    </row>
    <row r="34" spans="2:47" s="1" customFormat="1" ht="15" customHeight="1">
      <c r="B34" s="2">
        <v>20</v>
      </c>
      <c r="C34" s="330"/>
      <c r="D34" s="330" t="s">
        <v>24</v>
      </c>
      <c r="T34" s="305"/>
      <c r="U34" s="143"/>
    </row>
    <row r="35" spans="2:47" s="1" customFormat="1" ht="12.75" hidden="1" customHeight="1">
      <c r="B35" s="1" t="s">
        <v>358</v>
      </c>
      <c r="F35" s="419">
        <f>IF(F25&gt;$D$7-1,IF(F25&lt;$D$8+1,IF(F26&gt;0,MAX(D$35:D35)+F26,#REF!),0),0)</f>
        <v>0</v>
      </c>
      <c r="G35" s="419">
        <f>IF(G25&gt;$D$7-1,IF(G25&lt;$D$8+1,IF(G26&gt;0,MAX(F$35:F35)+G26,F35),0),0)</f>
        <v>0</v>
      </c>
      <c r="H35" s="419">
        <f>IF(H25&gt;$D$7-1,IF(H25&lt;$D$8+1,IF(H26&gt;0,MAX(F$35:G35)+H26,G35),0),0)</f>
        <v>0</v>
      </c>
      <c r="I35" s="419">
        <f>IF(I25&gt;$D$7-1,IF(I25&lt;$D$8+1,IF(I26&gt;0,MAX(G$35:H35)+I26,H35),0),0)</f>
        <v>0</v>
      </c>
      <c r="J35" s="419">
        <f>IF(J25&gt;$D$7-1,IF(J25&lt;$D$8+1,IF(J26&gt;0,MAX(H$35:I35)+J26,I35),0),0)</f>
        <v>0</v>
      </c>
      <c r="K35" s="419">
        <f>IF(K25&gt;$D$7-1,IF(K25&lt;$D$8+1,IF(K26&gt;0,MAX(I$35:J35)+K26,J35),0),0)</f>
        <v>0</v>
      </c>
      <c r="L35" s="419">
        <f>IF(L25&gt;$D$7-1,IF(L25&lt;$D$8+1,IF(L26&gt;0,MAX(J$35:K35)+L26,K35),0),0)</f>
        <v>0</v>
      </c>
      <c r="M35" s="419">
        <f>IF(M25&gt;$D$7-1,IF(M25&lt;$D$8+1,IF(M26&gt;0,MAX(K$35:L35)+M26,L35),0),0)</f>
        <v>0</v>
      </c>
      <c r="N35" s="419">
        <f>IF(N25&gt;$D$7-1,IF(N25&lt;$D$8+1,IF(N26&gt;0,MAX(L$35:M35)+N26,M35),0),0)</f>
        <v>0</v>
      </c>
      <c r="O35" s="419">
        <f>IF(O25&gt;$D$7-1,IF(O25&lt;$D$8+1,IF(O26&gt;0,MAX(M$35:N35)+O26,N35),0),0)</f>
        <v>0</v>
      </c>
      <c r="P35" s="419">
        <f>IF(P25&gt;$D$7-1,IF(P25&lt;$D$8+1,IF(P26&gt;0,MAX(N$35:O35)+P26,O35),0),0)</f>
        <v>0</v>
      </c>
      <c r="Q35" s="419">
        <f>IF(Q25&gt;$D$7-1,IF(Q25&lt;$D$8+1,IF(Q26&gt;0,MAX(O$35:P35)+Q26,P35),0),0)</f>
        <v>0</v>
      </c>
      <c r="R35" s="419">
        <f>IF(R25&gt;$D$7-1,IF(R25&lt;$D$8+1,IF(R26&gt;0,MAX(P$35:Q35)+R26,Q35),0),0)</f>
        <v>0</v>
      </c>
      <c r="S35" s="419">
        <f>IF(S25&gt;$D$7-1,IF(S25&lt;$D$8+1,IF(S26&gt;0,MAX(Q$35:R35)+S26,R35),0),0)</f>
        <v>0</v>
      </c>
      <c r="T35" s="419">
        <f>IF(T25&gt;$D$7-1,IF(T25&lt;$D$8+1,IF(T26&gt;0,MAX(R$35:S35)+T26,S35),0),0)</f>
        <v>0</v>
      </c>
      <c r="U35" s="419">
        <f>IF(U25&gt;$D$7-1,IF(U25&lt;$D$8+1,IF(U26&gt;0,MAX(S$35:T35)+U26,T35),0),0)</f>
        <v>0</v>
      </c>
      <c r="V35" s="419">
        <f>IF(V25&gt;$D$7-1,IF(V25&lt;$D$8+1,IF(V26&gt;0,MAX(T$35:U35)+V26,U35),0),0)</f>
        <v>0</v>
      </c>
      <c r="W35" s="419">
        <f>IF(W25&gt;$D$7-1,IF(W25&lt;$D$8+1,IF(W26&gt;0,MAX(U$35:V35)+W26,V35),0),0)</f>
        <v>0</v>
      </c>
      <c r="X35" s="419">
        <f>IF(X25&gt;$D$7-1,IF(X25&lt;$D$8+1,IF(X26&gt;0,MAX(V$35:W35)+X26,W35),0),0)</f>
        <v>0</v>
      </c>
      <c r="Y35" s="419">
        <f>IF(Y25&gt;$D$7-1,IF(Y25&lt;$D$8+1,IF(Y26&gt;0,MAX(W$35:X35)+Y26,X35),0),0)</f>
        <v>0</v>
      </c>
      <c r="Z35" s="419">
        <f>IF(Z25&gt;$D$7-1,IF(Z25&lt;$D$8+1,IF(Z26&gt;0,MAX(X$35:Y35)+Z26,Y35),0),0)</f>
        <v>0</v>
      </c>
      <c r="AA35" s="419">
        <f>IF(AA25&gt;$D$7-1,IF(AA25&lt;$D$8+1,IF(AA26&gt;0,MAX(Y$35:Z35)+AA26,Z35),0),0)</f>
        <v>0</v>
      </c>
      <c r="AB35" s="419">
        <f>IF(AB25&gt;$D$7-1,IF(AB25&lt;$D$8+1,IF(AB26&gt;0,MAX(Z$35:AA35)+AB26,AA35),0),0)</f>
        <v>0</v>
      </c>
      <c r="AC35" s="419">
        <f>IF(AC25&gt;$D$7-1,IF(AC25&lt;$D$8+1,IF(AC26&gt;0,MAX(AA$35:AB35)+AC26,AB35),0),0)</f>
        <v>0</v>
      </c>
      <c r="AD35" s="419">
        <f>IF(AD25&gt;$D$7-1,IF(AD25&lt;$D$8+1,IF(AD26&gt;0,MAX(AB$35:AC35)+AD26,AC35),0),0)</f>
        <v>0</v>
      </c>
      <c r="AE35" s="419">
        <f>IF(AE25&gt;$D$7-1,IF(AE25&lt;$D$8+1,IF(AE26&gt;0,MAX(AC$35:AD35)+AE26,AD35),0),0)</f>
        <v>0</v>
      </c>
      <c r="AF35" s="419">
        <f>IF(AF25&gt;$D$7-1,IF(AF25&lt;$D$8+1,IF(AF26&gt;0,MAX(AD$35:AE35)+AF26,AE35),0),0)</f>
        <v>0</v>
      </c>
      <c r="AG35" s="419">
        <f>IF(AG25&gt;$D$7-1,IF(AG25&lt;$D$8+1,IF(AG26&gt;0,MAX(AE$35:AF35)+AG26,AF35),0),0)</f>
        <v>0</v>
      </c>
      <c r="AH35" s="419">
        <f>IF(AH25&gt;$D$7-1,IF(AH25&lt;$D$8+1,IF(AH26&gt;0,MAX(AF$35:AG35)+AH26,AG35),0),0)</f>
        <v>0</v>
      </c>
      <c r="AI35" s="419">
        <f>IF(AI25&gt;$D$7-1,IF(AI25&lt;$D$8+1,IF(AI26&gt;0,MAX(AG$35:AH35)+AI26,AH35),0),0)</f>
        <v>0</v>
      </c>
      <c r="AJ35" s="419">
        <f>IF(AJ25&gt;$D$7-1,IF(AJ25&lt;$D$8+1,IF(AJ26&gt;0,MAX(AH$35:AI35)+AJ26,AI35),0),0)</f>
        <v>0</v>
      </c>
      <c r="AK35" s="419">
        <f>IF(AK25&gt;$D$7-1,IF(AK25&lt;$D$8+1,IF(AK26&gt;0,MAX(AI$35:AJ35)+AK26,AJ35),0),0)</f>
        <v>0</v>
      </c>
      <c r="AL35" s="419">
        <f>IF(AL25&gt;$D$7-1,IF(AL25&lt;$D$8+1,IF(AL26&gt;0,MAX(AJ$35:AK35)+AL26,AK35),0),0)</f>
        <v>0</v>
      </c>
      <c r="AM35" s="419">
        <f>IF(AM25&gt;$D$7-1,IF(AM25&lt;$D$8+1,IF(AM26&gt;0,MAX(AK$35:AL35)+AM26,AL35),0),0)</f>
        <v>0</v>
      </c>
      <c r="AN35" s="419">
        <f>IF(AN25&gt;$D$7-1,IF(AN25&lt;$D$8+1,IF(AN26&gt;0,MAX(AL$35:AM35)+AN26,AM35),0),0)</f>
        <v>0</v>
      </c>
      <c r="AO35" s="419">
        <f>IF(AO25&gt;$D$7-1,IF(AO25&lt;$D$8+1,IF(AO26&gt;0,MAX(AM$35:AN35)+AO26,AN35),0),0)</f>
        <v>0</v>
      </c>
      <c r="AP35" s="419">
        <f>IF(AP25&gt;$D$7-1,IF(AP25&lt;$D$8+1,IF(AP26&gt;0,MAX(AN$35:AO35)+AP26,AO35),0),0)</f>
        <v>0</v>
      </c>
      <c r="AQ35" s="419">
        <f>IF(AQ25&gt;$D$7-1,IF(AQ25&lt;$D$8+1,IF(AQ26&gt;0,MAX(AO$35:AP35)+AQ26,AP35),0),0)</f>
        <v>0</v>
      </c>
      <c r="AR35" s="419">
        <f>IF(AR25&gt;$D$7-1,IF(AR25&lt;$D$8+1,IF(AR26&gt;0,MAX(AP$35:AQ35)+AR26,AQ35),0),0)</f>
        <v>0</v>
      </c>
      <c r="AS35" s="419">
        <f>IF(AS25&gt;$D$7-1,IF(AS25&lt;$D$8+1,IF(AS26&gt;0,MAX(AQ$35:AR35)+AS26,AR35),0),0)</f>
        <v>0</v>
      </c>
      <c r="AT35" s="419">
        <f>IF(AT25&gt;$D$7-1,IF(AT25&lt;$D$8+1,IF(AT26&gt;0,MAX(AR$35:AS35)+AT26,AS35),0),0)</f>
        <v>0</v>
      </c>
      <c r="AU35" s="419">
        <f>IF(AU25&gt;$D$7-1,IF(AU25&lt;$D$8+1,IF(AU26&gt;0,MAX(AS$35:AT35)+AU26,AT35),0),0)</f>
        <v>0</v>
      </c>
    </row>
    <row r="36" spans="2:47" s="1" customFormat="1" ht="12.75" hidden="1" customHeight="1">
      <c r="B36" s="1" t="s">
        <v>359</v>
      </c>
      <c r="F36" s="306">
        <f>F26</f>
        <v>0</v>
      </c>
      <c r="G36" s="306">
        <f>G26+F36</f>
        <v>0</v>
      </c>
      <c r="H36" s="306">
        <f t="shared" ref="H36:L36" si="2">H26+G36</f>
        <v>0</v>
      </c>
      <c r="I36" s="306">
        <f t="shared" si="2"/>
        <v>0</v>
      </c>
      <c r="J36" s="306">
        <f t="shared" si="2"/>
        <v>0</v>
      </c>
      <c r="K36" s="306">
        <f t="shared" si="2"/>
        <v>0</v>
      </c>
      <c r="L36" s="306">
        <f t="shared" si="2"/>
        <v>0</v>
      </c>
      <c r="M36" s="306">
        <f>M26</f>
        <v>0</v>
      </c>
      <c r="N36" s="306">
        <f>N26+M36</f>
        <v>0</v>
      </c>
      <c r="O36" s="306">
        <f t="shared" ref="O36:S36" si="3">O26+N36</f>
        <v>0</v>
      </c>
      <c r="P36" s="306">
        <f t="shared" si="3"/>
        <v>0</v>
      </c>
      <c r="Q36" s="306">
        <f t="shared" si="3"/>
        <v>0</v>
      </c>
      <c r="R36" s="306">
        <f t="shared" si="3"/>
        <v>0</v>
      </c>
      <c r="S36" s="306">
        <f t="shared" si="3"/>
        <v>0</v>
      </c>
      <c r="T36" s="306">
        <f>T26</f>
        <v>0</v>
      </c>
      <c r="U36" s="306">
        <f>U26+T36</f>
        <v>0</v>
      </c>
      <c r="V36" s="306">
        <f t="shared" ref="V36:Z36" si="4">V26+U36</f>
        <v>0</v>
      </c>
      <c r="W36" s="306">
        <f t="shared" si="4"/>
        <v>0</v>
      </c>
      <c r="X36" s="306">
        <f t="shared" si="4"/>
        <v>0</v>
      </c>
      <c r="Y36" s="306">
        <f t="shared" si="4"/>
        <v>0</v>
      </c>
      <c r="Z36" s="306">
        <f t="shared" si="4"/>
        <v>0</v>
      </c>
      <c r="AA36" s="306">
        <f>AA26</f>
        <v>0</v>
      </c>
      <c r="AB36" s="306">
        <f>AB26+AA36</f>
        <v>0</v>
      </c>
      <c r="AC36" s="306">
        <f t="shared" ref="AC36:AG36" si="5">AC26+AB36</f>
        <v>0</v>
      </c>
      <c r="AD36" s="306">
        <f t="shared" si="5"/>
        <v>0</v>
      </c>
      <c r="AE36" s="306">
        <f t="shared" si="5"/>
        <v>0</v>
      </c>
      <c r="AF36" s="306">
        <f t="shared" si="5"/>
        <v>0</v>
      </c>
      <c r="AG36" s="306">
        <f t="shared" si="5"/>
        <v>0</v>
      </c>
      <c r="AH36" s="306">
        <f>AH26</f>
        <v>0</v>
      </c>
      <c r="AI36" s="306">
        <f>AI26+AH36</f>
        <v>0</v>
      </c>
      <c r="AJ36" s="306">
        <f t="shared" ref="AJ36:AN36" si="6">AJ26+AI36</f>
        <v>0</v>
      </c>
      <c r="AK36" s="306">
        <f t="shared" si="6"/>
        <v>0</v>
      </c>
      <c r="AL36" s="306">
        <f t="shared" si="6"/>
        <v>0</v>
      </c>
      <c r="AM36" s="306">
        <f t="shared" si="6"/>
        <v>0</v>
      </c>
      <c r="AN36" s="306">
        <f t="shared" si="6"/>
        <v>0</v>
      </c>
      <c r="AO36" s="306">
        <f>AO26</f>
        <v>0</v>
      </c>
      <c r="AP36" s="306">
        <f>AP26+AO36</f>
        <v>0</v>
      </c>
      <c r="AQ36" s="306">
        <f t="shared" ref="AQ36:AU36" si="7">AQ26+AP36</f>
        <v>0</v>
      </c>
      <c r="AR36" s="306">
        <f t="shared" si="7"/>
        <v>0</v>
      </c>
      <c r="AS36" s="306">
        <f t="shared" si="7"/>
        <v>0</v>
      </c>
      <c r="AT36" s="306">
        <f t="shared" si="7"/>
        <v>0</v>
      </c>
      <c r="AU36" s="306">
        <f t="shared" si="7"/>
        <v>0</v>
      </c>
    </row>
    <row r="37" spans="2:47" s="1" customFormat="1" ht="12.75" hidden="1" customHeight="1">
      <c r="T37" s="305"/>
      <c r="U37" s="143"/>
    </row>
    <row r="38" spans="2:47" s="1" customFormat="1" ht="12.75" hidden="1" customHeight="1">
      <c r="F38" s="1" t="s">
        <v>334</v>
      </c>
      <c r="G38" s="1">
        <v>1</v>
      </c>
      <c r="H38" s="1">
        <v>1.05</v>
      </c>
      <c r="I38" s="1">
        <v>1.1000000000000001</v>
      </c>
      <c r="T38" s="305"/>
      <c r="U38" s="143"/>
    </row>
    <row r="39" spans="2:47" s="1" customFormat="1" ht="12.75" hidden="1" customHeight="1">
      <c r="F39" s="1" t="s">
        <v>335</v>
      </c>
      <c r="G39" s="1">
        <v>1</v>
      </c>
      <c r="H39" s="1">
        <v>1.05</v>
      </c>
      <c r="I39" s="1">
        <v>1.1000000000000001</v>
      </c>
      <c r="T39" s="305"/>
      <c r="U39" s="143"/>
    </row>
    <row r="40" spans="2:47" s="1" customFormat="1" ht="12.75" hidden="1" customHeight="1">
      <c r="F40" s="1" t="s">
        <v>217</v>
      </c>
      <c r="G40" s="1">
        <v>1</v>
      </c>
      <c r="H40" s="1">
        <v>1.04</v>
      </c>
      <c r="I40" s="1">
        <v>1.08</v>
      </c>
      <c r="T40" s="305"/>
      <c r="U40" s="143"/>
    </row>
    <row r="41" spans="2:47" s="1" customFormat="1" ht="12.75" hidden="1" customHeight="1">
      <c r="F41" s="1" t="s">
        <v>336</v>
      </c>
      <c r="G41" s="1">
        <v>1</v>
      </c>
      <c r="H41" s="1">
        <v>1.0249999999999999</v>
      </c>
      <c r="I41" s="1">
        <v>1.05</v>
      </c>
      <c r="T41" s="305"/>
      <c r="U41" s="143"/>
    </row>
    <row r="42" spans="2:47" s="1" customFormat="1" ht="24" customHeight="1">
      <c r="T42" s="305"/>
      <c r="U42" s="143"/>
    </row>
    <row r="43" spans="2:47" s="1" customFormat="1" ht="15.95" customHeight="1">
      <c r="T43" s="305"/>
      <c r="U43" s="143"/>
    </row>
    <row r="44" spans="2:47" s="1" customFormat="1" ht="15.95" customHeight="1">
      <c r="T44" s="305"/>
    </row>
    <row r="45" spans="2:47" s="1" customFormat="1" ht="15.95" customHeight="1"/>
    <row r="46" spans="2:47" s="1" customFormat="1" ht="15.95" customHeight="1"/>
    <row r="47" spans="2:47" s="1" customFormat="1" ht="15.95" customHeight="1"/>
    <row r="48" spans="2:47" s="1" customFormat="1" ht="15.95" customHeight="1"/>
    <row r="49" s="1" customFormat="1" ht="15.95" customHeight="1"/>
    <row r="50" s="1" customFormat="1" ht="15.95" customHeight="1"/>
    <row r="51" s="1" customFormat="1" ht="12.75" hidden="1" customHeight="1"/>
    <row r="52" s="1" customFormat="1" ht="12.75" hidden="1" customHeight="1"/>
    <row r="53" s="1" customFormat="1" ht="12.75" hidden="1" customHeight="1"/>
    <row r="54" s="1" customFormat="1" ht="12.75" hidden="1" customHeight="1"/>
    <row r="55" s="1" customFormat="1" ht="12.75" hidden="1" customHeight="1"/>
    <row r="56" s="1" customFormat="1" ht="15.95" customHeight="1"/>
    <row r="57" s="1" customFormat="1" ht="15.95" customHeight="1"/>
    <row r="58" s="1" customFormat="1" ht="15.95" customHeight="1"/>
    <row r="59" s="1" customFormat="1" ht="15.95" customHeight="1"/>
    <row r="60" s="1" customFormat="1" ht="15.95" customHeight="1"/>
    <row r="61" s="1" customFormat="1" ht="15.95" customHeight="1"/>
    <row r="62" s="1" customFormat="1" ht="15.95" customHeight="1"/>
    <row r="63" s="1" customFormat="1" ht="15.95" customHeight="1"/>
    <row r="64" s="1" customFormat="1" ht="15.95" customHeight="1"/>
    <row r="65" s="1" customFormat="1" ht="15.95" customHeight="1"/>
    <row r="66" s="1" customFormat="1" ht="15.95" customHeight="1"/>
    <row r="67" s="1" customFormat="1" ht="15.95" customHeight="1"/>
    <row r="68" s="1" customFormat="1" ht="15.95" customHeight="1"/>
    <row r="69" s="1" customFormat="1" ht="15.95" customHeight="1"/>
    <row r="70" s="1" customFormat="1" ht="15.95" customHeight="1"/>
    <row r="71" s="1" customFormat="1" ht="15.95" customHeight="1"/>
    <row r="72" s="1" customFormat="1" ht="15.95" customHeight="1"/>
    <row r="73" s="1" customFormat="1" ht="15.95" customHeight="1"/>
    <row r="74" s="1" customFormat="1" ht="15.95" customHeight="1"/>
    <row r="75" s="1" customFormat="1" ht="15.95" customHeight="1"/>
    <row r="76" s="1" customFormat="1" ht="15.95" customHeight="1"/>
    <row r="77" s="1" customFormat="1" ht="15.95" customHeight="1"/>
    <row r="78" s="1" customFormat="1" ht="15.95" customHeight="1"/>
    <row r="79" s="1" customFormat="1" ht="15.95" customHeight="1"/>
    <row r="80" s="1" customFormat="1" ht="15.95" customHeight="1"/>
    <row r="81" s="1" customFormat="1" ht="15.95" customHeight="1"/>
    <row r="82" s="1" customFormat="1" ht="15.95" customHeight="1"/>
    <row r="83" s="1" customFormat="1" ht="15.95" customHeight="1"/>
    <row r="84" s="1" customFormat="1" ht="15.95" customHeight="1"/>
    <row r="85" s="1" customFormat="1" ht="15.95" customHeight="1"/>
    <row r="86" s="1" customFormat="1" ht="15.95" customHeight="1"/>
    <row r="87" s="1" customFormat="1" ht="15.95" customHeight="1"/>
    <row r="88" s="1" customFormat="1" ht="15.95" customHeight="1"/>
    <row r="89" s="1" customFormat="1" ht="15.95" customHeight="1"/>
    <row r="90" s="1" customFormat="1" ht="15.95" customHeight="1"/>
    <row r="91" s="1" customFormat="1" ht="15.95" customHeight="1"/>
    <row r="92" s="1" customFormat="1" ht="15.95" customHeight="1"/>
    <row r="93" s="1" customFormat="1" ht="15.95" customHeight="1"/>
    <row r="94" s="1" customFormat="1" ht="15.95" customHeight="1"/>
    <row r="95" s="1" customFormat="1" ht="15.95" customHeight="1"/>
    <row r="96" s="1" customFormat="1" ht="15.95" customHeight="1"/>
    <row r="97" s="1" customFormat="1" ht="15.95" customHeight="1"/>
    <row r="98" s="1" customFormat="1" ht="15.95" customHeight="1"/>
    <row r="99" s="1" customFormat="1" ht="15.95" customHeight="1"/>
    <row r="100" s="1" customFormat="1" ht="15.95" customHeight="1"/>
    <row r="101" s="1" customFormat="1" ht="15.95" customHeight="1"/>
    <row r="102" s="1" customFormat="1" ht="15.95" customHeight="1"/>
    <row r="103" s="1" customFormat="1" ht="15.95" customHeight="1"/>
    <row r="104" s="1" customFormat="1" ht="15.95" customHeight="1"/>
    <row r="105" s="1" customFormat="1" ht="15.95" customHeight="1"/>
    <row r="106" s="1" customFormat="1" ht="15.95" customHeight="1"/>
    <row r="107" s="1" customFormat="1" ht="15.95" customHeight="1"/>
    <row r="108" s="1" customFormat="1" ht="15.95" customHeight="1"/>
    <row r="109" s="1" customFormat="1" ht="15.95" customHeight="1"/>
    <row r="110" s="1" customFormat="1" ht="15.95" customHeight="1"/>
    <row r="111" s="1" customFormat="1" ht="15.95" customHeight="1"/>
    <row r="112" s="1" customFormat="1" ht="15.95" customHeight="1"/>
    <row r="113" s="1" customFormat="1" ht="15.95" customHeight="1"/>
    <row r="114" s="1" customFormat="1" ht="15.95" customHeight="1"/>
    <row r="115" s="1" customFormat="1" ht="15.95" customHeight="1"/>
    <row r="116" s="1" customFormat="1" ht="15.95" customHeight="1"/>
    <row r="117" s="1" customFormat="1" ht="15.95" customHeight="1"/>
    <row r="118" s="1" customFormat="1" ht="15.95" customHeight="1"/>
    <row r="119" s="1" customFormat="1" ht="15.95" customHeight="1"/>
    <row r="120" s="1" customFormat="1" ht="15.95" customHeight="1"/>
    <row r="121" s="1" customFormat="1" ht="15.95" customHeight="1"/>
    <row r="122" s="1" customFormat="1" ht="15.95" customHeight="1"/>
    <row r="123" s="1" customFormat="1" ht="15.95" customHeight="1"/>
    <row r="124" s="1" customFormat="1" ht="15.95" customHeight="1"/>
    <row r="125" s="1" customFormat="1" ht="15.95" customHeight="1"/>
    <row r="126" s="1" customFormat="1" ht="15.95" customHeight="1"/>
    <row r="127" s="1" customFormat="1" ht="15.95" customHeight="1"/>
    <row r="128" s="1" customFormat="1" ht="15.95" customHeight="1"/>
    <row r="129" s="1" customFormat="1" ht="15.95" customHeight="1"/>
    <row r="130" s="1" customFormat="1" ht="15.95" customHeight="1"/>
    <row r="131" s="1" customFormat="1" ht="15.95" customHeight="1"/>
    <row r="132" s="1" customFormat="1" ht="15.95" customHeight="1"/>
    <row r="133" s="1" customFormat="1" ht="15.95" customHeight="1"/>
    <row r="134" s="1" customFormat="1" ht="15.95" customHeight="1"/>
    <row r="135" s="1" customFormat="1" ht="15.95" customHeight="1"/>
    <row r="136" s="1" customFormat="1" ht="15.95" customHeight="1"/>
    <row r="137" s="1" customFormat="1" ht="15.95" customHeight="1"/>
    <row r="138" s="1" customFormat="1" ht="15.95" customHeight="1"/>
    <row r="139" s="1" customFormat="1" ht="15.95" customHeight="1"/>
    <row r="140" s="1" customFormat="1" ht="15.95" customHeight="1"/>
    <row r="141" s="1" customFormat="1" ht="15.95" customHeight="1"/>
    <row r="142" s="1" customFormat="1" ht="15.95" customHeight="1"/>
    <row r="143" s="1" customFormat="1" ht="15.95" customHeight="1"/>
    <row r="144" s="1" customFormat="1" ht="15.95" customHeight="1"/>
    <row r="145" spans="7:13" s="1" customFormat="1" ht="15.95" customHeight="1"/>
    <row r="146" spans="7:13" s="1" customFormat="1" ht="15.95" customHeight="1"/>
    <row r="147" spans="7:13" s="1" customFormat="1" ht="15.95" customHeight="1"/>
    <row r="148" spans="7:13" s="1" customFormat="1" ht="15.95" customHeight="1"/>
    <row r="149" spans="7:13" s="1" customFormat="1" ht="15.95" customHeight="1"/>
    <row r="150" spans="7:13" s="1" customFormat="1" ht="15.95" customHeight="1"/>
    <row r="151" spans="7:13" s="1" customFormat="1" ht="15.95" customHeight="1"/>
    <row r="152" spans="7:13" s="1" customFormat="1" ht="15.95" customHeight="1"/>
    <row r="153" spans="7:13" s="1" customFormat="1" ht="15.95" customHeight="1">
      <c r="G153"/>
      <c r="H153"/>
      <c r="I153"/>
      <c r="J153"/>
      <c r="K153"/>
      <c r="L153"/>
      <c r="M153"/>
    </row>
    <row r="154" spans="7:13" s="1" customFormat="1" ht="15.95" customHeight="1">
      <c r="G154"/>
      <c r="H154"/>
      <c r="I154"/>
      <c r="J154"/>
      <c r="K154"/>
      <c r="L154"/>
      <c r="M154"/>
    </row>
    <row r="155" spans="7:13" s="1" customFormat="1" ht="15.95" customHeight="1">
      <c r="G155"/>
      <c r="H155"/>
      <c r="I155"/>
      <c r="J155"/>
      <c r="K155"/>
      <c r="L155"/>
      <c r="M155"/>
    </row>
    <row r="156" spans="7:13" s="1" customFormat="1" ht="15.95" customHeight="1">
      <c r="G156"/>
      <c r="H156"/>
      <c r="I156"/>
      <c r="J156"/>
      <c r="K156"/>
      <c r="L156"/>
      <c r="M156"/>
    </row>
    <row r="157" spans="7:13" s="1" customFormat="1" ht="15.95" customHeight="1">
      <c r="G157"/>
      <c r="H157"/>
      <c r="I157"/>
      <c r="J157"/>
      <c r="K157"/>
      <c r="L157"/>
      <c r="M157"/>
    </row>
    <row r="158" spans="7:13" s="1" customFormat="1" ht="15.95" customHeight="1">
      <c r="G158"/>
      <c r="H158"/>
      <c r="I158"/>
      <c r="J158"/>
      <c r="K158"/>
      <c r="L158"/>
      <c r="M158"/>
    </row>
    <row r="159" spans="7:13" s="1" customFormat="1" ht="15.95" customHeight="1">
      <c r="G159"/>
      <c r="H159"/>
      <c r="I159"/>
      <c r="J159"/>
      <c r="K159"/>
      <c r="L159"/>
      <c r="M159"/>
    </row>
    <row r="160" spans="7:13" s="1" customFormat="1" ht="15.95" customHeight="1">
      <c r="G160"/>
      <c r="H160"/>
      <c r="I160"/>
      <c r="J160"/>
      <c r="K160"/>
      <c r="L160"/>
      <c r="M160"/>
    </row>
    <row r="161" spans="2:13" s="1" customFormat="1" ht="15.95" customHeight="1">
      <c r="G161"/>
      <c r="H161"/>
      <c r="I161"/>
      <c r="J161"/>
      <c r="K161"/>
      <c r="L161"/>
      <c r="M161"/>
    </row>
    <row r="162" spans="2:13" s="1" customFormat="1" ht="15.95" customHeight="1">
      <c r="G162"/>
      <c r="H162"/>
      <c r="I162"/>
      <c r="J162"/>
      <c r="K162"/>
      <c r="L162"/>
      <c r="M162"/>
    </row>
    <row r="163" spans="2:13" s="1" customFormat="1" ht="15.95" customHeight="1">
      <c r="G163"/>
      <c r="H163"/>
      <c r="I163"/>
      <c r="J163"/>
      <c r="K163"/>
      <c r="L163"/>
      <c r="M163"/>
    </row>
    <row r="164" spans="2:13" s="1" customFormat="1" ht="15.95" customHeight="1">
      <c r="G164"/>
      <c r="H164"/>
      <c r="I164"/>
      <c r="J164"/>
      <c r="K164"/>
      <c r="L164"/>
      <c r="M164"/>
    </row>
    <row r="165" spans="2:13" s="1" customFormat="1" ht="15.95" customHeight="1">
      <c r="G165"/>
      <c r="H165"/>
      <c r="I165"/>
      <c r="J165"/>
      <c r="K165"/>
      <c r="L165"/>
      <c r="M165"/>
    </row>
    <row r="166" spans="2:13" s="1" customFormat="1" ht="15.95" customHeight="1">
      <c r="G166"/>
      <c r="H166"/>
      <c r="I166"/>
      <c r="J166"/>
      <c r="K166"/>
      <c r="L166"/>
      <c r="M166"/>
    </row>
    <row r="167" spans="2:13" s="1" customFormat="1" ht="15.95" customHeight="1">
      <c r="G167"/>
      <c r="H167"/>
      <c r="I167"/>
      <c r="J167"/>
      <c r="K167"/>
      <c r="L167"/>
      <c r="M167"/>
    </row>
    <row r="168" spans="2:13" s="1" customFormat="1" ht="15.95" customHeight="1">
      <c r="G168"/>
      <c r="H168"/>
      <c r="I168"/>
      <c r="J168"/>
      <c r="K168"/>
      <c r="L168"/>
      <c r="M168"/>
    </row>
    <row r="169" spans="2:13" s="1" customFormat="1" ht="15.95" customHeight="1">
      <c r="G169"/>
      <c r="H169"/>
      <c r="I169"/>
      <c r="J169"/>
      <c r="K169"/>
      <c r="L169"/>
      <c r="M169"/>
    </row>
    <row r="170" spans="2:13" s="1" customFormat="1" ht="15.95" customHeight="1">
      <c r="G170"/>
      <c r="H170"/>
      <c r="I170"/>
      <c r="J170"/>
      <c r="K170"/>
      <c r="L170"/>
      <c r="M170"/>
    </row>
    <row r="171" spans="2:13" s="1" customFormat="1" ht="15.95" customHeight="1">
      <c r="G171"/>
      <c r="H171"/>
      <c r="I171"/>
      <c r="J171"/>
      <c r="K171"/>
      <c r="L171"/>
      <c r="M171"/>
    </row>
    <row r="172" spans="2:13" s="1" customFormat="1" ht="15.95" customHeight="1">
      <c r="G172"/>
      <c r="H172"/>
      <c r="I172"/>
      <c r="J172"/>
      <c r="K172"/>
      <c r="L172"/>
      <c r="M172"/>
    </row>
    <row r="173" spans="2:13" s="1" customFormat="1" ht="15.95" customHeight="1">
      <c r="G173"/>
      <c r="H173"/>
      <c r="I173"/>
      <c r="J173"/>
      <c r="K173"/>
      <c r="L173"/>
      <c r="M173"/>
    </row>
    <row r="174" spans="2:13" s="1" customFormat="1" ht="15.95" customHeight="1">
      <c r="G174"/>
      <c r="H174"/>
      <c r="I174"/>
      <c r="J174"/>
      <c r="K174"/>
      <c r="L174"/>
      <c r="M174"/>
    </row>
    <row r="175" spans="2:13" s="1" customFormat="1" ht="15.95" customHeight="1">
      <c r="G175"/>
      <c r="H175"/>
      <c r="I175"/>
      <c r="J175"/>
      <c r="K175"/>
      <c r="L175"/>
      <c r="M175"/>
    </row>
    <row r="176" spans="2:13" s="1" customFormat="1" ht="15.95" customHeight="1">
      <c r="B176"/>
      <c r="C176"/>
      <c r="D176"/>
      <c r="E176"/>
      <c r="F176"/>
      <c r="G176"/>
      <c r="H176"/>
      <c r="I176"/>
      <c r="J176"/>
      <c r="K176"/>
      <c r="L176"/>
      <c r="M176"/>
    </row>
    <row r="177" spans="2:13" s="1" customFormat="1" ht="15.95" customHeight="1">
      <c r="B177"/>
      <c r="C177"/>
      <c r="D177"/>
      <c r="E177"/>
      <c r="F177"/>
      <c r="G177"/>
      <c r="H177"/>
      <c r="I177"/>
      <c r="J177"/>
      <c r="K177"/>
      <c r="L177"/>
      <c r="M177"/>
    </row>
    <row r="178" spans="2:13" s="1" customFormat="1" ht="15.95" customHeight="1">
      <c r="B178"/>
      <c r="C178"/>
      <c r="D178"/>
      <c r="E178"/>
      <c r="F178"/>
      <c r="G178"/>
      <c r="H178"/>
      <c r="I178"/>
      <c r="J178"/>
      <c r="K178"/>
      <c r="L178"/>
      <c r="M178"/>
    </row>
    <row r="179" spans="2:13" s="1" customFormat="1" ht="15.95" customHeight="1">
      <c r="B179"/>
      <c r="C179"/>
      <c r="D179"/>
      <c r="E179"/>
      <c r="F179"/>
      <c r="G179"/>
      <c r="H179"/>
      <c r="I179"/>
      <c r="J179"/>
      <c r="K179"/>
      <c r="L179"/>
      <c r="M179"/>
    </row>
    <row r="180" spans="2:13" s="1" customFormat="1" ht="15.95" customHeight="1">
      <c r="B180"/>
      <c r="C180"/>
      <c r="D180"/>
      <c r="E180"/>
      <c r="F180"/>
      <c r="G180"/>
      <c r="H180"/>
      <c r="I180"/>
      <c r="J180"/>
      <c r="K180"/>
      <c r="L180"/>
      <c r="M180"/>
    </row>
    <row r="181" spans="2:13" s="1" customFormat="1" ht="15.95" customHeight="1">
      <c r="B181"/>
      <c r="C181"/>
      <c r="D181"/>
      <c r="E181"/>
      <c r="F181"/>
      <c r="G181"/>
      <c r="H181"/>
      <c r="I181"/>
      <c r="J181"/>
      <c r="K181"/>
      <c r="L181"/>
      <c r="M181"/>
    </row>
    <row r="182" spans="2:13" s="1" customFormat="1" ht="15.95" customHeight="1">
      <c r="B182"/>
      <c r="C182"/>
      <c r="D182"/>
      <c r="E182"/>
      <c r="F182"/>
      <c r="G182"/>
      <c r="H182"/>
      <c r="I182"/>
      <c r="J182"/>
      <c r="K182"/>
      <c r="L182"/>
      <c r="M182"/>
    </row>
    <row r="183" spans="2:13" s="1" customFormat="1" ht="15.95" customHeight="1">
      <c r="B183"/>
      <c r="C183"/>
      <c r="D183"/>
      <c r="E183"/>
      <c r="F183"/>
      <c r="G183"/>
      <c r="H183"/>
      <c r="I183"/>
      <c r="J183"/>
      <c r="K183"/>
      <c r="L183"/>
      <c r="M183"/>
    </row>
  </sheetData>
  <sheetProtection algorithmName="SHA-512" hashValue="Ueoe8dSkjM1vyMx/uez/C2eNz2z46pS+/JQLJi76LKkLlr2XaACDxo1zoVM0Ti0Q89wEBWZtYa+sA+DnT4968g==" saltValue="i8Fm9bf6TiBiQNxC1jfLag==" spinCount="100000" sheet="1" objects="1" scenarios="1"/>
  <phoneticPr fontId="10" type="noConversion"/>
  <dataValidations count="1">
    <dataValidation type="list" allowBlank="1" showInputMessage="1" showErrorMessage="1" sqref="D3" xr:uid="{00000000-0002-0000-0000-000000000000}">
      <formula1>$F$38:$F$41</formula1>
    </dataValidation>
  </dataValidations>
  <printOptions horizontalCentered="1" verticalCentered="1"/>
  <pageMargins left="0.39374999999999999" right="0.39374999999999999" top="0.19652777777777777" bottom="0.19652777777777777" header="0.51180555555555551" footer="0.51180555555555551"/>
  <pageSetup paperSize="9" orientation="landscape" useFirstPageNumber="1" horizontalDpi="300" verticalDpi="300"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IV157"/>
  <sheetViews>
    <sheetView zoomScaleNormal="100" workbookViewId="0">
      <selection activeCell="G25" sqref="G25:H25"/>
    </sheetView>
  </sheetViews>
  <sheetFormatPr defaultColWidth="11.5703125" defaultRowHeight="12.95" customHeight="1"/>
  <cols>
    <col min="1" max="1" width="2" customWidth="1"/>
    <col min="2" max="2" width="19.42578125" customWidth="1"/>
    <col min="3" max="3" width="2" customWidth="1"/>
    <col min="4" max="6" width="14.28515625" customWidth="1"/>
    <col min="7" max="7" width="12.28515625" customWidth="1"/>
    <col min="8" max="8" width="2" customWidth="1"/>
    <col min="9" max="10" width="14.28515625" customWidth="1"/>
    <col min="11" max="11" width="12.7109375" customWidth="1"/>
    <col min="12" max="12" width="2" customWidth="1"/>
    <col min="14" max="14" width="1.85546875" customWidth="1"/>
  </cols>
  <sheetData>
    <row r="1" spans="2:256" s="8" customFormat="1" ht="12.95" customHeight="1">
      <c r="B1" s="9"/>
      <c r="IV1" s="10"/>
    </row>
    <row r="2" spans="2:256" s="8" customFormat="1" ht="23.25" customHeight="1">
      <c r="B2" s="460" t="s">
        <v>33</v>
      </c>
      <c r="C2" s="460"/>
      <c r="D2" s="460"/>
      <c r="E2" s="460"/>
      <c r="G2" s="458" t="s">
        <v>13</v>
      </c>
      <c r="H2" s="458"/>
      <c r="I2" s="458"/>
      <c r="J2" s="457">
        <f>IF('Store Details'!D5&lt;7,('Store Details'!H2-DATE('Store Details'!D6-1,7,1))/7,('Store Details'!H2-DATE('Store Details'!D6,7,1))/7)</f>
        <v>31</v>
      </c>
      <c r="K2" s="457"/>
      <c r="IV2" s="10"/>
    </row>
    <row r="3" spans="2:256" s="8" customFormat="1" ht="23.25" customHeight="1">
      <c r="B3" s="458" t="str">
        <f>'Store Details'!D2</f>
        <v>Auburn</v>
      </c>
      <c r="C3" s="458"/>
      <c r="D3" s="458"/>
      <c r="E3" s="458"/>
      <c r="G3" s="459" t="s">
        <v>6</v>
      </c>
      <c r="H3" s="459"/>
      <c r="I3" s="11">
        <f>K3-6</f>
        <v>43857</v>
      </c>
      <c r="J3" s="12" t="s">
        <v>7</v>
      </c>
      <c r="K3" s="11">
        <f>'Store Details'!H2-1</f>
        <v>43863</v>
      </c>
      <c r="IV3" s="10"/>
    </row>
    <row r="4" spans="2:256" s="8" customFormat="1" ht="12.95" customHeight="1">
      <c r="F4" s="1"/>
      <c r="G4" s="1"/>
      <c r="H4" s="1"/>
      <c r="I4" s="1"/>
      <c r="IV4" s="10"/>
    </row>
    <row r="5" spans="2:256" s="8" customFormat="1" ht="12.95" customHeight="1">
      <c r="I5" s="13" t="s">
        <v>34</v>
      </c>
      <c r="J5" s="86" t="s">
        <v>35</v>
      </c>
      <c r="K5" s="13" t="s">
        <v>36</v>
      </c>
      <c r="IV5" s="10"/>
    </row>
    <row r="6" spans="2:256" s="8" customFormat="1" ht="12.95" customHeight="1">
      <c r="B6" s="13" t="s">
        <v>37</v>
      </c>
      <c r="D6" s="14" t="e">
        <f>D29</f>
        <v>#N/A</v>
      </c>
      <c r="F6" s="15" t="s">
        <v>38</v>
      </c>
      <c r="G6" s="13"/>
      <c r="I6" s="14" t="str">
        <f>IF(ISERROR(D6/D7),"",(D6/D7))</f>
        <v/>
      </c>
      <c r="J6" s="16">
        <v>40</v>
      </c>
      <c r="K6" s="14" t="str">
        <f>IF(ISERROR(I6-J6),"",(I6-J6))</f>
        <v/>
      </c>
      <c r="IV6" s="10"/>
    </row>
    <row r="7" spans="2:256" s="8" customFormat="1" ht="12.95" customHeight="1">
      <c r="B7" s="13" t="s">
        <v>39</v>
      </c>
      <c r="D7" s="13" t="e">
        <f>E29</f>
        <v>#N/A</v>
      </c>
      <c r="F7" s="13" t="s">
        <v>40</v>
      </c>
      <c r="G7" s="13"/>
      <c r="I7" s="17" t="str">
        <f>IF(ISERROR(D7/D9),"",(D7/D9))</f>
        <v/>
      </c>
      <c r="J7" s="18">
        <v>4</v>
      </c>
      <c r="K7" s="212" t="str">
        <f>IF(ISERROR(I7-J7),"",(I7-J7))</f>
        <v/>
      </c>
      <c r="IV7" s="10"/>
    </row>
    <row r="8" spans="2:256" s="8" customFormat="1" ht="12.95" customHeight="1">
      <c r="B8" s="13" t="s">
        <v>41</v>
      </c>
      <c r="D8" s="13" t="e">
        <f>F29</f>
        <v>#N/A</v>
      </c>
      <c r="F8" s="15" t="s">
        <v>42</v>
      </c>
      <c r="G8" s="13"/>
      <c r="I8" s="17" t="str">
        <f>IF(ISERROR(D8/D7),"",(D8/D7))</f>
        <v/>
      </c>
      <c r="J8" s="18">
        <v>4</v>
      </c>
      <c r="K8" s="212" t="str">
        <f>IF(ISERROR(I8-J8),"",(I8-J8))</f>
        <v/>
      </c>
      <c r="IV8" s="10"/>
    </row>
    <row r="9" spans="2:256" s="8" customFormat="1" ht="12.95" customHeight="1">
      <c r="B9" s="13" t="s">
        <v>43</v>
      </c>
      <c r="D9" s="13" t="e">
        <f>G29</f>
        <v>#N/A</v>
      </c>
      <c r="F9" s="15" t="s">
        <v>44</v>
      </c>
      <c r="G9" s="13"/>
      <c r="I9" s="14" t="str">
        <f>IF(ISERROR(D6/D9),"",(D6/D9))</f>
        <v/>
      </c>
      <c r="J9" s="16">
        <v>180</v>
      </c>
      <c r="K9" s="14" t="str">
        <f>IF(ISERROR(I9-J9),"",(I9-J9))</f>
        <v/>
      </c>
      <c r="IV9" s="10"/>
    </row>
    <row r="10" spans="2:256" s="8" customFormat="1" ht="12.95" customHeight="1">
      <c r="B10" s="13" t="s">
        <v>45</v>
      </c>
      <c r="D10" s="13" t="e">
        <f>I29</f>
        <v>#N/A</v>
      </c>
      <c r="F10" s="15" t="s">
        <v>46</v>
      </c>
      <c r="G10" s="13"/>
      <c r="I10" s="19" t="str">
        <f>IF(ISERROR(D7/D10),"",(D7/D10))</f>
        <v/>
      </c>
      <c r="J10" s="20">
        <v>0.75</v>
      </c>
      <c r="K10" s="211" t="str">
        <f>IF(ISERROR(I10-J10),"",(I10-J10))</f>
        <v/>
      </c>
      <c r="IV10" s="10"/>
    </row>
    <row r="11" spans="2:256" s="8" customFormat="1" ht="12.95" customHeight="1">
      <c r="F11" s="15" t="s">
        <v>47</v>
      </c>
      <c r="G11" s="13"/>
      <c r="I11" s="13"/>
      <c r="J11" s="280">
        <v>25</v>
      </c>
      <c r="K11" s="13"/>
      <c r="IV11" s="10"/>
    </row>
    <row r="12" spans="2:256" s="8" customFormat="1" ht="12.95" customHeight="1">
      <c r="IV12" s="10"/>
    </row>
    <row r="13" spans="2:256" s="8" customFormat="1" ht="12.95" customHeight="1">
      <c r="B13" s="15" t="s">
        <v>48</v>
      </c>
      <c r="D13" s="13" t="s">
        <v>49</v>
      </c>
      <c r="E13" s="13" t="s">
        <v>50</v>
      </c>
      <c r="F13" s="13" t="s">
        <v>51</v>
      </c>
      <c r="G13" s="456" t="s">
        <v>52</v>
      </c>
      <c r="H13" s="456"/>
      <c r="I13" s="13" t="s">
        <v>53</v>
      </c>
      <c r="IV13" s="10"/>
    </row>
    <row r="14" spans="2:256" s="8" customFormat="1" ht="12.95" customHeight="1">
      <c r="B14" s="15" t="s">
        <v>54</v>
      </c>
      <c r="D14" s="14">
        <f t="array" ref="D14">SUM(('Value of Sales'!$C$6:$C$47&gt;=$B$21)*('Value of Sales'!$C$6:$C$47&lt;=$B$27)*('Value of Sales'!AI6:AI47))</f>
        <v>0</v>
      </c>
      <c r="E14" s="14">
        <f t="array" ref="E14">SUM(('Value of Sales'!$C$6:$C$47&gt;=$B$21)*('Value of Sales'!$C$6:$C$47&lt;=$B$27)*('Value of Sales'!AJ6:AJ47))</f>
        <v>0</v>
      </c>
      <c r="F14" s="14">
        <f t="array" ref="F14">SUM(('Value of Sales'!$C$6:$C$47&gt;=$B$21)*('Value of Sales'!$C$6:$C$47&lt;=$B$27)*('Value of Sales'!AK6:AK47))</f>
        <v>0</v>
      </c>
      <c r="G14" s="461">
        <f t="array" ref="G14">SUM(('Value of Sales'!$C$6:$C$47&gt;=$B$21)*('Value of Sales'!$C$6:$C$47&lt;=$B$27)*('Value of Sales'!AL6:AL47))</f>
        <v>0</v>
      </c>
      <c r="H14" s="461"/>
      <c r="I14" s="14">
        <f t="array" ref="I14">SUM(('Value of Sales'!$C$6:$C$47&gt;=$B$21)*('Value of Sales'!$C$6:$C$47&lt;=$B$27)*('Value of Sales'!AM6:AM47))</f>
        <v>0</v>
      </c>
      <c r="IV14" s="10"/>
    </row>
    <row r="15" spans="2:256" s="8" customFormat="1" ht="12.95" customHeight="1">
      <c r="B15" s="15" t="s">
        <v>55</v>
      </c>
      <c r="D15" s="19" t="str">
        <f>IF(ISERROR(D14/$D$6),"",(D14/$D$6))</f>
        <v/>
      </c>
      <c r="E15" s="19" t="str">
        <f>IF(ISERROR(E14/$D$6),"",(E14/$D$6))</f>
        <v/>
      </c>
      <c r="F15" s="19" t="str">
        <f>IF(ISERROR(F14/$D$6),"",(F14/$D$6))</f>
        <v/>
      </c>
      <c r="G15" s="19" t="str">
        <f>IF(ISERROR(G14/$D$6),"",(G14/$D$6))</f>
        <v/>
      </c>
      <c r="H15" s="19"/>
      <c r="I15" s="19" t="str">
        <f>IF(ISERROR(I14/$D$6),"",(I14/$D$6))</f>
        <v/>
      </c>
      <c r="IV15" s="10"/>
    </row>
    <row r="16" spans="2:256" s="8" customFormat="1" ht="12.95" customHeight="1">
      <c r="B16" s="15" t="s">
        <v>56</v>
      </c>
      <c r="D16" s="13">
        <f t="array" ref="D16">SUM(('Staff Hours'!$C$6:$C$47&gt;=$B$21)*('Staff Hours'!$C$6:$C$47&lt;=$B$27)*('Staff Hours'!AI6:AI47))</f>
        <v>0</v>
      </c>
      <c r="E16" s="13">
        <f t="array" ref="E16">SUM(('Staff Hours'!$C$6:$C$47&gt;=$B$21)*('Staff Hours'!$C$6:$C$47&lt;=$B$27)*('Staff Hours'!AJ6:AJ47))</f>
        <v>0</v>
      </c>
      <c r="F16" s="13">
        <f t="array" ref="F16">SUM(('Staff Hours'!$C$6:$C$47&gt;=$B$21)*('Staff Hours'!$C$6:$C$47&lt;=$B$27)*('Staff Hours'!AK6:AK47))</f>
        <v>0</v>
      </c>
      <c r="G16" s="456">
        <f t="array" ref="G16">SUM(('Staff Hours'!$C$6:$C$47&gt;=$B$21)*('Staff Hours'!$C$6:$C$47&lt;=$B$27)*('Staff Hours'!AL6:AL47))</f>
        <v>0</v>
      </c>
      <c r="H16" s="456"/>
      <c r="I16" s="13">
        <f t="array" ref="I16">SUM(('Staff Hours'!$C$6:$C$47&gt;=$B$21)*('Staff Hours'!$C$6:$C$47&lt;=$B$27)*('Staff Hours'!AM6:AM47))</f>
        <v>0</v>
      </c>
      <c r="IV16" s="10"/>
    </row>
    <row r="17" spans="2:256" s="8" customFormat="1" ht="12.95" customHeight="1">
      <c r="B17" s="15" t="s">
        <v>55</v>
      </c>
      <c r="D17" s="19" t="str">
        <f>IF(ISERROR(D16/$D$9),"",(D16/$D$9))</f>
        <v/>
      </c>
      <c r="E17" s="19" t="str">
        <f>IF(ISERROR(E16/$D$9),"",(E16/$D$9))</f>
        <v/>
      </c>
      <c r="F17" s="19" t="str">
        <f>IF(ISERROR(F16/$D$9),"",(F16/$D$9))</f>
        <v/>
      </c>
      <c r="G17" s="19" t="str">
        <f>IF(ISERROR(G16/$D$9),"",(G16/$D$9))</f>
        <v/>
      </c>
      <c r="H17" s="19"/>
      <c r="I17" s="19" t="str">
        <f>IF(ISERROR(I16/$D$9),"",(I16/$D$9))</f>
        <v/>
      </c>
      <c r="IV17" s="10"/>
    </row>
    <row r="18" spans="2:256" s="8" customFormat="1" ht="12.95" customHeight="1">
      <c r="B18" s="9"/>
      <c r="D18" s="21"/>
      <c r="E18" s="21"/>
      <c r="F18" s="21"/>
      <c r="G18" s="21"/>
      <c r="H18" s="21"/>
      <c r="I18" s="21"/>
      <c r="IV18" s="1"/>
    </row>
    <row r="19" spans="2:256" s="8" customFormat="1" ht="12.95" customHeight="1">
      <c r="B19" s="9"/>
      <c r="IV19" s="10"/>
    </row>
    <row r="20" spans="2:256" s="8" customFormat="1" ht="12.95" customHeight="1">
      <c r="B20" s="15" t="s">
        <v>57</v>
      </c>
      <c r="D20" s="13" t="s">
        <v>58</v>
      </c>
      <c r="E20" s="13" t="s">
        <v>59</v>
      </c>
      <c r="F20" s="13" t="s">
        <v>60</v>
      </c>
      <c r="G20" s="456" t="s">
        <v>61</v>
      </c>
      <c r="H20" s="456"/>
      <c r="I20" s="13" t="s">
        <v>62</v>
      </c>
      <c r="J20" s="13" t="s">
        <v>46</v>
      </c>
      <c r="IV20" s="10"/>
    </row>
    <row r="21" spans="2:256" s="8" customFormat="1" ht="12.95" customHeight="1">
      <c r="B21" s="22">
        <f>I3</f>
        <v>43857</v>
      </c>
      <c r="D21" s="14" t="e">
        <f>LOOKUP($B21,'Daily &amp; Weekly Totals'!$E$5:$E$61,'Daily &amp; Weekly Totals'!G$5:G$61)</f>
        <v>#N/A</v>
      </c>
      <c r="E21" s="13" t="e">
        <f>LOOKUP($B21,'Daily &amp; Weekly Totals'!$E$5:$E$61,'Daily &amp; Weekly Totals'!I$5:I$61)</f>
        <v>#N/A</v>
      </c>
      <c r="F21" s="13" t="e">
        <f>LOOKUP($B21,'Daily &amp; Weekly Totals'!$E$5:$E$61,'Daily &amp; Weekly Totals'!J$5:J$61)</f>
        <v>#N/A</v>
      </c>
      <c r="G21" s="456" t="e">
        <f>LOOKUP($B21,'Daily &amp; Weekly Totals'!$E$5:$E$61,'Daily &amp; Weekly Totals'!K$5:K$61)</f>
        <v>#N/A</v>
      </c>
      <c r="H21" s="456"/>
      <c r="I21" s="13" t="e">
        <f>LOOKUP($B21,'Daily &amp; Weekly Totals'!$E$5:$E$61,'Daily &amp; Weekly Totals'!L$5:L$61)</f>
        <v>#N/A</v>
      </c>
      <c r="J21" s="19" t="str">
        <f>IF(ISERROR(LOOKUP($B21,'Daily &amp; Weekly Totals'!$E$5:$E$61,'Daily &amp; Weekly Totals'!M$5:M$61)),"",(LOOKUP($B21,'Daily &amp; Weekly Totals'!$E$5:$E$61,'Daily &amp; Weekly Totals'!M$5:M$61)))</f>
        <v/>
      </c>
      <c r="IV21" s="10"/>
    </row>
    <row r="22" spans="2:256" s="8" customFormat="1" ht="12.95" customHeight="1">
      <c r="B22" s="22">
        <f t="shared" ref="B22:B27" si="0">B21+1</f>
        <v>43858</v>
      </c>
      <c r="D22" s="14" t="e">
        <f>LOOKUP($B22,'Daily &amp; Weekly Totals'!$E$5:$E$61,'Daily &amp; Weekly Totals'!G$5:G$61)</f>
        <v>#N/A</v>
      </c>
      <c r="E22" s="13" t="e">
        <f>LOOKUP($B22,'Daily &amp; Weekly Totals'!$E$5:$E$61,'Daily &amp; Weekly Totals'!I$5:I$61)</f>
        <v>#N/A</v>
      </c>
      <c r="F22" s="13" t="e">
        <f>LOOKUP($B22,'Daily &amp; Weekly Totals'!$E$5:$E$61,'Daily &amp; Weekly Totals'!J$5:J$61)</f>
        <v>#N/A</v>
      </c>
      <c r="G22" s="456" t="e">
        <f>LOOKUP($B22,'Daily &amp; Weekly Totals'!$E$5:$E$61,'Daily &amp; Weekly Totals'!K$5:K$61)</f>
        <v>#N/A</v>
      </c>
      <c r="H22" s="456"/>
      <c r="I22" s="13" t="e">
        <f>LOOKUP($B22,'Daily &amp; Weekly Totals'!$E$5:$E$61,'Daily &amp; Weekly Totals'!L$5:L$61)</f>
        <v>#N/A</v>
      </c>
      <c r="J22" s="19" t="str">
        <f>IF(ISERROR(LOOKUP($B22,'Daily &amp; Weekly Totals'!$E$5:$E$61,'Daily &amp; Weekly Totals'!M$5:M$61)),"",(LOOKUP($B22,'Daily &amp; Weekly Totals'!$E$5:$E$61,'Daily &amp; Weekly Totals'!M$5:M$61)))</f>
        <v/>
      </c>
      <c r="IV22" s="10"/>
    </row>
    <row r="23" spans="2:256" s="8" customFormat="1" ht="12.95" customHeight="1">
      <c r="B23" s="22">
        <f t="shared" si="0"/>
        <v>43859</v>
      </c>
      <c r="D23" s="14" t="e">
        <f>LOOKUP($B23,'Daily &amp; Weekly Totals'!$E$5:$E$61,'Daily &amp; Weekly Totals'!G$5:G$61)</f>
        <v>#N/A</v>
      </c>
      <c r="E23" s="13" t="e">
        <f>LOOKUP($B23,'Daily &amp; Weekly Totals'!$E$5:$E$61,'Daily &amp; Weekly Totals'!I$5:I$61)</f>
        <v>#N/A</v>
      </c>
      <c r="F23" s="13" t="e">
        <f>LOOKUP($B23,'Daily &amp; Weekly Totals'!$E$5:$E$61,'Daily &amp; Weekly Totals'!J$5:J$61)</f>
        <v>#N/A</v>
      </c>
      <c r="G23" s="456" t="e">
        <f>LOOKUP($B23,'Daily &amp; Weekly Totals'!$E$5:$E$61,'Daily &amp; Weekly Totals'!K$5:K$61)</f>
        <v>#N/A</v>
      </c>
      <c r="H23" s="456"/>
      <c r="I23" s="13" t="e">
        <f>LOOKUP($B23,'Daily &amp; Weekly Totals'!$E$5:$E$61,'Daily &amp; Weekly Totals'!L$5:L$61)</f>
        <v>#N/A</v>
      </c>
      <c r="J23" s="19" t="str">
        <f>IF(ISERROR(LOOKUP($B23,'Daily &amp; Weekly Totals'!$E$5:$E$61,'Daily &amp; Weekly Totals'!M$5:M$61)),"",(LOOKUP($B23,'Daily &amp; Weekly Totals'!$E$5:$E$61,'Daily &amp; Weekly Totals'!M$5:M$61)))</f>
        <v/>
      </c>
      <c r="IV23" s="10"/>
    </row>
    <row r="24" spans="2:256" s="8" customFormat="1" ht="12.95" customHeight="1">
      <c r="B24" s="22">
        <f t="shared" si="0"/>
        <v>43860</v>
      </c>
      <c r="D24" s="14" t="e">
        <f>LOOKUP($B24,'Daily &amp; Weekly Totals'!$E$5:$E$61,'Daily &amp; Weekly Totals'!G$5:G$61)</f>
        <v>#N/A</v>
      </c>
      <c r="E24" s="13" t="e">
        <f>LOOKUP($B24,'Daily &amp; Weekly Totals'!$E$5:$E$61,'Daily &amp; Weekly Totals'!I$5:I$61)</f>
        <v>#N/A</v>
      </c>
      <c r="F24" s="13" t="e">
        <f>LOOKUP($B24,'Daily &amp; Weekly Totals'!$E$5:$E$61,'Daily &amp; Weekly Totals'!J$5:J$61)</f>
        <v>#N/A</v>
      </c>
      <c r="G24" s="456" t="e">
        <f>LOOKUP($B24,'Daily &amp; Weekly Totals'!$E$5:$E$61,'Daily &amp; Weekly Totals'!K$5:K$61)</f>
        <v>#N/A</v>
      </c>
      <c r="H24" s="456"/>
      <c r="I24" s="13" t="e">
        <f>LOOKUP($B24,'Daily &amp; Weekly Totals'!$E$5:$E$61,'Daily &amp; Weekly Totals'!L$5:L$61)</f>
        <v>#N/A</v>
      </c>
      <c r="J24" s="19" t="str">
        <f>IF(ISERROR(LOOKUP($B24,'Daily &amp; Weekly Totals'!$E$5:$E$61,'Daily &amp; Weekly Totals'!M$5:M$61)),"",(LOOKUP($B24,'Daily &amp; Weekly Totals'!$E$5:$E$61,'Daily &amp; Weekly Totals'!M$5:M$61)))</f>
        <v/>
      </c>
      <c r="IV24" s="10"/>
    </row>
    <row r="25" spans="2:256" s="8" customFormat="1" ht="12.95" customHeight="1">
      <c r="B25" s="22">
        <f t="shared" si="0"/>
        <v>43861</v>
      </c>
      <c r="D25" s="14" t="e">
        <f>LOOKUP($B25,'Daily &amp; Weekly Totals'!$E$5:$E$61,'Daily &amp; Weekly Totals'!G$5:G$61)</f>
        <v>#N/A</v>
      </c>
      <c r="E25" s="13" t="e">
        <f>LOOKUP($B25,'Daily &amp; Weekly Totals'!$E$5:$E$61,'Daily &amp; Weekly Totals'!I$5:I$61)</f>
        <v>#N/A</v>
      </c>
      <c r="F25" s="13" t="e">
        <f>LOOKUP($B25,'Daily &amp; Weekly Totals'!$E$5:$E$61,'Daily &amp; Weekly Totals'!J$5:J$61)</f>
        <v>#N/A</v>
      </c>
      <c r="G25" s="456" t="e">
        <f>LOOKUP($B25,'Daily &amp; Weekly Totals'!$E$5:$E$61,'Daily &amp; Weekly Totals'!K$5:K$61)</f>
        <v>#N/A</v>
      </c>
      <c r="H25" s="456"/>
      <c r="I25" s="13" t="e">
        <f>LOOKUP($B25,'Daily &amp; Weekly Totals'!$E$5:$E$61,'Daily &amp; Weekly Totals'!L$5:L$61)</f>
        <v>#N/A</v>
      </c>
      <c r="J25" s="19" t="str">
        <f>IF(ISERROR(LOOKUP($B25,'Daily &amp; Weekly Totals'!$E$5:$E$61,'Daily &amp; Weekly Totals'!M$5:M$61)),"",(LOOKUP($B25,'Daily &amp; Weekly Totals'!$E$5:$E$61,'Daily &amp; Weekly Totals'!M$5:M$61)))</f>
        <v/>
      </c>
      <c r="IV25" s="10"/>
    </row>
    <row r="26" spans="2:256" s="8" customFormat="1" ht="12.95" customHeight="1">
      <c r="B26" s="22">
        <f t="shared" si="0"/>
        <v>43862</v>
      </c>
      <c r="D26" s="14" t="e">
        <f>LOOKUP($B26,'Daily &amp; Weekly Totals'!$E$5:$E$61,'Daily &amp; Weekly Totals'!G$5:G$61)</f>
        <v>#N/A</v>
      </c>
      <c r="E26" s="13" t="e">
        <f>LOOKUP($B26,'Daily &amp; Weekly Totals'!$E$5:$E$61,'Daily &amp; Weekly Totals'!I$5:I$61)</f>
        <v>#N/A</v>
      </c>
      <c r="F26" s="13" t="e">
        <f>LOOKUP($B26,'Daily &amp; Weekly Totals'!$E$5:$E$61,'Daily &amp; Weekly Totals'!J$5:J$61)</f>
        <v>#N/A</v>
      </c>
      <c r="G26" s="456" t="e">
        <f>LOOKUP($B26,'Daily &amp; Weekly Totals'!$E$5:$E$61,'Daily &amp; Weekly Totals'!K$5:K$61)</f>
        <v>#N/A</v>
      </c>
      <c r="H26" s="456"/>
      <c r="I26" s="13" t="e">
        <f>LOOKUP($B26,'Daily &amp; Weekly Totals'!$E$5:$E$61,'Daily &amp; Weekly Totals'!L$5:L$61)</f>
        <v>#N/A</v>
      </c>
      <c r="J26" s="19" t="str">
        <f>IF(ISERROR(LOOKUP($B26,'Daily &amp; Weekly Totals'!$E$5:$E$61,'Daily &amp; Weekly Totals'!M$5:M$61)),"",(LOOKUP($B26,'Daily &amp; Weekly Totals'!$E$5:$E$61,'Daily &amp; Weekly Totals'!M$5:M$61)))</f>
        <v/>
      </c>
      <c r="IV26" s="10"/>
    </row>
    <row r="27" spans="2:256" s="8" customFormat="1" ht="12.95" customHeight="1">
      <c r="B27" s="22">
        <f t="shared" si="0"/>
        <v>43863</v>
      </c>
      <c r="D27" s="14" t="e">
        <f>LOOKUP($B27,'Daily &amp; Weekly Totals'!$E$5:$E$61,'Daily &amp; Weekly Totals'!G$5:G$61)</f>
        <v>#N/A</v>
      </c>
      <c r="E27" s="13" t="e">
        <f>LOOKUP($B27,'Daily &amp; Weekly Totals'!$E$5:$E$61,'Daily &amp; Weekly Totals'!I$5:I$61)</f>
        <v>#N/A</v>
      </c>
      <c r="F27" s="13" t="e">
        <f>LOOKUP($B27,'Daily &amp; Weekly Totals'!$E$5:$E$61,'Daily &amp; Weekly Totals'!J$5:J$61)</f>
        <v>#N/A</v>
      </c>
      <c r="G27" s="456" t="e">
        <f>LOOKUP($B27,'Daily &amp; Weekly Totals'!$E$5:$E$61,'Daily &amp; Weekly Totals'!K$5:K$61)</f>
        <v>#N/A</v>
      </c>
      <c r="H27" s="456"/>
      <c r="I27" s="13" t="e">
        <f>LOOKUP($B27,'Daily &amp; Weekly Totals'!$E$5:$E$61,'Daily &amp; Weekly Totals'!L$5:L$61)</f>
        <v>#N/A</v>
      </c>
      <c r="J27" s="19" t="str">
        <f>IF(ISERROR(LOOKUP($B27,'Daily &amp; Weekly Totals'!$E$5:$E$61,'Daily &amp; Weekly Totals'!M$5:M$61)),"",(LOOKUP($B27,'Daily &amp; Weekly Totals'!$E$5:$E$61,'Daily &amp; Weekly Totals'!M$5:M$61)))</f>
        <v/>
      </c>
      <c r="IV27" s="10"/>
    </row>
    <row r="28" spans="2:256" s="8" customFormat="1" ht="12.95" customHeight="1">
      <c r="B28" s="9"/>
      <c r="IV28" s="10"/>
    </row>
    <row r="29" spans="2:256" s="8" customFormat="1" ht="12.95" customHeight="1">
      <c r="B29" s="15" t="s">
        <v>63</v>
      </c>
      <c r="D29" s="14" t="e">
        <f>SUM(D21:D27)</f>
        <v>#N/A</v>
      </c>
      <c r="E29" s="13" t="e">
        <f>SUM(E21:E27)</f>
        <v>#N/A</v>
      </c>
      <c r="F29" s="13" t="e">
        <f>SUM(F21:F27)</f>
        <v>#N/A</v>
      </c>
      <c r="G29" s="456" t="e">
        <f>SUM(G21:G27)</f>
        <v>#N/A</v>
      </c>
      <c r="H29" s="456"/>
      <c r="I29" s="13" t="e">
        <f>SUM(I21:I27)</f>
        <v>#N/A</v>
      </c>
      <c r="J29" s="19" t="str">
        <f>IF(ISERROR(E29/I29),"",(E29/I29))</f>
        <v/>
      </c>
      <c r="IV29" s="10"/>
    </row>
    <row r="30" spans="2:256" s="8" customFormat="1" ht="12.95" customHeight="1">
      <c r="B30" s="9"/>
      <c r="IV30" s="10"/>
    </row>
    <row r="31" spans="2:256" s="8" customFormat="1" ht="12.95" customHeight="1">
      <c r="B31" s="9"/>
      <c r="IV31" s="10"/>
    </row>
    <row r="32" spans="2:256" s="8" customFormat="1" ht="12.95" customHeight="1">
      <c r="B32" s="9"/>
      <c r="IV32" s="10"/>
    </row>
    <row r="33" spans="2:256" s="8" customFormat="1" ht="12.95" customHeight="1">
      <c r="B33" s="9"/>
      <c r="IV33" s="10"/>
    </row>
    <row r="34" spans="2:256" s="8" customFormat="1" ht="12.95" customHeight="1">
      <c r="B34" s="9"/>
      <c r="IV34" s="10"/>
    </row>
    <row r="35" spans="2:256" s="8" customFormat="1" ht="12.95" customHeight="1">
      <c r="B35" s="9"/>
      <c r="IV35" s="10"/>
    </row>
    <row r="36" spans="2:256" s="8" customFormat="1" ht="12.95" customHeight="1">
      <c r="B36" s="9"/>
      <c r="IV36" s="10"/>
    </row>
    <row r="37" spans="2:256" s="8" customFormat="1" ht="12.95" customHeight="1">
      <c r="B37" s="9"/>
      <c r="IV37" s="10"/>
    </row>
    <row r="38" spans="2:256" s="8" customFormat="1" ht="12.95" customHeight="1">
      <c r="B38" s="9"/>
      <c r="IV38" s="10"/>
    </row>
    <row r="39" spans="2:256" s="8" customFormat="1" ht="12.95" customHeight="1">
      <c r="B39" s="9"/>
      <c r="IV39" s="10"/>
    </row>
    <row r="40" spans="2:256" s="8" customFormat="1" ht="12.95" customHeight="1">
      <c r="B40" s="9"/>
      <c r="IV40" s="10"/>
    </row>
    <row r="41" spans="2:256" s="8" customFormat="1" ht="12.95" customHeight="1">
      <c r="B41" s="9"/>
      <c r="IV41" s="10"/>
    </row>
    <row r="42" spans="2:256" s="8" customFormat="1" ht="12.95" customHeight="1">
      <c r="B42" s="9"/>
      <c r="IV42" s="10"/>
    </row>
    <row r="43" spans="2:256" s="8" customFormat="1" ht="12.95" customHeight="1">
      <c r="B43" s="9"/>
      <c r="IV43" s="10"/>
    </row>
    <row r="44" spans="2:256" s="8" customFormat="1" ht="12.95" customHeight="1">
      <c r="B44" s="9"/>
      <c r="IV44" s="10"/>
    </row>
    <row r="45" spans="2:256" s="8" customFormat="1" ht="12.95" customHeight="1">
      <c r="B45" s="9"/>
      <c r="IV45" s="10"/>
    </row>
    <row r="46" spans="2:256" s="8" customFormat="1" ht="12.95" customHeight="1">
      <c r="B46" s="9"/>
      <c r="IV46" s="10"/>
    </row>
    <row r="47" spans="2:256" s="8" customFormat="1" ht="12.95" customHeight="1">
      <c r="B47" s="9"/>
      <c r="IV47" s="10"/>
    </row>
    <row r="48" spans="2:256" s="8" customFormat="1" ht="12.95" customHeight="1">
      <c r="B48" s="9"/>
      <c r="IV48" s="10"/>
    </row>
    <row r="49" spans="2:256" s="8" customFormat="1" ht="12.95" customHeight="1">
      <c r="B49" s="9"/>
      <c r="IV49" s="10"/>
    </row>
    <row r="50" spans="2:256" s="8" customFormat="1" ht="12.95" customHeight="1">
      <c r="B50" s="9"/>
      <c r="IV50" s="10"/>
    </row>
    <row r="51" spans="2:256" s="8" customFormat="1" ht="12.95" customHeight="1">
      <c r="B51" s="9"/>
      <c r="IV51" s="10"/>
    </row>
    <row r="52" spans="2:256" s="8" customFormat="1" ht="12.95" customHeight="1">
      <c r="B52" s="9"/>
      <c r="IV52" s="10"/>
    </row>
    <row r="53" spans="2:256" s="8" customFormat="1" ht="12.95" customHeight="1">
      <c r="B53" s="9"/>
      <c r="IV53" s="10"/>
    </row>
    <row r="54" spans="2:256" s="8" customFormat="1" ht="12.95" customHeight="1">
      <c r="B54" s="9"/>
      <c r="IV54" s="10"/>
    </row>
    <row r="55" spans="2:256" s="8" customFormat="1" ht="12.95" customHeight="1">
      <c r="B55" s="9"/>
      <c r="IV55" s="10"/>
    </row>
    <row r="56" spans="2:256" s="8" customFormat="1" ht="12.95" customHeight="1">
      <c r="B56" s="9"/>
      <c r="IV56" s="10"/>
    </row>
    <row r="57" spans="2:256" s="8" customFormat="1" ht="12.95" customHeight="1">
      <c r="B57" s="9"/>
      <c r="IV57" s="10"/>
    </row>
    <row r="58" spans="2:256" s="8" customFormat="1" ht="12.95" customHeight="1">
      <c r="B58" s="9"/>
      <c r="IV58" s="10"/>
    </row>
    <row r="59" spans="2:256" s="8" customFormat="1" ht="12.95" customHeight="1">
      <c r="B59" s="9"/>
      <c r="IV59" s="10"/>
    </row>
    <row r="60" spans="2:256" s="8" customFormat="1" ht="12.95" customHeight="1">
      <c r="B60" s="9"/>
      <c r="IV60" s="10"/>
    </row>
    <row r="61" spans="2:256" s="8" customFormat="1" ht="12.95" customHeight="1">
      <c r="B61" s="9"/>
      <c r="IV61" s="10"/>
    </row>
    <row r="62" spans="2:256" s="8" customFormat="1" ht="12.95" customHeight="1">
      <c r="B62" s="9"/>
      <c r="IV62" s="10"/>
    </row>
    <row r="63" spans="2:256" s="8" customFormat="1" ht="12.95" customHeight="1">
      <c r="B63" s="9"/>
      <c r="IV63" s="10"/>
    </row>
    <row r="64" spans="2:256" s="8" customFormat="1" ht="12.95" customHeight="1">
      <c r="B64" s="9"/>
      <c r="IV64" s="10"/>
    </row>
    <row r="65" spans="2:256" s="8" customFormat="1" ht="12.95" customHeight="1">
      <c r="B65" s="9"/>
      <c r="IV65" s="10"/>
    </row>
    <row r="66" spans="2:256" s="8" customFormat="1" ht="12.95" customHeight="1">
      <c r="B66" s="9"/>
      <c r="IV66" s="10"/>
    </row>
    <row r="67" spans="2:256" s="8" customFormat="1" ht="12.95" customHeight="1">
      <c r="B67" s="9"/>
      <c r="IV67" s="10"/>
    </row>
    <row r="68" spans="2:256" s="8" customFormat="1" ht="12.95" customHeight="1">
      <c r="B68" s="9"/>
      <c r="IV68" s="10"/>
    </row>
    <row r="69" spans="2:256" s="8" customFormat="1" ht="12.95" customHeight="1">
      <c r="B69" s="9"/>
      <c r="IV69" s="10"/>
    </row>
    <row r="70" spans="2:256" s="8" customFormat="1" ht="12.95" customHeight="1">
      <c r="B70" s="9"/>
      <c r="IV70" s="10"/>
    </row>
    <row r="71" spans="2:256" s="8" customFormat="1" ht="12.95" customHeight="1">
      <c r="B71" s="9"/>
      <c r="IV71" s="10"/>
    </row>
    <row r="72" spans="2:256" s="8" customFormat="1" ht="12.95" customHeight="1">
      <c r="B72" s="9"/>
      <c r="IV72" s="10"/>
    </row>
    <row r="73" spans="2:256" s="8" customFormat="1" ht="12.95" customHeight="1">
      <c r="B73" s="9"/>
      <c r="IV73" s="10"/>
    </row>
    <row r="74" spans="2:256" s="8" customFormat="1" ht="12.95" customHeight="1">
      <c r="B74" s="9"/>
      <c r="IV74" s="10"/>
    </row>
    <row r="75" spans="2:256" s="8" customFormat="1" ht="12.95" customHeight="1">
      <c r="B75" s="9"/>
      <c r="IV75" s="10"/>
    </row>
    <row r="76" spans="2:256" s="8" customFormat="1" ht="12.95" customHeight="1">
      <c r="B76" s="9"/>
      <c r="IV76" s="10"/>
    </row>
    <row r="77" spans="2:256" s="8" customFormat="1" ht="12.95" customHeight="1">
      <c r="B77" s="9"/>
      <c r="IV77" s="10"/>
    </row>
    <row r="78" spans="2:256" s="8" customFormat="1" ht="12.95" customHeight="1">
      <c r="B78" s="9"/>
      <c r="IV78" s="10"/>
    </row>
    <row r="79" spans="2:256" s="8" customFormat="1" ht="12.95" customHeight="1">
      <c r="B79" s="9"/>
      <c r="IV79" s="10"/>
    </row>
    <row r="80" spans="2:256" s="8" customFormat="1" ht="12.95" customHeight="1">
      <c r="B80" s="9"/>
      <c r="IV80" s="10"/>
    </row>
    <row r="81" spans="2:256" s="8" customFormat="1" ht="12.95" customHeight="1">
      <c r="B81" s="9"/>
      <c r="IV81" s="10"/>
    </row>
    <row r="82" spans="2:256" s="8" customFormat="1" ht="12.95" customHeight="1">
      <c r="B82" s="9"/>
      <c r="IV82" s="10"/>
    </row>
    <row r="83" spans="2:256" s="8" customFormat="1" ht="12.95" customHeight="1">
      <c r="B83" s="9"/>
      <c r="IV83" s="10"/>
    </row>
    <row r="84" spans="2:256" s="8" customFormat="1" ht="12.95" customHeight="1">
      <c r="B84" s="9"/>
      <c r="IV84" s="10"/>
    </row>
    <row r="85" spans="2:256" s="8" customFormat="1" ht="12.95" customHeight="1">
      <c r="B85" s="9"/>
      <c r="IV85" s="10"/>
    </row>
    <row r="86" spans="2:256" s="8" customFormat="1" ht="12.95" customHeight="1">
      <c r="B86" s="9"/>
      <c r="IV86" s="10"/>
    </row>
    <row r="87" spans="2:256" s="8" customFormat="1" ht="12.95" customHeight="1">
      <c r="B87" s="9"/>
      <c r="IV87" s="10"/>
    </row>
    <row r="88" spans="2:256" s="8" customFormat="1" ht="12.95" customHeight="1">
      <c r="B88" s="9"/>
      <c r="IV88" s="10"/>
    </row>
    <row r="89" spans="2:256" s="8" customFormat="1" ht="12.95" customHeight="1">
      <c r="B89" s="9"/>
      <c r="IV89" s="10"/>
    </row>
    <row r="90" spans="2:256" s="8" customFormat="1" ht="12.95" customHeight="1">
      <c r="B90" s="9"/>
      <c r="IV90" s="10"/>
    </row>
    <row r="91" spans="2:256" s="8" customFormat="1" ht="12.95" customHeight="1">
      <c r="B91" s="9"/>
      <c r="IV91" s="10"/>
    </row>
    <row r="92" spans="2:256" s="8" customFormat="1" ht="12.95" customHeight="1">
      <c r="B92" s="9"/>
      <c r="IV92" s="10"/>
    </row>
    <row r="93" spans="2:256" s="8" customFormat="1" ht="12.95" customHeight="1">
      <c r="B93" s="9"/>
      <c r="IV93" s="10"/>
    </row>
    <row r="94" spans="2:256" s="8" customFormat="1" ht="12.95" customHeight="1">
      <c r="B94" s="9"/>
      <c r="IV94" s="10"/>
    </row>
    <row r="95" spans="2:256" s="8" customFormat="1" ht="12.95" customHeight="1">
      <c r="B95" s="9"/>
      <c r="IV95" s="10"/>
    </row>
    <row r="96" spans="2:256" s="8" customFormat="1" ht="12.95" customHeight="1">
      <c r="B96" s="9"/>
      <c r="IV96" s="10"/>
    </row>
    <row r="97" spans="2:256" s="8" customFormat="1" ht="12.95" customHeight="1">
      <c r="B97" s="9"/>
      <c r="IV97" s="10"/>
    </row>
    <row r="98" spans="2:256" s="8" customFormat="1" ht="12.95" customHeight="1">
      <c r="B98" s="9"/>
      <c r="IV98" s="10"/>
    </row>
    <row r="99" spans="2:256" s="8" customFormat="1" ht="12.95" customHeight="1">
      <c r="B99" s="9"/>
      <c r="IV99" s="10"/>
    </row>
    <row r="100" spans="2:256" s="8" customFormat="1" ht="12.95" customHeight="1">
      <c r="B100" s="9"/>
      <c r="IV100" s="10"/>
    </row>
    <row r="101" spans="2:256" s="8" customFormat="1" ht="12.95" customHeight="1">
      <c r="B101" s="9"/>
      <c r="IV101" s="10"/>
    </row>
    <row r="102" spans="2:256" s="8" customFormat="1" ht="12.95" customHeight="1">
      <c r="B102" s="9"/>
      <c r="IV102" s="10"/>
    </row>
    <row r="103" spans="2:256" s="8" customFormat="1" ht="12.95" customHeight="1">
      <c r="B103" s="9"/>
      <c r="IV103" s="10"/>
    </row>
    <row r="104" spans="2:256" s="8" customFormat="1" ht="12.95" customHeight="1">
      <c r="B104" s="9"/>
      <c r="IV104" s="10"/>
    </row>
    <row r="105" spans="2:256" s="8" customFormat="1" ht="12.95" customHeight="1">
      <c r="B105" s="9"/>
      <c r="IV105" s="10"/>
    </row>
    <row r="106" spans="2:256" s="8" customFormat="1" ht="12.95" customHeight="1">
      <c r="B106" s="9"/>
      <c r="IV106" s="10"/>
    </row>
    <row r="107" spans="2:256" s="8" customFormat="1" ht="12.95" customHeight="1">
      <c r="B107" s="9"/>
      <c r="IV107" s="10"/>
    </row>
    <row r="108" spans="2:256" s="8" customFormat="1" ht="12.95" customHeight="1">
      <c r="B108" s="9"/>
      <c r="IV108" s="10"/>
    </row>
    <row r="109" spans="2:256" s="8" customFormat="1" ht="12.95" customHeight="1">
      <c r="B109" s="9"/>
      <c r="IV109" s="10"/>
    </row>
    <row r="110" spans="2:256" s="8" customFormat="1" ht="12.95" customHeight="1">
      <c r="B110" s="9"/>
      <c r="IV110" s="10"/>
    </row>
    <row r="111" spans="2:256" s="8" customFormat="1" ht="12.95" customHeight="1">
      <c r="B111" s="9"/>
      <c r="IV111" s="10"/>
    </row>
    <row r="112" spans="2:256" s="8" customFormat="1" ht="12.95" customHeight="1">
      <c r="B112" s="9"/>
      <c r="IV112" s="10"/>
    </row>
    <row r="113" spans="2:256" s="8" customFormat="1" ht="12.95" customHeight="1">
      <c r="B113" s="9"/>
      <c r="IV113" s="10"/>
    </row>
    <row r="114" spans="2:256" s="8" customFormat="1" ht="12.95" customHeight="1">
      <c r="B114" s="9"/>
      <c r="IV114" s="10"/>
    </row>
    <row r="115" spans="2:256" s="8" customFormat="1" ht="12.95" customHeight="1">
      <c r="B115" s="9"/>
      <c r="IV115" s="10"/>
    </row>
    <row r="116" spans="2:256" s="8" customFormat="1" ht="12.95" customHeight="1">
      <c r="B116" s="9"/>
      <c r="IV116" s="10"/>
    </row>
    <row r="117" spans="2:256" s="8" customFormat="1" ht="12.95" customHeight="1">
      <c r="B117" s="9"/>
      <c r="IV117" s="10"/>
    </row>
    <row r="118" spans="2:256" s="8" customFormat="1" ht="12.95" customHeight="1">
      <c r="B118" s="9"/>
      <c r="IV118" s="10"/>
    </row>
    <row r="119" spans="2:256" s="8" customFormat="1" ht="12.95" customHeight="1">
      <c r="B119" s="9"/>
      <c r="IV119" s="10"/>
    </row>
    <row r="120" spans="2:256" s="8" customFormat="1" ht="12.95" customHeight="1">
      <c r="B120" s="9"/>
      <c r="IV120" s="10"/>
    </row>
    <row r="121" spans="2:256" s="8" customFormat="1" ht="12.95" customHeight="1">
      <c r="B121" s="9"/>
      <c r="IV121" s="10"/>
    </row>
    <row r="122" spans="2:256" s="8" customFormat="1" ht="12.95" customHeight="1">
      <c r="B122" s="9"/>
      <c r="IV122" s="10"/>
    </row>
    <row r="123" spans="2:256" s="8" customFormat="1" ht="12.95" customHeight="1">
      <c r="B123" s="9"/>
      <c r="IV123" s="10"/>
    </row>
    <row r="124" spans="2:256" s="8" customFormat="1" ht="12.95" customHeight="1">
      <c r="B124" s="9"/>
      <c r="IV124" s="10"/>
    </row>
    <row r="125" spans="2:256" s="8" customFormat="1" ht="12.95" customHeight="1">
      <c r="B125" s="9"/>
      <c r="IV125" s="10"/>
    </row>
    <row r="126" spans="2:256" s="8" customFormat="1" ht="12.95" customHeight="1">
      <c r="B126" s="9"/>
      <c r="IV126" s="10"/>
    </row>
    <row r="127" spans="2:256" s="8" customFormat="1" ht="12.95" customHeight="1">
      <c r="B127" s="9"/>
      <c r="IV127" s="10"/>
    </row>
    <row r="128" spans="2:256" s="8" customFormat="1" ht="12.95" customHeight="1">
      <c r="B128" s="9"/>
      <c r="IV128" s="10"/>
    </row>
    <row r="129" spans="2:256" s="8" customFormat="1" ht="12.95" customHeight="1">
      <c r="B129" s="9"/>
      <c r="IV129" s="10"/>
    </row>
    <row r="130" spans="2:256" s="8" customFormat="1" ht="12.95" customHeight="1">
      <c r="B130" s="9"/>
      <c r="IV130" s="10"/>
    </row>
    <row r="131" spans="2:256" s="8" customFormat="1" ht="12.95" customHeight="1">
      <c r="B131" s="9"/>
      <c r="IV131" s="10"/>
    </row>
    <row r="132" spans="2:256" s="8" customFormat="1" ht="12.95" customHeight="1">
      <c r="B132" s="9"/>
      <c r="IV132" s="10"/>
    </row>
    <row r="133" spans="2:256" s="8" customFormat="1" ht="12.95" customHeight="1">
      <c r="B133" s="9"/>
      <c r="IV133" s="10"/>
    </row>
    <row r="134" spans="2:256" s="8" customFormat="1" ht="12.95" customHeight="1">
      <c r="B134" s="9"/>
      <c r="IV134" s="10"/>
    </row>
    <row r="135" spans="2:256" s="8" customFormat="1" ht="12.95" customHeight="1">
      <c r="B135" s="9"/>
      <c r="IV135" s="10"/>
    </row>
    <row r="136" spans="2:256" s="8" customFormat="1" ht="12.95" customHeight="1">
      <c r="B136" s="9"/>
      <c r="IV136" s="10"/>
    </row>
    <row r="137" spans="2:256" s="8" customFormat="1" ht="12.95" customHeight="1">
      <c r="B137" s="9"/>
      <c r="IV137" s="10"/>
    </row>
    <row r="138" spans="2:256" s="8" customFormat="1" ht="12.95" customHeight="1">
      <c r="B138" s="9"/>
      <c r="IV138" s="10"/>
    </row>
    <row r="139" spans="2:256" s="8" customFormat="1" ht="12.95" customHeight="1">
      <c r="B139" s="9"/>
      <c r="IV139" s="10"/>
    </row>
    <row r="140" spans="2:256" s="8" customFormat="1" ht="12.95" customHeight="1">
      <c r="B140" s="9"/>
      <c r="IV140" s="10"/>
    </row>
    <row r="141" spans="2:256" s="8" customFormat="1" ht="12.95" customHeight="1">
      <c r="B141" s="9"/>
      <c r="IV141" s="10"/>
    </row>
    <row r="142" spans="2:256" s="8" customFormat="1" ht="12.95" customHeight="1">
      <c r="B142" s="9"/>
      <c r="IV142" s="10"/>
    </row>
    <row r="143" spans="2:256" s="8" customFormat="1" ht="12.95" customHeight="1">
      <c r="B143" s="9"/>
      <c r="IV143" s="10"/>
    </row>
    <row r="144" spans="2:256" s="8" customFormat="1" ht="12.95" customHeight="1">
      <c r="B144" s="9"/>
      <c r="IV144" s="10"/>
    </row>
    <row r="145" spans="2:256" s="8" customFormat="1" ht="12.95" customHeight="1">
      <c r="B145" s="9"/>
      <c r="IV145" s="10"/>
    </row>
    <row r="146" spans="2:256" s="8" customFormat="1" ht="12.95" customHeight="1">
      <c r="B146" s="9"/>
      <c r="IV146" s="10"/>
    </row>
    <row r="147" spans="2:256" s="8" customFormat="1" ht="12.95" customHeight="1">
      <c r="B147" s="9"/>
      <c r="IV147" s="10"/>
    </row>
    <row r="148" spans="2:256" s="8" customFormat="1" ht="12.95" customHeight="1">
      <c r="B148" s="9"/>
      <c r="IV148" s="10"/>
    </row>
    <row r="149" spans="2:256" s="8" customFormat="1" ht="12.95" customHeight="1">
      <c r="B149" s="9"/>
      <c r="IV149" s="10"/>
    </row>
    <row r="150" spans="2:256" s="8" customFormat="1" ht="12.95" customHeight="1">
      <c r="B150" s="9"/>
      <c r="IV150" s="10"/>
    </row>
    <row r="151" spans="2:256" s="8" customFormat="1" ht="12.95" customHeight="1">
      <c r="B151" s="9"/>
      <c r="IV151" s="10"/>
    </row>
    <row r="152" spans="2:256" s="8" customFormat="1" ht="12.95" customHeight="1">
      <c r="B152" s="9"/>
      <c r="IV152" s="10"/>
    </row>
    <row r="153" spans="2:256" s="8" customFormat="1" ht="12.95" customHeight="1">
      <c r="B153" s="9"/>
      <c r="IV153" s="10"/>
    </row>
    <row r="154" spans="2:256" s="8" customFormat="1" ht="12.95" customHeight="1">
      <c r="B154" s="9"/>
      <c r="IV154" s="10"/>
    </row>
    <row r="155" spans="2:256" s="8" customFormat="1" ht="12.95" customHeight="1">
      <c r="B155" s="9"/>
      <c r="IV155" s="10"/>
    </row>
    <row r="156" spans="2:256" s="8" customFormat="1" ht="12.95" customHeight="1">
      <c r="B156" s="9"/>
      <c r="IV156" s="10"/>
    </row>
    <row r="157" spans="2:256" s="8" customFormat="1" ht="12.95" customHeight="1">
      <c r="B157" s="9"/>
      <c r="IV157" s="10"/>
    </row>
  </sheetData>
  <sheetProtection algorithmName="SHA-512" hashValue="fJmMYp5eWs9R8DDVR61KggL9f8Sp/sr3Lz1FqNTyemrPTmofEi7RVggDrsTT+I1fo/U+MoKch4jgufKt8BDpjw==" saltValue="ojHnHK5jhfVqpnJbjlUixA==" spinCount="100000" sheet="1"/>
  <mergeCells count="17">
    <mergeCell ref="G29:H29"/>
    <mergeCell ref="G21:H21"/>
    <mergeCell ref="G22:H22"/>
    <mergeCell ref="G24:H24"/>
    <mergeCell ref="G25:H25"/>
    <mergeCell ref="G26:H26"/>
    <mergeCell ref="G27:H27"/>
    <mergeCell ref="G23:H23"/>
    <mergeCell ref="G16:H16"/>
    <mergeCell ref="G20:H20"/>
    <mergeCell ref="J2:K2"/>
    <mergeCell ref="B3:E3"/>
    <mergeCell ref="G3:H3"/>
    <mergeCell ref="B2:E2"/>
    <mergeCell ref="G2:I2"/>
    <mergeCell ref="G13:H13"/>
    <mergeCell ref="G14:H14"/>
  </mergeCells>
  <phoneticPr fontId="10" type="noConversion"/>
  <conditionalFormatting sqref="I21:I27">
    <cfRule type="cellIs" dxfId="72" priority="1" stopIfTrue="1" operator="equal">
      <formula>0</formula>
    </cfRule>
  </conditionalFormatting>
  <conditionalFormatting sqref="D6:D10 D14:I17 D21:H27 D29:J29 I6 I9:I10 J21:J27 K6:K10">
    <cfRule type="cellIs" dxfId="71" priority="2" stopIfTrue="1" operator="equal">
      <formula>0</formula>
    </cfRule>
  </conditionalFormatting>
  <dataValidations disablePrompts="1" count="1">
    <dataValidation operator="equal" allowBlank="1" promptTitle="Store Target Levels" prompt="Store target levels are for tracking_x000a_individual store performance._x000a__x000a_Please talk to your Area Manager _x000a_about what the levels should be _x000a_set at for your store." sqref="J5" xr:uid="{00000000-0002-0000-0100-000000000000}">
      <formula1>0</formula1>
      <formula2>0</formula2>
    </dataValidation>
  </dataValidation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F168"/>
  <sheetViews>
    <sheetView showZeros="0" topLeftCell="I1" zoomScale="85" zoomScaleNormal="85" workbookViewId="0">
      <selection activeCell="V8" sqref="V8"/>
    </sheetView>
  </sheetViews>
  <sheetFormatPr defaultColWidth="11.5703125" defaultRowHeight="12.75"/>
  <cols>
    <col min="1" max="1" width="1.7109375" customWidth="1"/>
    <col min="2" max="2" width="13" customWidth="1"/>
    <col min="3" max="3" width="8.7109375" customWidth="1"/>
    <col min="4" max="4" width="2" customWidth="1"/>
    <col min="5" max="5" width="8.140625" customWidth="1"/>
    <col min="6" max="6" width="11.28515625" customWidth="1"/>
    <col min="7" max="7" width="10.7109375" customWidth="1"/>
    <col min="8" max="8" width="1.7109375" customWidth="1"/>
    <col min="9" max="9" width="13" customWidth="1"/>
    <col min="10" max="10" width="8.7109375" customWidth="1"/>
    <col min="11" max="11" width="2" customWidth="1"/>
    <col min="12" max="12" width="8.140625" customWidth="1"/>
    <col min="13" max="14" width="10.7109375" customWidth="1"/>
    <col min="15" max="15" width="1.7109375" customWidth="1"/>
    <col min="16" max="16" width="10.7109375" customWidth="1"/>
    <col min="17" max="17" width="8.140625" customWidth="1"/>
    <col min="18" max="18" width="8" customWidth="1"/>
    <col min="19" max="20" width="8.140625" hidden="1" customWidth="1"/>
    <col min="21" max="21" width="2" customWidth="1"/>
    <col min="22" max="22" width="14.140625" customWidth="1"/>
    <col min="23" max="23" width="11.85546875" customWidth="1"/>
    <col min="24" max="24" width="17.7109375" customWidth="1"/>
    <col min="25" max="26" width="13.28515625" customWidth="1"/>
    <col min="27" max="27" width="2" customWidth="1"/>
    <col min="28" max="28" width="14.140625" customWidth="1"/>
    <col min="29" max="29" width="15.42578125" customWidth="1"/>
    <col min="30" max="30" width="16.28515625" customWidth="1"/>
    <col min="31" max="31" width="17.28515625" customWidth="1"/>
    <col min="32" max="32" width="2" customWidth="1"/>
  </cols>
  <sheetData>
    <row r="1" spans="1:32" s="10" customFormat="1">
      <c r="A1" s="1"/>
      <c r="B1" s="23"/>
      <c r="C1" s="23"/>
      <c r="D1" s="23"/>
      <c r="E1" s="1"/>
      <c r="F1" s="24"/>
      <c r="G1" s="1"/>
      <c r="H1" s="1"/>
      <c r="I1" s="24"/>
      <c r="J1" s="24"/>
      <c r="K1" s="24"/>
      <c r="L1" s="24"/>
      <c r="M1" s="1"/>
      <c r="N1" s="1"/>
      <c r="O1" s="1"/>
      <c r="P1" s="1"/>
      <c r="Q1" s="1"/>
      <c r="R1" s="1"/>
      <c r="S1" s="1"/>
      <c r="T1" s="1"/>
      <c r="U1" s="1"/>
      <c r="V1" s="1"/>
      <c r="W1" s="1"/>
      <c r="X1" s="1"/>
      <c r="Y1" s="1"/>
      <c r="Z1" s="1"/>
      <c r="AA1" s="1"/>
      <c r="AB1" s="1"/>
      <c r="AC1" s="1"/>
      <c r="AD1" s="1"/>
      <c r="AE1" s="1"/>
      <c r="AF1" s="1"/>
    </row>
    <row r="2" spans="1:32" s="10" customFormat="1" ht="19.5">
      <c r="A2" s="1"/>
      <c r="B2" s="468" t="s">
        <v>64</v>
      </c>
      <c r="C2" s="468"/>
      <c r="D2" s="468"/>
      <c r="E2" s="468"/>
      <c r="F2" s="468"/>
      <c r="G2" s="468"/>
      <c r="H2" s="468"/>
      <c r="I2" s="468"/>
      <c r="J2" s="468"/>
      <c r="K2" s="468"/>
      <c r="L2" s="468"/>
      <c r="M2" s="468"/>
      <c r="N2" s="468"/>
      <c r="O2" s="468"/>
      <c r="P2" s="468"/>
      <c r="Q2" s="468"/>
      <c r="R2" s="468"/>
      <c r="S2" s="1"/>
      <c r="T2" s="1"/>
      <c r="U2" s="1"/>
      <c r="V2" s="468" t="s">
        <v>65</v>
      </c>
      <c r="W2" s="468"/>
      <c r="X2" s="468"/>
      <c r="Y2" s="468"/>
      <c r="Z2" s="468"/>
      <c r="AA2" s="468"/>
      <c r="AB2" s="468"/>
      <c r="AC2" s="468"/>
      <c r="AD2" s="468"/>
      <c r="AE2" s="468"/>
      <c r="AF2" s="1"/>
    </row>
    <row r="3" spans="1:32" s="10" customFormat="1" ht="4.5" customHeight="1">
      <c r="A3" s="1"/>
      <c r="B3" s="1"/>
      <c r="C3" s="1"/>
      <c r="D3" s="1"/>
      <c r="E3" s="1"/>
      <c r="F3" s="1"/>
      <c r="G3" s="1"/>
      <c r="H3" s="1"/>
      <c r="I3" s="1"/>
      <c r="J3" s="1"/>
      <c r="K3" s="1"/>
      <c r="L3" s="1"/>
      <c r="M3" s="1"/>
      <c r="N3" s="25"/>
      <c r="O3" s="1"/>
      <c r="P3" s="25"/>
      <c r="Q3" s="25"/>
      <c r="R3" s="25"/>
      <c r="S3" s="1"/>
      <c r="T3" s="1"/>
      <c r="U3" s="1"/>
      <c r="V3" s="1"/>
      <c r="W3" s="1"/>
      <c r="X3" s="1"/>
      <c r="Y3" s="1"/>
      <c r="Z3" s="1"/>
      <c r="AA3" s="1"/>
      <c r="AB3" s="1"/>
      <c r="AC3" s="1"/>
      <c r="AD3" s="1"/>
      <c r="AE3" s="1"/>
      <c r="AF3" s="1"/>
    </row>
    <row r="4" spans="1:32" s="10" customFormat="1">
      <c r="A4" s="1"/>
      <c r="B4" s="469" t="s">
        <v>66</v>
      </c>
      <c r="C4" s="469"/>
      <c r="D4" s="469"/>
      <c r="E4" s="469"/>
      <c r="F4" s="469"/>
      <c r="G4" s="469"/>
      <c r="H4" s="26"/>
      <c r="I4" s="469" t="s">
        <v>67</v>
      </c>
      <c r="J4" s="469"/>
      <c r="K4" s="469"/>
      <c r="L4" s="469"/>
      <c r="M4" s="469"/>
      <c r="N4" s="469"/>
      <c r="O4" s="1"/>
      <c r="P4" s="469" t="s">
        <v>68</v>
      </c>
      <c r="Q4" s="469"/>
      <c r="R4" s="469"/>
      <c r="S4" s="1"/>
      <c r="T4" s="1"/>
      <c r="U4" s="1"/>
      <c r="V4" s="1"/>
      <c r="W4" s="1"/>
      <c r="X4" s="1"/>
      <c r="Y4" s="1"/>
      <c r="Z4" s="1"/>
      <c r="AA4" s="1"/>
      <c r="AB4" s="1"/>
      <c r="AC4" s="1"/>
      <c r="AD4" s="1"/>
      <c r="AE4" s="1"/>
      <c r="AF4" s="1"/>
    </row>
    <row r="5" spans="1:32" s="10" customFormat="1" ht="4.5" customHeight="1">
      <c r="A5" s="1"/>
      <c r="B5" s="27"/>
      <c r="C5" s="24"/>
      <c r="D5" s="24"/>
      <c r="E5" s="26"/>
      <c r="F5" s="26"/>
      <c r="G5" s="26"/>
      <c r="H5" s="26"/>
      <c r="I5" s="27"/>
      <c r="J5" s="1"/>
      <c r="K5" s="1"/>
      <c r="L5" s="26"/>
      <c r="M5" s="26"/>
      <c r="N5" s="26"/>
      <c r="O5" s="1"/>
      <c r="P5" s="1"/>
      <c r="Q5" s="1"/>
      <c r="R5" s="1"/>
      <c r="S5" s="1"/>
      <c r="T5" s="1"/>
      <c r="U5" s="1"/>
      <c r="V5" s="1"/>
      <c r="W5" s="1"/>
      <c r="X5" s="1"/>
      <c r="Y5" s="1"/>
      <c r="Z5" s="1"/>
      <c r="AA5" s="1"/>
      <c r="AB5" s="1"/>
      <c r="AC5" s="1"/>
      <c r="AD5" s="1"/>
      <c r="AE5" s="1"/>
      <c r="AF5" s="1"/>
    </row>
    <row r="6" spans="1:32" s="10" customFormat="1" ht="13.5" customHeight="1">
      <c r="A6" s="1"/>
      <c r="B6" s="27"/>
      <c r="C6" s="24"/>
      <c r="D6" s="24"/>
      <c r="E6" s="24"/>
      <c r="F6" s="24"/>
      <c r="G6" s="24"/>
      <c r="H6" s="26"/>
      <c r="I6" s="26"/>
      <c r="J6" s="26"/>
      <c r="K6" s="26"/>
      <c r="L6" s="26"/>
      <c r="M6" s="26"/>
      <c r="N6" s="26"/>
      <c r="O6" s="1"/>
      <c r="P6" s="2" t="s">
        <v>69</v>
      </c>
      <c r="Q6" s="2"/>
      <c r="R6" s="217" t="s">
        <v>70</v>
      </c>
      <c r="S6" s="260" t="e">
        <f>IF(N7=0,0.00000001,N8/N7)-1</f>
        <v>#N/A</v>
      </c>
      <c r="T6" s="1" t="s">
        <v>19</v>
      </c>
      <c r="U6" s="1"/>
      <c r="V6" s="1"/>
      <c r="W6" s="1"/>
      <c r="X6" s="1"/>
      <c r="Y6" s="1"/>
      <c r="Z6" s="1"/>
      <c r="AA6" s="1"/>
      <c r="AB6" s="1"/>
      <c r="AC6" s="1"/>
      <c r="AD6" s="1"/>
      <c r="AE6" s="1"/>
      <c r="AF6" s="1"/>
    </row>
    <row r="7" spans="1:32" s="10" customFormat="1">
      <c r="A7" s="1"/>
      <c r="B7" s="28" t="s">
        <v>6</v>
      </c>
      <c r="C7" s="29">
        <f>C8-6</f>
        <v>43864</v>
      </c>
      <c r="D7" s="24"/>
      <c r="E7" s="30" t="s">
        <v>71</v>
      </c>
      <c r="F7" s="30"/>
      <c r="G7" s="31" t="e">
        <f>VLOOKUP(C8-364,'Store Details'!H15:K20,4)</f>
        <v>#N/A</v>
      </c>
      <c r="H7" s="32"/>
      <c r="I7" s="28" t="s">
        <v>6</v>
      </c>
      <c r="J7" s="29">
        <f>J8-6</f>
        <v>43857</v>
      </c>
      <c r="K7" s="1"/>
      <c r="L7" s="30" t="s">
        <v>71</v>
      </c>
      <c r="M7" s="2"/>
      <c r="N7" s="31" t="e">
        <f>VLOOKUP(J8-364,'Store Details'!H15:K20,4)</f>
        <v>#N/A</v>
      </c>
      <c r="O7" s="25"/>
      <c r="P7" s="2" t="s">
        <v>72</v>
      </c>
      <c r="Q7" s="2"/>
      <c r="R7" s="218" t="s">
        <v>73</v>
      </c>
      <c r="S7" s="255" t="e">
        <f>IF(S6&lt;0,0,(N7/N8)-1)</f>
        <v>#N/A</v>
      </c>
      <c r="T7" s="255" t="s">
        <v>74</v>
      </c>
      <c r="U7" s="1"/>
      <c r="V7" s="1"/>
      <c r="W7" s="1"/>
      <c r="X7" s="1"/>
      <c r="Y7" s="1"/>
      <c r="Z7" s="1"/>
      <c r="AA7" s="1"/>
      <c r="AB7" s="1"/>
      <c r="AC7" s="1"/>
      <c r="AD7" s="1"/>
      <c r="AE7" s="1"/>
      <c r="AF7" s="1"/>
    </row>
    <row r="8" spans="1:32" s="10" customFormat="1">
      <c r="A8" s="1"/>
      <c r="B8" s="28" t="s">
        <v>7</v>
      </c>
      <c r="C8" s="29">
        <f>J8+7</f>
        <v>43870</v>
      </c>
      <c r="D8" s="24"/>
      <c r="E8" s="30" t="s">
        <v>19</v>
      </c>
      <c r="F8" s="30"/>
      <c r="G8" s="31" t="e">
        <f>VLOOKUP(C8,'Store Details'!P15:Q20,2)</f>
        <v>#N/A</v>
      </c>
      <c r="H8" s="32"/>
      <c r="I8" s="28" t="s">
        <v>7</v>
      </c>
      <c r="J8" s="29">
        <f>'Store Details'!H2-1</f>
        <v>43863</v>
      </c>
      <c r="K8" s="1"/>
      <c r="L8" s="30" t="s">
        <v>75</v>
      </c>
      <c r="M8" s="7"/>
      <c r="N8" s="31" t="e">
        <f>VLOOKUP(J8,'Store Details'!P15:Q20,2)</f>
        <v>#N/A</v>
      </c>
      <c r="O8" s="25"/>
      <c r="P8" s="2" t="s">
        <v>76</v>
      </c>
      <c r="Q8" s="2"/>
      <c r="R8" s="254" t="s">
        <v>77</v>
      </c>
      <c r="S8" s="1"/>
      <c r="T8" s="1"/>
      <c r="U8" s="1"/>
      <c r="V8" s="1"/>
      <c r="W8" s="1"/>
      <c r="X8" s="1"/>
      <c r="Y8" s="1"/>
      <c r="Z8" s="1"/>
      <c r="AA8" s="1"/>
      <c r="AB8" s="1"/>
      <c r="AC8" s="1"/>
      <c r="AD8" s="1"/>
      <c r="AE8" s="1"/>
      <c r="AF8" s="1"/>
    </row>
    <row r="9" spans="1:32" s="10" customFormat="1">
      <c r="A9" s="1"/>
      <c r="B9" s="33" t="s">
        <v>78</v>
      </c>
      <c r="C9" s="374" t="e">
        <f>MATCH(C8,'Store Details'!P15:P20)</f>
        <v>#N/A</v>
      </c>
      <c r="D9" s="24"/>
      <c r="E9" s="30" t="s">
        <v>79</v>
      </c>
      <c r="F9" s="30"/>
      <c r="G9" s="31" t="e">
        <f>G8+(G8*S9)</f>
        <v>#N/A</v>
      </c>
      <c r="H9" s="32"/>
      <c r="I9" s="33" t="s">
        <v>78</v>
      </c>
      <c r="J9" s="374" t="e">
        <f>MATCH(J8,'Store Details'!P15:P20)</f>
        <v>#N/A</v>
      </c>
      <c r="K9" s="1"/>
      <c r="L9" s="30" t="s">
        <v>79</v>
      </c>
      <c r="M9" s="7"/>
      <c r="N9" s="31" t="e">
        <f>N8+(N8*S9)</f>
        <v>#N/A</v>
      </c>
      <c r="O9" s="25"/>
      <c r="P9" s="2" t="s">
        <v>80</v>
      </c>
      <c r="Q9" s="2"/>
      <c r="R9" s="219" t="s">
        <v>81</v>
      </c>
      <c r="S9" s="1">
        <f>0.0501</f>
        <v>5.0099999999999999E-2</v>
      </c>
      <c r="T9" s="1" t="s">
        <v>82</v>
      </c>
      <c r="U9" s="1"/>
      <c r="V9" s="1"/>
      <c r="W9" s="1"/>
      <c r="X9" s="1"/>
      <c r="Y9" s="1"/>
      <c r="Z9" s="1"/>
      <c r="AA9" s="1"/>
      <c r="AB9" s="1"/>
      <c r="AC9" s="1"/>
      <c r="AD9" s="1"/>
      <c r="AE9" s="1"/>
      <c r="AF9" s="1"/>
    </row>
    <row r="10" spans="1:32" s="10" customFormat="1">
      <c r="A10" s="1"/>
      <c r="B10" s="24"/>
      <c r="C10" s="24"/>
      <c r="D10" s="24"/>
      <c r="E10" s="30" t="s">
        <v>83</v>
      </c>
      <c r="F10" s="30"/>
      <c r="G10" s="31" t="e">
        <f>G8+(G8*S10)</f>
        <v>#N/A</v>
      </c>
      <c r="H10" s="32"/>
      <c r="I10" s="34"/>
      <c r="J10" s="24"/>
      <c r="K10" s="24"/>
      <c r="L10" s="30" t="s">
        <v>83</v>
      </c>
      <c r="M10" s="7"/>
      <c r="N10" s="31" t="e">
        <f>N8+(N8*S10)</f>
        <v>#N/A</v>
      </c>
      <c r="O10" s="25"/>
      <c r="P10" s="2" t="s">
        <v>84</v>
      </c>
      <c r="Q10" s="2"/>
      <c r="R10" s="220" t="s">
        <v>85</v>
      </c>
      <c r="S10" s="1">
        <f>0.1001</f>
        <v>0.10009999999999999</v>
      </c>
      <c r="T10" s="1" t="s">
        <v>86</v>
      </c>
      <c r="U10" s="1"/>
      <c r="V10" s="1"/>
      <c r="W10" s="1"/>
      <c r="X10" s="1"/>
      <c r="Y10" s="1"/>
      <c r="Z10" s="1"/>
      <c r="AA10" s="1"/>
      <c r="AB10" s="1"/>
      <c r="AC10" s="1"/>
      <c r="AD10" s="1"/>
      <c r="AE10" s="1"/>
      <c r="AF10" s="1"/>
    </row>
    <row r="11" spans="1:32" s="10" customFormat="1" ht="6" customHeight="1">
      <c r="A11" s="1"/>
      <c r="B11" s="24"/>
      <c r="C11" s="24"/>
      <c r="D11" s="24"/>
      <c r="E11" s="26"/>
      <c r="F11" s="26"/>
      <c r="G11" s="26"/>
      <c r="H11" s="26"/>
      <c r="I11" s="34"/>
      <c r="J11" s="24"/>
      <c r="K11" s="24"/>
      <c r="L11" s="26"/>
      <c r="M11" s="26"/>
      <c r="N11" s="26"/>
      <c r="O11" s="1"/>
      <c r="P11" s="1"/>
      <c r="Q11" s="1"/>
      <c r="R11" s="1"/>
      <c r="S11" s="1"/>
      <c r="T11" s="1"/>
      <c r="U11" s="1"/>
      <c r="V11" s="1"/>
      <c r="W11" s="1"/>
      <c r="X11" s="1"/>
      <c r="Y11" s="1"/>
      <c r="Z11" s="1"/>
      <c r="AA11" s="1"/>
      <c r="AB11" s="1"/>
      <c r="AC11" s="1"/>
      <c r="AD11" s="1"/>
      <c r="AE11" s="1"/>
      <c r="AF11" s="1"/>
    </row>
    <row r="12" spans="1:32" s="38" customFormat="1" ht="12.75" customHeight="1">
      <c r="A12" s="35"/>
      <c r="B12" s="373" t="s">
        <v>87</v>
      </c>
      <c r="C12" s="465" t="s">
        <v>88</v>
      </c>
      <c r="D12" s="465"/>
      <c r="E12" s="373" t="s">
        <v>89</v>
      </c>
      <c r="F12" s="373" t="s">
        <v>90</v>
      </c>
      <c r="G12" s="373" t="s">
        <v>91</v>
      </c>
      <c r="H12" s="1"/>
      <c r="I12" s="373" t="s">
        <v>87</v>
      </c>
      <c r="J12" s="465" t="s">
        <v>92</v>
      </c>
      <c r="K12" s="465"/>
      <c r="L12" s="373" t="s">
        <v>89</v>
      </c>
      <c r="M12" s="373" t="s">
        <v>90</v>
      </c>
      <c r="N12" s="373" t="s">
        <v>91</v>
      </c>
      <c r="O12" s="36"/>
      <c r="P12" s="373" t="s">
        <v>18</v>
      </c>
      <c r="Q12" s="216" t="s">
        <v>93</v>
      </c>
      <c r="R12" s="373" t="s">
        <v>94</v>
      </c>
      <c r="S12" s="35"/>
      <c r="T12" s="35"/>
      <c r="U12" s="35"/>
      <c r="V12" s="373" t="s">
        <v>87</v>
      </c>
      <c r="W12" s="373" t="s">
        <v>95</v>
      </c>
      <c r="X12" s="373" t="s">
        <v>58</v>
      </c>
      <c r="Y12" s="373" t="s">
        <v>59</v>
      </c>
      <c r="Z12" s="373" t="s">
        <v>60</v>
      </c>
      <c r="AA12" s="37"/>
      <c r="AB12" s="373" t="s">
        <v>96</v>
      </c>
      <c r="AC12" s="373" t="s">
        <v>97</v>
      </c>
      <c r="AD12" s="373" t="s">
        <v>98</v>
      </c>
      <c r="AE12" s="373" t="s">
        <v>99</v>
      </c>
      <c r="AF12" s="35"/>
    </row>
    <row r="13" spans="1:32" s="10" customFormat="1" ht="17.25" customHeight="1">
      <c r="A13" s="1"/>
      <c r="B13" s="39">
        <f>'Store Details'!C15</f>
        <v>0</v>
      </c>
      <c r="C13" s="463" t="e">
        <f>VLOOKUP($C$7+6,'Staff Hours'!$C$49:$X$54,3)</f>
        <v>#N/A</v>
      </c>
      <c r="D13" s="463"/>
      <c r="E13" s="40" t="str">
        <f t="shared" ref="E13:E26" si="0">IF(ISERROR(C13/C$39),"",(C13/C$39))</f>
        <v/>
      </c>
      <c r="F13" s="41" t="e">
        <f>VLOOKUP($C$8,Budgets!$C$49:$X$54,3)</f>
        <v>#N/A</v>
      </c>
      <c r="G13" s="42" t="str">
        <f>IF(ISERROR($N$10*E13),"",(F13*(1+$S$10)))</f>
        <v/>
      </c>
      <c r="H13" s="26"/>
      <c r="I13" s="39">
        <f t="shared" ref="I13:I26" si="1">B13</f>
        <v>0</v>
      </c>
      <c r="J13" s="466">
        <f>SUMIF('Staff Hours'!$C$6:$C$47,"&gt;="&amp;'Weekly Minimums Planner'!$J$7,'Staff Hours'!E6:E47)-SUMIF('Staff Hours'!$C$6:$C$47,"&gt;"&amp;'Weekly Minimums Planner'!$J$8,'Staff Hours'!E6:E47)</f>
        <v>0</v>
      </c>
      <c r="K13" s="466"/>
      <c r="L13" s="40" t="str">
        <f t="shared" ref="L13:L26" si="2">IF(ISERROR(J13/J$39),"",(J13/J$39))</f>
        <v/>
      </c>
      <c r="M13" s="41" t="e">
        <f>VLOOKUP($J$8,Budgets!$C$49:$X$54,3)</f>
        <v>#N/A</v>
      </c>
      <c r="N13" s="42" t="str">
        <f>IF(ISERROR($N$10*L13),"",(M13*(1+$S$10)))</f>
        <v/>
      </c>
      <c r="O13" s="1"/>
      <c r="P13" s="42">
        <f>SUMIF('Value of Sales'!$C$6:$C$47,"&gt;="&amp;'Weekly Minimums Planner'!$J$7,'Value of Sales'!E6:E47)-SUMIF('Value of Sales'!$C$6:$C$47,"&gt;"&amp;'Weekly Minimums Planner'!$J$8,'Value of Sales'!E6:E47)</f>
        <v>0</v>
      </c>
      <c r="Q13" s="40" t="str">
        <f t="shared" ref="Q13:Q26" si="3">IF(J13&gt;0,P13/M13-1,"")</f>
        <v/>
      </c>
      <c r="R13" s="256" t="str">
        <f>IF(J13&gt;0,IF(Q13&lt;$S$7,R$6,IF(Q13&lt;$S$8,$R$7,IF(Q13&lt;$S$9,R$8,IF(Q13&lt;$S$10,$R$9,R$10)))),"")</f>
        <v/>
      </c>
      <c r="S13" s="35"/>
      <c r="T13" s="35"/>
      <c r="U13" s="1"/>
      <c r="V13" s="39">
        <f t="shared" ref="V13:V26" si="4">I13</f>
        <v>0</v>
      </c>
      <c r="W13" s="43">
        <f t="shared" ref="W13:W26" si="5">J13</f>
        <v>0</v>
      </c>
      <c r="X13" s="42">
        <f t="shared" ref="X13:X26" si="6">P13</f>
        <v>0</v>
      </c>
      <c r="Y13" s="43">
        <f>SUMIF('Num of Sales'!$C$6:$C$47,"&gt;="&amp;'Weekly Minimums Planner'!$J$7,'Num of Sales'!E6:E47)-SUMIF('Num of Sales'!$C$6:$C$47,"&gt;"&amp;'Weekly Minimums Planner'!$J$8,'Num of Sales'!E6:E47)</f>
        <v>0</v>
      </c>
      <c r="Z13" s="43">
        <f>SUMIF('Num of Lines'!$C$6:$C$47,"&gt;="&amp;'Weekly Minimums Planner'!$J$7,'Num of Lines'!E6:E47)-SUMIF('Num of Lines'!$C$6:$C$47,"&gt;"&amp;'Weekly Minimums Planner'!$J$8,'Num of Lines'!E6:E47)</f>
        <v>0</v>
      </c>
      <c r="AA13" s="1"/>
      <c r="AB13" s="42" t="str">
        <f t="shared" ref="AB13:AB26" si="7">IF(X13&lt;=0,"",X13/W13)</f>
        <v/>
      </c>
      <c r="AC13" s="44" t="str">
        <f t="shared" ref="AC13:AC26" si="8">IF(X13&lt;=0,"",Y13/W13)</f>
        <v/>
      </c>
      <c r="AD13" s="42" t="str">
        <f t="shared" ref="AD13:AD29" si="9">IF(X13=0,"",X13/Y13)</f>
        <v/>
      </c>
      <c r="AE13" s="44" t="str">
        <f t="shared" ref="AE13:AE29" si="10">IF(X13=0,"",Z13/Y13)</f>
        <v/>
      </c>
      <c r="AF13" s="1"/>
    </row>
    <row r="14" spans="1:32" s="10" customFormat="1" ht="17.25" customHeight="1">
      <c r="A14" s="1"/>
      <c r="B14" s="45" t="str">
        <f>IF('Store Details'!C16="","",'Store Details'!C16)</f>
        <v/>
      </c>
      <c r="C14" s="463" t="e">
        <f>VLOOKUP($C$7+6,'Staff Hours'!$C$49:$X$54,4)</f>
        <v>#N/A</v>
      </c>
      <c r="D14" s="463"/>
      <c r="E14" s="46" t="str">
        <f t="shared" si="0"/>
        <v/>
      </c>
      <c r="F14" s="41" t="e">
        <f>VLOOKUP($C$8,Budgets!$C$49:$X$54,4)</f>
        <v>#N/A</v>
      </c>
      <c r="G14" s="42" t="str">
        <f t="shared" ref="G14:G26" si="11">IF(ISERROR($N$10*E14),"",(F14*(1+$S$10)))</f>
        <v/>
      </c>
      <c r="H14" s="1"/>
      <c r="I14" s="45" t="str">
        <f t="shared" si="1"/>
        <v/>
      </c>
      <c r="J14" s="464">
        <f>SUMIF('Staff Hours'!$C$6:$C$47,"&gt;="&amp;'Weekly Minimums Planner'!$J$7,'Staff Hours'!F6:F47)-SUMIF('Staff Hours'!$C$6:$C$47,"&gt;"&amp;'Weekly Minimums Planner'!$J$8,'Staff Hours'!F6:F47)</f>
        <v>0</v>
      </c>
      <c r="K14" s="464"/>
      <c r="L14" s="46" t="str">
        <f t="shared" si="2"/>
        <v/>
      </c>
      <c r="M14" s="41" t="e">
        <f>VLOOKUP($J$8,Budgets!$C$49:$X$54,4)</f>
        <v>#N/A</v>
      </c>
      <c r="N14" s="42" t="str">
        <f t="shared" ref="N14:N26" si="12">IF(ISERROR($N$10*L14),"",(M14*(1+$S$10)))</f>
        <v/>
      </c>
      <c r="O14" s="1"/>
      <c r="P14" s="47">
        <f>SUMIF('Value of Sales'!$C$6:$C$47,"&gt;="&amp;'Weekly Minimums Planner'!$J$7,'Value of Sales'!F6:F47)-SUMIF('Value of Sales'!$C$6:$C$47,"&gt;"&amp;'Weekly Minimums Planner'!$J$8,'Value of Sales'!F6:F47)</f>
        <v>0</v>
      </c>
      <c r="Q14" s="46" t="str">
        <f t="shared" si="3"/>
        <v/>
      </c>
      <c r="R14" s="256" t="str">
        <f t="shared" ref="R14:R26" si="13">IF(J14&gt;0,IF(Q14&lt;$S$7,R$6,IF(Q14&lt;$S$8,$R$7,IF(Q14&lt;$S$9,R$8,IF(Q14&lt;$S$10,$R$9,R$10)))),"")</f>
        <v/>
      </c>
      <c r="S14" s="1"/>
      <c r="T14" s="1"/>
      <c r="U14" s="1"/>
      <c r="V14" s="45" t="str">
        <f t="shared" si="4"/>
        <v/>
      </c>
      <c r="W14" s="43">
        <f t="shared" si="5"/>
        <v>0</v>
      </c>
      <c r="X14" s="42">
        <f t="shared" si="6"/>
        <v>0</v>
      </c>
      <c r="Y14" s="43">
        <f>SUMIF('Num of Sales'!$C$6:$C$47,"&gt;="&amp;'Weekly Minimums Planner'!$J$7,'Num of Sales'!F6:F47)-SUMIF('Num of Sales'!$C$6:$C$47,"&gt;"&amp;'Weekly Minimums Planner'!$J$8,'Num of Sales'!F6:F47)</f>
        <v>0</v>
      </c>
      <c r="Z14" s="43">
        <f>SUMIF('Num of Lines'!$C$6:$C$47,"&gt;="&amp;'Weekly Minimums Planner'!$J$7,'Num of Lines'!F6:F47)-SUMIF('Num of Lines'!$C$6:$C$47,"&gt;"&amp;'Weekly Minimums Planner'!$J$8,'Num of Lines'!F6:F47)</f>
        <v>0</v>
      </c>
      <c r="AA14" s="1"/>
      <c r="AB14" s="42" t="str">
        <f t="shared" si="7"/>
        <v/>
      </c>
      <c r="AC14" s="44" t="str">
        <f t="shared" si="8"/>
        <v/>
      </c>
      <c r="AD14" s="42" t="str">
        <f t="shared" si="9"/>
        <v/>
      </c>
      <c r="AE14" s="44" t="str">
        <f t="shared" si="10"/>
        <v/>
      </c>
      <c r="AF14" s="1"/>
    </row>
    <row r="15" spans="1:32" s="10" customFormat="1" ht="17.25" customHeight="1">
      <c r="A15" s="1"/>
      <c r="B15" s="45" t="str">
        <f>IF('Store Details'!C17="","",'Store Details'!C17)</f>
        <v/>
      </c>
      <c r="C15" s="463" t="e">
        <f>VLOOKUP($C$7+6,'Staff Hours'!$C$49:$X$54,5)</f>
        <v>#N/A</v>
      </c>
      <c r="D15" s="463"/>
      <c r="E15" s="46" t="str">
        <f t="shared" si="0"/>
        <v/>
      </c>
      <c r="F15" s="41" t="e">
        <f>VLOOKUP($C$8,Budgets!$C$49:$X$54,5)</f>
        <v>#N/A</v>
      </c>
      <c r="G15" s="42" t="str">
        <f t="shared" si="11"/>
        <v/>
      </c>
      <c r="H15" s="26"/>
      <c r="I15" s="45" t="str">
        <f t="shared" si="1"/>
        <v/>
      </c>
      <c r="J15" s="464">
        <f>SUMIF('Staff Hours'!$C$6:$C$47,"&gt;="&amp;'Weekly Minimums Planner'!$J$7,'Staff Hours'!G6:G47)-SUMIF('Staff Hours'!$C$6:$C$47,"&gt;"&amp;'Weekly Minimums Planner'!$J$8,'Staff Hours'!G6:G47)</f>
        <v>0</v>
      </c>
      <c r="K15" s="464"/>
      <c r="L15" s="46" t="str">
        <f>IF(ISERROR(J15/J$39),"",(J15/J$39))</f>
        <v/>
      </c>
      <c r="M15" s="41" t="e">
        <f>VLOOKUP($J$8,Budgets!$C$49:$X$54,5)</f>
        <v>#N/A</v>
      </c>
      <c r="N15" s="42" t="str">
        <f t="shared" si="12"/>
        <v/>
      </c>
      <c r="O15" s="1"/>
      <c r="P15" s="47">
        <f>SUMIF('Value of Sales'!$C$6:$C$47,"&gt;="&amp;'Weekly Minimums Planner'!$J$7,'Value of Sales'!G6:G47)-SUMIF('Value of Sales'!$C$6:$C$47,"&gt;"&amp;'Weekly Minimums Planner'!$J$8,'Value of Sales'!G6:G47)</f>
        <v>0</v>
      </c>
      <c r="Q15" s="46" t="str">
        <f t="shared" si="3"/>
        <v/>
      </c>
      <c r="R15" s="256" t="str">
        <f t="shared" si="13"/>
        <v/>
      </c>
      <c r="S15" s="1"/>
      <c r="T15" s="1"/>
      <c r="U15" s="1"/>
      <c r="V15" s="45" t="str">
        <f t="shared" si="4"/>
        <v/>
      </c>
      <c r="W15" s="43">
        <f t="shared" si="5"/>
        <v>0</v>
      </c>
      <c r="X15" s="42">
        <f t="shared" si="6"/>
        <v>0</v>
      </c>
      <c r="Y15" s="43">
        <f>SUMIF('Num of Sales'!$C$6:$C$47,"&gt;="&amp;'Weekly Minimums Planner'!$J$7,'Num of Sales'!G6:G47)-SUMIF('Num of Sales'!$C$6:$C$47,"&gt;"&amp;'Weekly Minimums Planner'!$J$8,'Num of Sales'!G6:G47)</f>
        <v>0</v>
      </c>
      <c r="Z15" s="43">
        <f>SUMIF('Num of Lines'!$C$6:$C$47,"&gt;="&amp;'Weekly Minimums Planner'!$J$7,'Num of Lines'!G6:G47)-SUMIF('Num of Lines'!$C$6:$C$47,"&gt;"&amp;'Weekly Minimums Planner'!$J$8,'Num of Lines'!G6:G47)</f>
        <v>0</v>
      </c>
      <c r="AA15" s="1"/>
      <c r="AB15" s="42" t="str">
        <f t="shared" si="7"/>
        <v/>
      </c>
      <c r="AC15" s="44" t="str">
        <f t="shared" si="8"/>
        <v/>
      </c>
      <c r="AD15" s="42" t="str">
        <f t="shared" si="9"/>
        <v/>
      </c>
      <c r="AE15" s="44" t="str">
        <f t="shared" si="10"/>
        <v/>
      </c>
      <c r="AF15" s="1"/>
    </row>
    <row r="16" spans="1:32" s="10" customFormat="1" ht="17.25" customHeight="1">
      <c r="A16" s="1"/>
      <c r="B16" s="45" t="str">
        <f>IF('Store Details'!C18="","",'Store Details'!C18)</f>
        <v/>
      </c>
      <c r="C16" s="463" t="e">
        <f>VLOOKUP($C$7+6,'Staff Hours'!$C$49:$X$54,6)</f>
        <v>#N/A</v>
      </c>
      <c r="D16" s="463"/>
      <c r="E16" s="46" t="str">
        <f t="shared" si="0"/>
        <v/>
      </c>
      <c r="F16" s="41" t="e">
        <f>VLOOKUP($C$8,Budgets!$C$49:$X$54,6)</f>
        <v>#N/A</v>
      </c>
      <c r="G16" s="42" t="str">
        <f t="shared" si="11"/>
        <v/>
      </c>
      <c r="H16" s="1"/>
      <c r="I16" s="45" t="str">
        <f t="shared" si="1"/>
        <v/>
      </c>
      <c r="J16" s="464">
        <f>SUMIF('Staff Hours'!$C$6:$C$47,"&gt;="&amp;'Weekly Minimums Planner'!$J$7,'Staff Hours'!H6:H47)-SUMIF('Staff Hours'!$C$6:$C$47,"&gt;"&amp;'Weekly Minimums Planner'!$J$8,'Staff Hours'!H6:H47)</f>
        <v>0</v>
      </c>
      <c r="K16" s="464"/>
      <c r="L16" s="46" t="str">
        <f t="shared" si="2"/>
        <v/>
      </c>
      <c r="M16" s="41" t="e">
        <f>VLOOKUP($J$8,Budgets!$C$49:$X$54,6)</f>
        <v>#N/A</v>
      </c>
      <c r="N16" s="42" t="str">
        <f t="shared" si="12"/>
        <v/>
      </c>
      <c r="O16" s="1"/>
      <c r="P16" s="47">
        <f>SUMIF('Value of Sales'!$C$6:$C$47,"&gt;="&amp;'Weekly Minimums Planner'!$J$7,'Value of Sales'!H6:H47)-SUMIF('Value of Sales'!$C$6:$C$47,"&gt;"&amp;'Weekly Minimums Planner'!$J$8,'Value of Sales'!H6:H47)</f>
        <v>0</v>
      </c>
      <c r="Q16" s="46" t="str">
        <f t="shared" si="3"/>
        <v/>
      </c>
      <c r="R16" s="256" t="str">
        <f t="shared" si="13"/>
        <v/>
      </c>
      <c r="S16" s="1"/>
      <c r="T16" s="1"/>
      <c r="U16" s="1"/>
      <c r="V16" s="45" t="str">
        <f t="shared" si="4"/>
        <v/>
      </c>
      <c r="W16" s="43">
        <f t="shared" si="5"/>
        <v>0</v>
      </c>
      <c r="X16" s="42">
        <f t="shared" si="6"/>
        <v>0</v>
      </c>
      <c r="Y16" s="43">
        <f>SUMIF('Num of Sales'!$C$6:$C$47,"&gt;="&amp;'Weekly Minimums Planner'!$J$7,'Num of Sales'!H6:H47)-SUMIF('Num of Sales'!$C$6:$C$47,"&gt;"&amp;'Weekly Minimums Planner'!$J$8,'Num of Sales'!H6:H47)</f>
        <v>0</v>
      </c>
      <c r="Z16" s="43">
        <f>SUMIF('Num of Lines'!$C$6:$C$47,"&gt;="&amp;'Weekly Minimums Planner'!$J$7,'Num of Lines'!H6:H47)-SUMIF('Num of Lines'!$C$6:$C$47,"&gt;"&amp;'Weekly Minimums Planner'!$J$8,'Num of Lines'!H6:H47)</f>
        <v>0</v>
      </c>
      <c r="AA16" s="1"/>
      <c r="AB16" s="42" t="str">
        <f t="shared" si="7"/>
        <v/>
      </c>
      <c r="AC16" s="44" t="str">
        <f t="shared" si="8"/>
        <v/>
      </c>
      <c r="AD16" s="42" t="str">
        <f t="shared" si="9"/>
        <v/>
      </c>
      <c r="AE16" s="44" t="str">
        <f t="shared" si="10"/>
        <v/>
      </c>
      <c r="AF16" s="1"/>
    </row>
    <row r="17" spans="1:32" s="10" customFormat="1" ht="17.25" customHeight="1">
      <c r="A17" s="1"/>
      <c r="B17" s="45" t="str">
        <f>IF('Store Details'!C19="","",'Store Details'!C19)</f>
        <v/>
      </c>
      <c r="C17" s="463" t="e">
        <f>VLOOKUP($C$7+6,'Staff Hours'!$C$49:$X$54,7)</f>
        <v>#N/A</v>
      </c>
      <c r="D17" s="463"/>
      <c r="E17" s="46" t="str">
        <f t="shared" si="0"/>
        <v/>
      </c>
      <c r="F17" s="41" t="e">
        <f>VLOOKUP($C$8,Budgets!$C$49:$X$54,7)</f>
        <v>#N/A</v>
      </c>
      <c r="G17" s="42" t="str">
        <f t="shared" si="11"/>
        <v/>
      </c>
      <c r="H17" s="26"/>
      <c r="I17" s="45" t="str">
        <f t="shared" si="1"/>
        <v/>
      </c>
      <c r="J17" s="464">
        <f>SUMIF('Staff Hours'!$C$6:$C$47,"&gt;="&amp;'Weekly Minimums Planner'!$J$7,'Staff Hours'!I6:I47)-SUMIF('Staff Hours'!$C$6:$C$47,"&gt;"&amp;'Weekly Minimums Planner'!$J$8,'Staff Hours'!I6:I47)</f>
        <v>0</v>
      </c>
      <c r="K17" s="464"/>
      <c r="L17" s="46" t="str">
        <f t="shared" si="2"/>
        <v/>
      </c>
      <c r="M17" s="41" t="e">
        <f>VLOOKUP($J$8,Budgets!$C$49:$X$54,7)</f>
        <v>#N/A</v>
      </c>
      <c r="N17" s="42" t="str">
        <f t="shared" si="12"/>
        <v/>
      </c>
      <c r="O17" s="1"/>
      <c r="P17" s="47">
        <f>SUMIF('Value of Sales'!$C$6:$C$47,"&gt;="&amp;'Weekly Minimums Planner'!$J$7,'Value of Sales'!I6:I47)-SUMIF('Value of Sales'!$C$6:$C$47,"&gt;"&amp;'Weekly Minimums Planner'!$J$8,'Value of Sales'!I6:I47)</f>
        <v>0</v>
      </c>
      <c r="Q17" s="46" t="str">
        <f t="shared" si="3"/>
        <v/>
      </c>
      <c r="R17" s="256" t="str">
        <f t="shared" si="13"/>
        <v/>
      </c>
      <c r="S17" s="1"/>
      <c r="T17" s="1"/>
      <c r="U17" s="1"/>
      <c r="V17" s="45" t="str">
        <f t="shared" si="4"/>
        <v/>
      </c>
      <c r="W17" s="43">
        <f t="shared" si="5"/>
        <v>0</v>
      </c>
      <c r="X17" s="42">
        <f t="shared" si="6"/>
        <v>0</v>
      </c>
      <c r="Y17" s="43">
        <f>SUMIF('Num of Sales'!$C$6:$C$47,"&gt;="&amp;'Weekly Minimums Planner'!$J$7,'Num of Sales'!I6:I47)-SUMIF('Num of Sales'!$C$6:$C$47,"&gt;"&amp;'Weekly Minimums Planner'!$J$8,'Num of Sales'!I6:I47)</f>
        <v>0</v>
      </c>
      <c r="Z17" s="43">
        <f>SUMIF('Num of Lines'!$C$6:$C$47,"&gt;="&amp;'Weekly Minimums Planner'!$J$7,'Num of Lines'!I6:I47)-SUMIF('Num of Lines'!$C$6:$C$47,"&gt;"&amp;'Weekly Minimums Planner'!$J$8,'Num of Lines'!I6:I47)</f>
        <v>0</v>
      </c>
      <c r="AA17" s="1"/>
      <c r="AB17" s="42" t="str">
        <f t="shared" si="7"/>
        <v/>
      </c>
      <c r="AC17" s="44" t="str">
        <f t="shared" si="8"/>
        <v/>
      </c>
      <c r="AD17" s="42" t="str">
        <f t="shared" si="9"/>
        <v/>
      </c>
      <c r="AE17" s="44" t="str">
        <f t="shared" si="10"/>
        <v/>
      </c>
      <c r="AF17" s="1"/>
    </row>
    <row r="18" spans="1:32" s="10" customFormat="1" ht="17.25" customHeight="1">
      <c r="A18" s="1"/>
      <c r="B18" s="45" t="str">
        <f>IF('Store Details'!C20="","",'Store Details'!C20)</f>
        <v/>
      </c>
      <c r="C18" s="463" t="e">
        <f>VLOOKUP($C$7+6,'Staff Hours'!$C$49:$X$54,8)</f>
        <v>#N/A</v>
      </c>
      <c r="D18" s="463"/>
      <c r="E18" s="46" t="str">
        <f t="shared" si="0"/>
        <v/>
      </c>
      <c r="F18" s="41" t="e">
        <f>VLOOKUP($C$8,Budgets!$C$49:$X$54,8)</f>
        <v>#N/A</v>
      </c>
      <c r="G18" s="42" t="str">
        <f t="shared" si="11"/>
        <v/>
      </c>
      <c r="H18" s="1"/>
      <c r="I18" s="45" t="str">
        <f t="shared" si="1"/>
        <v/>
      </c>
      <c r="J18" s="464">
        <f>SUMIF('Staff Hours'!$C$6:$C$47,"&gt;="&amp;'Weekly Minimums Planner'!$J$7,'Staff Hours'!J6:J47)-SUMIF('Staff Hours'!$C$6:$C$47,"&gt;"&amp;'Weekly Minimums Planner'!$J$8,'Staff Hours'!J6:J47)</f>
        <v>0</v>
      </c>
      <c r="K18" s="464"/>
      <c r="L18" s="46" t="str">
        <f t="shared" si="2"/>
        <v/>
      </c>
      <c r="M18" s="41" t="e">
        <f>VLOOKUP($J$8,Budgets!$C$49:$X$54,8)</f>
        <v>#N/A</v>
      </c>
      <c r="N18" s="42" t="str">
        <f t="shared" si="12"/>
        <v/>
      </c>
      <c r="O18" s="1"/>
      <c r="P18" s="47">
        <f>SUMIF('Value of Sales'!$C$6:$C$47,"&gt;="&amp;'Weekly Minimums Planner'!$J$7,'Value of Sales'!J6:J47)-SUMIF('Value of Sales'!$C$6:$C$47,"&gt;"&amp;'Weekly Minimums Planner'!$J$8,'Value of Sales'!J6:J47)</f>
        <v>0</v>
      </c>
      <c r="Q18" s="46" t="str">
        <f t="shared" si="3"/>
        <v/>
      </c>
      <c r="R18" s="256" t="str">
        <f t="shared" si="13"/>
        <v/>
      </c>
      <c r="S18" s="1"/>
      <c r="T18" s="1"/>
      <c r="U18" s="1"/>
      <c r="V18" s="45" t="str">
        <f t="shared" si="4"/>
        <v/>
      </c>
      <c r="W18" s="43">
        <f t="shared" si="5"/>
        <v>0</v>
      </c>
      <c r="X18" s="42">
        <f t="shared" si="6"/>
        <v>0</v>
      </c>
      <c r="Y18" s="43">
        <f>SUMIF('Num of Sales'!$C$6:$C$47,"&gt;="&amp;'Weekly Minimums Planner'!$J$7,'Num of Sales'!J6:J47)-SUMIF('Num of Sales'!$C$6:$C$47,"&gt;"&amp;'Weekly Minimums Planner'!$J$8,'Num of Sales'!J6:J47)</f>
        <v>0</v>
      </c>
      <c r="Z18" s="43">
        <f>SUMIF('Num of Lines'!$C$6:$C$47,"&gt;="&amp;'Weekly Minimums Planner'!$J$7,'Num of Lines'!J6:J47)-SUMIF('Num of Lines'!$C$6:$C$47,"&gt;"&amp;'Weekly Minimums Planner'!$J$8,'Num of Lines'!J6:J47)</f>
        <v>0</v>
      </c>
      <c r="AA18" s="1"/>
      <c r="AB18" s="42" t="str">
        <f t="shared" si="7"/>
        <v/>
      </c>
      <c r="AC18" s="44" t="str">
        <f t="shared" si="8"/>
        <v/>
      </c>
      <c r="AD18" s="42" t="str">
        <f t="shared" si="9"/>
        <v/>
      </c>
      <c r="AE18" s="44" t="str">
        <f t="shared" si="10"/>
        <v/>
      </c>
      <c r="AF18" s="1"/>
    </row>
    <row r="19" spans="1:32" s="10" customFormat="1" ht="17.25" customHeight="1">
      <c r="A19" s="1"/>
      <c r="B19" s="45" t="str">
        <f>IF('Store Details'!C21="","",'Store Details'!C21)</f>
        <v/>
      </c>
      <c r="C19" s="463" t="e">
        <f>VLOOKUP($C$7+6,'Staff Hours'!$C$49:$X$54,9)</f>
        <v>#N/A</v>
      </c>
      <c r="D19" s="463"/>
      <c r="E19" s="46" t="str">
        <f t="shared" si="0"/>
        <v/>
      </c>
      <c r="F19" s="41" t="e">
        <f>VLOOKUP($C$8,Budgets!$C$49:$X$54,9)</f>
        <v>#N/A</v>
      </c>
      <c r="G19" s="42" t="str">
        <f t="shared" si="11"/>
        <v/>
      </c>
      <c r="H19" s="26"/>
      <c r="I19" s="45" t="str">
        <f t="shared" si="1"/>
        <v/>
      </c>
      <c r="J19" s="464">
        <f>SUMIF('Staff Hours'!$C$6:$C$47,"&gt;="&amp;'Weekly Minimums Planner'!$J$7,'Staff Hours'!K6:K47)-SUMIF('Staff Hours'!$C$6:$C$47,"&gt;"&amp;'Weekly Minimums Planner'!$J$8,'Staff Hours'!K6:K47)</f>
        <v>0</v>
      </c>
      <c r="K19" s="464"/>
      <c r="L19" s="46" t="str">
        <f t="shared" si="2"/>
        <v/>
      </c>
      <c r="M19" s="41" t="e">
        <f>VLOOKUP($J$8,Budgets!$C$49:$X$54,9)</f>
        <v>#N/A</v>
      </c>
      <c r="N19" s="42" t="str">
        <f t="shared" si="12"/>
        <v/>
      </c>
      <c r="O19" s="1"/>
      <c r="P19" s="47">
        <f>SUMIF('Value of Sales'!$C$6:$C$47,"&gt;="&amp;'Weekly Minimums Planner'!$J$7,'Value of Sales'!K6:K47)-SUMIF('Value of Sales'!$C$6:$C$47,"&gt;"&amp;'Weekly Minimums Planner'!$J$8,'Value of Sales'!K6:K47)</f>
        <v>0</v>
      </c>
      <c r="Q19" s="46" t="str">
        <f t="shared" si="3"/>
        <v/>
      </c>
      <c r="R19" s="256" t="str">
        <f t="shared" si="13"/>
        <v/>
      </c>
      <c r="S19" s="1"/>
      <c r="T19" s="1"/>
      <c r="U19" s="1"/>
      <c r="V19" s="45" t="str">
        <f t="shared" si="4"/>
        <v/>
      </c>
      <c r="W19" s="43">
        <f t="shared" si="5"/>
        <v>0</v>
      </c>
      <c r="X19" s="42">
        <f t="shared" si="6"/>
        <v>0</v>
      </c>
      <c r="Y19" s="43">
        <f>SUMIF('Num of Sales'!$C$6:$C$47,"&gt;="&amp;'Weekly Minimums Planner'!$J$7,'Num of Sales'!K6:K47)-SUMIF('Num of Sales'!$C$6:$C$47,"&gt;"&amp;'Weekly Minimums Planner'!$J$8,'Num of Sales'!K6:K47)</f>
        <v>0</v>
      </c>
      <c r="Z19" s="43">
        <f>SUMIF('Num of Lines'!$C$6:$C$47,"&gt;="&amp;'Weekly Minimums Planner'!$J$7,'Num of Lines'!K6:K47)-SUMIF('Num of Lines'!$C$6:$C$47,"&gt;"&amp;'Weekly Minimums Planner'!$J$8,'Num of Lines'!K6:K47)</f>
        <v>0</v>
      </c>
      <c r="AA19" s="1"/>
      <c r="AB19" s="42" t="str">
        <f t="shared" si="7"/>
        <v/>
      </c>
      <c r="AC19" s="44" t="str">
        <f t="shared" si="8"/>
        <v/>
      </c>
      <c r="AD19" s="42" t="str">
        <f t="shared" si="9"/>
        <v/>
      </c>
      <c r="AE19" s="44" t="str">
        <f t="shared" si="10"/>
        <v/>
      </c>
      <c r="AF19" s="1"/>
    </row>
    <row r="20" spans="1:32" s="10" customFormat="1" ht="17.25" customHeight="1">
      <c r="A20" s="1"/>
      <c r="B20" s="45" t="str">
        <f>IF('Store Details'!C22="","",'Store Details'!C22)</f>
        <v/>
      </c>
      <c r="C20" s="463" t="e">
        <f>VLOOKUP($C$7+6,'Staff Hours'!$C$49:$X$54,10)</f>
        <v>#N/A</v>
      </c>
      <c r="D20" s="463"/>
      <c r="E20" s="46" t="str">
        <f t="shared" si="0"/>
        <v/>
      </c>
      <c r="F20" s="41" t="e">
        <f>VLOOKUP($C$8,Budgets!$C$49:$X$54,10)</f>
        <v>#N/A</v>
      </c>
      <c r="G20" s="42" t="str">
        <f t="shared" si="11"/>
        <v/>
      </c>
      <c r="H20" s="1"/>
      <c r="I20" s="45" t="str">
        <f t="shared" si="1"/>
        <v/>
      </c>
      <c r="J20" s="464">
        <f>SUMIF('Staff Hours'!$C$6:$C$47,"&gt;="&amp;'Weekly Minimums Planner'!$J$7,'Staff Hours'!L6:L47)-SUMIF('Staff Hours'!$C$6:$C$47,"&gt;"&amp;'Weekly Minimums Planner'!$J$8,'Staff Hours'!L6:L47)</f>
        <v>0</v>
      </c>
      <c r="K20" s="464"/>
      <c r="L20" s="46" t="str">
        <f t="shared" si="2"/>
        <v/>
      </c>
      <c r="M20" s="41" t="e">
        <f>VLOOKUP($J$8,Budgets!$C$49:$X$54,10)</f>
        <v>#N/A</v>
      </c>
      <c r="N20" s="42" t="str">
        <f t="shared" si="12"/>
        <v/>
      </c>
      <c r="O20" s="1"/>
      <c r="P20" s="47">
        <f>SUMIF('Value of Sales'!$C$6:$C$47,"&gt;="&amp;'Weekly Minimums Planner'!$J$7,'Value of Sales'!L6:L47)-SUMIF('Value of Sales'!$C$6:$C$47,"&gt;"&amp;'Weekly Minimums Planner'!$J$8,'Value of Sales'!L6:L47)</f>
        <v>0</v>
      </c>
      <c r="Q20" s="46" t="str">
        <f t="shared" si="3"/>
        <v/>
      </c>
      <c r="R20" s="256" t="str">
        <f t="shared" si="13"/>
        <v/>
      </c>
      <c r="S20" s="1"/>
      <c r="T20" s="1"/>
      <c r="U20" s="1"/>
      <c r="V20" s="45" t="str">
        <f t="shared" si="4"/>
        <v/>
      </c>
      <c r="W20" s="43">
        <f t="shared" si="5"/>
        <v>0</v>
      </c>
      <c r="X20" s="42">
        <f t="shared" si="6"/>
        <v>0</v>
      </c>
      <c r="Y20" s="43">
        <f>SUMIF('Num of Sales'!$C$6:$C$47,"&gt;="&amp;'Weekly Minimums Planner'!$J$7,'Num of Sales'!L6:L47)-SUMIF('Num of Sales'!$C$6:$C$47,"&gt;"&amp;'Weekly Minimums Planner'!$J$8,'Num of Sales'!L6:L47)</f>
        <v>0</v>
      </c>
      <c r="Z20" s="43">
        <f>SUMIF('Num of Lines'!$C$6:$C$47,"&gt;="&amp;'Weekly Minimums Planner'!$J$7,'Num of Lines'!L6:L47)-SUMIF('Num of Lines'!$C$6:$C$47,"&gt;"&amp;'Weekly Minimums Planner'!$J$8,'Num of Lines'!L6:L47)</f>
        <v>0</v>
      </c>
      <c r="AA20" s="1"/>
      <c r="AB20" s="42" t="str">
        <f t="shared" si="7"/>
        <v/>
      </c>
      <c r="AC20" s="44" t="str">
        <f t="shared" si="8"/>
        <v/>
      </c>
      <c r="AD20" s="42" t="str">
        <f t="shared" si="9"/>
        <v/>
      </c>
      <c r="AE20" s="44" t="str">
        <f t="shared" si="10"/>
        <v/>
      </c>
      <c r="AF20" s="1"/>
    </row>
    <row r="21" spans="1:32" s="10" customFormat="1" ht="17.25" customHeight="1">
      <c r="A21" s="1"/>
      <c r="B21" s="45" t="str">
        <f>IF('Store Details'!C23="","",'Store Details'!C23)</f>
        <v/>
      </c>
      <c r="C21" s="463" t="e">
        <f>VLOOKUP($C$7+6,'Staff Hours'!$C$49:$X$54,11)</f>
        <v>#N/A</v>
      </c>
      <c r="D21" s="463"/>
      <c r="E21" s="46" t="str">
        <f t="shared" si="0"/>
        <v/>
      </c>
      <c r="F21" s="41" t="e">
        <f>VLOOKUP($C$8,Budgets!$C$49:$X$54,11)</f>
        <v>#N/A</v>
      </c>
      <c r="G21" s="42" t="str">
        <f t="shared" si="11"/>
        <v/>
      </c>
      <c r="H21" s="26"/>
      <c r="I21" s="45" t="str">
        <f t="shared" si="1"/>
        <v/>
      </c>
      <c r="J21" s="464">
        <f>SUMIF('Staff Hours'!$C$6:$C$47,"&gt;="&amp;'Weekly Minimums Planner'!$J$7,'Staff Hours'!M6:M47)-SUMIF('Staff Hours'!$C$6:$C$47,"&gt;"&amp;'Weekly Minimums Planner'!$J$8,'Staff Hours'!M6:M47)</f>
        <v>0</v>
      </c>
      <c r="K21" s="464"/>
      <c r="L21" s="46" t="str">
        <f t="shared" si="2"/>
        <v/>
      </c>
      <c r="M21" s="41" t="e">
        <f>VLOOKUP($J$8,Budgets!$C$49:$X$54,11)</f>
        <v>#N/A</v>
      </c>
      <c r="N21" s="42" t="str">
        <f t="shared" si="12"/>
        <v/>
      </c>
      <c r="O21" s="1"/>
      <c r="P21" s="47">
        <f>SUMIF('Value of Sales'!$C$6:$C$47,"&gt;="&amp;'Weekly Minimums Planner'!$J$7,'Value of Sales'!M6:M47)-SUMIF('Value of Sales'!$C$6:$C$47,"&gt;"&amp;'Weekly Minimums Planner'!$J$8,'Value of Sales'!M6:M47)</f>
        <v>0</v>
      </c>
      <c r="Q21" s="46" t="str">
        <f t="shared" si="3"/>
        <v/>
      </c>
      <c r="R21" s="256" t="str">
        <f t="shared" si="13"/>
        <v/>
      </c>
      <c r="S21" s="1"/>
      <c r="T21" s="1"/>
      <c r="U21" s="1"/>
      <c r="V21" s="45" t="str">
        <f t="shared" si="4"/>
        <v/>
      </c>
      <c r="W21" s="43">
        <f t="shared" si="5"/>
        <v>0</v>
      </c>
      <c r="X21" s="42">
        <f t="shared" si="6"/>
        <v>0</v>
      </c>
      <c r="Y21" s="43">
        <f>SUMIF('Num of Sales'!$C$6:$C$47,"&gt;="&amp;'Weekly Minimums Planner'!$J$7,'Num of Sales'!M6:M47)-SUMIF('Num of Sales'!$C$6:$C$47,"&gt;"&amp;'Weekly Minimums Planner'!$J$8,'Num of Sales'!M6:M47)</f>
        <v>0</v>
      </c>
      <c r="Z21" s="43">
        <f>SUMIF('Num of Lines'!$C$6:$C$47,"&gt;="&amp;'Weekly Minimums Planner'!$J$7,'Num of Lines'!M6:M47)-SUMIF('Num of Lines'!$C$6:$C$47,"&gt;"&amp;'Weekly Minimums Planner'!$J$8,'Num of Lines'!M6:M47)</f>
        <v>0</v>
      </c>
      <c r="AA21" s="1"/>
      <c r="AB21" s="42" t="str">
        <f t="shared" si="7"/>
        <v/>
      </c>
      <c r="AC21" s="44" t="str">
        <f t="shared" si="8"/>
        <v/>
      </c>
      <c r="AD21" s="42" t="str">
        <f t="shared" si="9"/>
        <v/>
      </c>
      <c r="AE21" s="44" t="str">
        <f t="shared" si="10"/>
        <v/>
      </c>
      <c r="AF21" s="1"/>
    </row>
    <row r="22" spans="1:32" s="10" customFormat="1" ht="17.25" customHeight="1">
      <c r="A22" s="1"/>
      <c r="B22" s="45" t="str">
        <f>IF('Store Details'!C24="","",'Store Details'!C24)</f>
        <v/>
      </c>
      <c r="C22" s="463" t="e">
        <f>VLOOKUP($C$7+6,'Staff Hours'!$C$49:$X$54,12)</f>
        <v>#N/A</v>
      </c>
      <c r="D22" s="463"/>
      <c r="E22" s="46" t="str">
        <f t="shared" si="0"/>
        <v/>
      </c>
      <c r="F22" s="41" t="e">
        <f>VLOOKUP($C$8,Budgets!$C$49:$X$54,12)</f>
        <v>#N/A</v>
      </c>
      <c r="G22" s="42" t="str">
        <f t="shared" si="11"/>
        <v/>
      </c>
      <c r="H22" s="1"/>
      <c r="I22" s="45" t="str">
        <f t="shared" si="1"/>
        <v/>
      </c>
      <c r="J22" s="464">
        <f>SUMIF('Staff Hours'!$C$6:$C$47,"&gt;="&amp;'Weekly Minimums Planner'!$J$7,'Staff Hours'!N6:N47)-SUMIF('Staff Hours'!$C$6:$C$47,"&gt;"&amp;'Weekly Minimums Planner'!$J$8,'Staff Hours'!N6:N47)</f>
        <v>0</v>
      </c>
      <c r="K22" s="464"/>
      <c r="L22" s="46" t="str">
        <f t="shared" si="2"/>
        <v/>
      </c>
      <c r="M22" s="41" t="e">
        <f>VLOOKUP($J$8,Budgets!$C$49:$X$54,12)</f>
        <v>#N/A</v>
      </c>
      <c r="N22" s="42" t="str">
        <f t="shared" si="12"/>
        <v/>
      </c>
      <c r="O22" s="1"/>
      <c r="P22" s="47">
        <f>SUMIF('Value of Sales'!$C$6:$C$47,"&gt;="&amp;'Weekly Minimums Planner'!$J$7,'Value of Sales'!N6:N47)-SUMIF('Value of Sales'!$C$6:$C$47,"&gt;"&amp;'Weekly Minimums Planner'!$J$8,'Value of Sales'!N6:N47)</f>
        <v>0</v>
      </c>
      <c r="Q22" s="46" t="str">
        <f t="shared" si="3"/>
        <v/>
      </c>
      <c r="R22" s="256" t="str">
        <f t="shared" si="13"/>
        <v/>
      </c>
      <c r="S22" s="1"/>
      <c r="T22" s="1"/>
      <c r="U22" s="1"/>
      <c r="V22" s="45" t="str">
        <f t="shared" si="4"/>
        <v/>
      </c>
      <c r="W22" s="43">
        <f t="shared" si="5"/>
        <v>0</v>
      </c>
      <c r="X22" s="42">
        <f t="shared" si="6"/>
        <v>0</v>
      </c>
      <c r="Y22" s="43">
        <f>SUMIF('Num of Sales'!$C$6:$C$47,"&gt;="&amp;'Weekly Minimums Planner'!$J$7,'Num of Sales'!N6:N47)-SUMIF('Num of Sales'!$C$6:$C$47,"&gt;"&amp;'Weekly Minimums Planner'!$J$8,'Num of Sales'!N6:N47)</f>
        <v>0</v>
      </c>
      <c r="Z22" s="43">
        <f>SUMIF('Num of Lines'!$C$6:$C$47,"&gt;="&amp;'Weekly Minimums Planner'!$J$7,'Num of Lines'!N6:N47)-SUMIF('Num of Lines'!$C$6:$C$47,"&gt;"&amp;'Weekly Minimums Planner'!$J$8,'Num of Lines'!N6:N47)</f>
        <v>0</v>
      </c>
      <c r="AA22" s="1"/>
      <c r="AB22" s="42" t="str">
        <f t="shared" si="7"/>
        <v/>
      </c>
      <c r="AC22" s="44" t="str">
        <f t="shared" si="8"/>
        <v/>
      </c>
      <c r="AD22" s="42" t="str">
        <f t="shared" si="9"/>
        <v/>
      </c>
      <c r="AE22" s="44" t="str">
        <f t="shared" si="10"/>
        <v/>
      </c>
      <c r="AF22" s="1"/>
    </row>
    <row r="23" spans="1:32" s="10" customFormat="1" ht="17.25" customHeight="1">
      <c r="A23" s="1"/>
      <c r="B23" s="45" t="str">
        <f>IF('Store Details'!C25="","",'Store Details'!C25)</f>
        <v/>
      </c>
      <c r="C23" s="463" t="e">
        <f>VLOOKUP($C$7+6,'Staff Hours'!$C$49:$X$54,13)</f>
        <v>#N/A</v>
      </c>
      <c r="D23" s="463"/>
      <c r="E23" s="46" t="str">
        <f t="shared" si="0"/>
        <v/>
      </c>
      <c r="F23" s="41" t="e">
        <f>VLOOKUP($C$8,Budgets!$C$49:$X$54,13)</f>
        <v>#N/A</v>
      </c>
      <c r="G23" s="42" t="str">
        <f t="shared" si="11"/>
        <v/>
      </c>
      <c r="H23" s="26"/>
      <c r="I23" s="45" t="str">
        <f t="shared" si="1"/>
        <v/>
      </c>
      <c r="J23" s="464">
        <f>SUMIF('Staff Hours'!$C$6:$C$47,"&gt;="&amp;'Weekly Minimums Planner'!$J$7,'Staff Hours'!O6:O47)-SUMIF('Staff Hours'!$C$6:$C$47,"&gt;"&amp;'Weekly Minimums Planner'!$J$8,'Staff Hours'!O6:O47)</f>
        <v>0</v>
      </c>
      <c r="K23" s="464"/>
      <c r="L23" s="46" t="str">
        <f t="shared" si="2"/>
        <v/>
      </c>
      <c r="M23" s="41" t="e">
        <f>VLOOKUP($J$8,Budgets!$C$49:$X$54,13)</f>
        <v>#N/A</v>
      </c>
      <c r="N23" s="42" t="str">
        <f t="shared" si="12"/>
        <v/>
      </c>
      <c r="O23" s="1"/>
      <c r="P23" s="47">
        <f>SUMIF('Value of Sales'!$C$6:$C$47,"&gt;="&amp;'Weekly Minimums Planner'!$J$7,'Value of Sales'!O6:O47)-SUMIF('Value of Sales'!$C$6:$C$47,"&gt;"&amp;'Weekly Minimums Planner'!$J$8,'Value of Sales'!O6:O47)</f>
        <v>0</v>
      </c>
      <c r="Q23" s="46" t="str">
        <f t="shared" si="3"/>
        <v/>
      </c>
      <c r="R23" s="256" t="str">
        <f t="shared" si="13"/>
        <v/>
      </c>
      <c r="S23" s="1"/>
      <c r="T23" s="1"/>
      <c r="U23" s="1"/>
      <c r="V23" s="45" t="str">
        <f t="shared" si="4"/>
        <v/>
      </c>
      <c r="W23" s="43">
        <f t="shared" si="5"/>
        <v>0</v>
      </c>
      <c r="X23" s="42">
        <f t="shared" si="6"/>
        <v>0</v>
      </c>
      <c r="Y23" s="43">
        <f>SUMIF('Num of Sales'!$C$6:$C$47,"&gt;="&amp;'Weekly Minimums Planner'!$J$7,'Num of Sales'!O6:O47)-SUMIF('Num of Sales'!$C$6:$C$47,"&gt;"&amp;'Weekly Minimums Planner'!$J$8,'Num of Sales'!O6:O47)</f>
        <v>0</v>
      </c>
      <c r="Z23" s="43">
        <f>SUMIF('Num of Lines'!$C$6:$C$47,"&gt;="&amp;'Weekly Minimums Planner'!$J$7,'Num of Lines'!O6:O47)-SUMIF('Num of Lines'!$C$6:$C$47,"&gt;"&amp;'Weekly Minimums Planner'!$J$8,'Num of Lines'!O6:O47)</f>
        <v>0</v>
      </c>
      <c r="AA23" s="1"/>
      <c r="AB23" s="42" t="str">
        <f t="shared" si="7"/>
        <v/>
      </c>
      <c r="AC23" s="44" t="str">
        <f t="shared" si="8"/>
        <v/>
      </c>
      <c r="AD23" s="42" t="str">
        <f t="shared" si="9"/>
        <v/>
      </c>
      <c r="AE23" s="44" t="str">
        <f t="shared" si="10"/>
        <v/>
      </c>
      <c r="AF23" s="1"/>
    </row>
    <row r="24" spans="1:32" s="10" customFormat="1" ht="17.25" customHeight="1">
      <c r="A24" s="1"/>
      <c r="B24" s="45" t="str">
        <f>IF('Store Details'!C26="","",'Store Details'!C26)</f>
        <v/>
      </c>
      <c r="C24" s="463" t="e">
        <f>VLOOKUP($C$7+6,'Staff Hours'!$C$49:$X$54,14)</f>
        <v>#N/A</v>
      </c>
      <c r="D24" s="463"/>
      <c r="E24" s="46" t="str">
        <f t="shared" si="0"/>
        <v/>
      </c>
      <c r="F24" s="41" t="e">
        <f>VLOOKUP($C$8,Budgets!$C$49:$X$54,14)</f>
        <v>#N/A</v>
      </c>
      <c r="G24" s="42" t="str">
        <f t="shared" si="11"/>
        <v/>
      </c>
      <c r="H24" s="1"/>
      <c r="I24" s="45" t="str">
        <f t="shared" si="1"/>
        <v/>
      </c>
      <c r="J24" s="464">
        <f>SUMIF('Staff Hours'!$C$6:$C$47,"&gt;="&amp;'Weekly Minimums Planner'!$J$7,'Staff Hours'!P6:P47)-SUMIF('Staff Hours'!$C$6:$C$47,"&gt;"&amp;'Weekly Minimums Planner'!$J$8,'Staff Hours'!P6:P47)</f>
        <v>0</v>
      </c>
      <c r="K24" s="464"/>
      <c r="L24" s="46" t="str">
        <f t="shared" si="2"/>
        <v/>
      </c>
      <c r="M24" s="41" t="e">
        <f>VLOOKUP($J$8,Budgets!$C$49:$X$54,14)</f>
        <v>#N/A</v>
      </c>
      <c r="N24" s="42" t="str">
        <f t="shared" si="12"/>
        <v/>
      </c>
      <c r="O24" s="1"/>
      <c r="P24" s="47">
        <f>SUMIF('Value of Sales'!$C$6:$C$47,"&gt;="&amp;'Weekly Minimums Planner'!$J$7,'Value of Sales'!P6:P47)-SUMIF('Value of Sales'!$C$6:$C$47,"&gt;"&amp;'Weekly Minimums Planner'!$J$8,'Value of Sales'!P6:P47)</f>
        <v>0</v>
      </c>
      <c r="Q24" s="46" t="str">
        <f t="shared" si="3"/>
        <v/>
      </c>
      <c r="R24" s="256" t="str">
        <f t="shared" si="13"/>
        <v/>
      </c>
      <c r="S24" s="1"/>
      <c r="T24" s="1"/>
      <c r="U24" s="1"/>
      <c r="V24" s="45" t="str">
        <f t="shared" si="4"/>
        <v/>
      </c>
      <c r="W24" s="43">
        <f t="shared" si="5"/>
        <v>0</v>
      </c>
      <c r="X24" s="42">
        <f t="shared" si="6"/>
        <v>0</v>
      </c>
      <c r="Y24" s="43">
        <f>SUMIF('Num of Sales'!$C$6:$C$47,"&gt;="&amp;'Weekly Minimums Planner'!$J$7,'Num of Sales'!P6:P47)-SUMIF('Num of Sales'!$C$6:$C$47,"&gt;"&amp;'Weekly Minimums Planner'!$J$8,'Num of Sales'!P6:P47)</f>
        <v>0</v>
      </c>
      <c r="Z24" s="43">
        <f>SUMIF('Num of Lines'!$C$6:$C$47,"&gt;="&amp;'Weekly Minimums Planner'!$J$7,'Num of Lines'!P6:P47)-SUMIF('Num of Lines'!$C$6:$C$47,"&gt;"&amp;'Weekly Minimums Planner'!$J$8,'Num of Lines'!P6:P47)</f>
        <v>0</v>
      </c>
      <c r="AA24" s="1"/>
      <c r="AB24" s="42" t="str">
        <f t="shared" si="7"/>
        <v/>
      </c>
      <c r="AC24" s="44" t="str">
        <f t="shared" si="8"/>
        <v/>
      </c>
      <c r="AD24" s="42" t="str">
        <f t="shared" si="9"/>
        <v/>
      </c>
      <c r="AE24" s="44" t="str">
        <f t="shared" si="10"/>
        <v/>
      </c>
      <c r="AF24" s="1"/>
    </row>
    <row r="25" spans="1:32" s="10" customFormat="1" ht="17.25" customHeight="1">
      <c r="A25" s="1"/>
      <c r="B25" s="45" t="str">
        <f>IF('Store Details'!C27="","",'Store Details'!C27)</f>
        <v/>
      </c>
      <c r="C25" s="463" t="e">
        <f>VLOOKUP($C$7+6,'Staff Hours'!$C$49:$X$54,15)</f>
        <v>#N/A</v>
      </c>
      <c r="D25" s="463"/>
      <c r="E25" s="46" t="str">
        <f t="shared" si="0"/>
        <v/>
      </c>
      <c r="F25" s="41" t="e">
        <f>VLOOKUP($C$8,Budgets!$C$49:$X$54,15)</f>
        <v>#N/A</v>
      </c>
      <c r="G25" s="42" t="str">
        <f t="shared" si="11"/>
        <v/>
      </c>
      <c r="H25" s="26"/>
      <c r="I25" s="45" t="str">
        <f t="shared" si="1"/>
        <v/>
      </c>
      <c r="J25" s="464">
        <f>SUMIF('Staff Hours'!$C$6:$C$47,"&gt;="&amp;'Weekly Minimums Planner'!$J$7,'Staff Hours'!Q6:Q47)-SUMIF('Staff Hours'!$C$6:$C$47,"&gt;"&amp;'Weekly Minimums Planner'!$J$8,'Staff Hours'!Q6:Q47)</f>
        <v>0</v>
      </c>
      <c r="K25" s="464"/>
      <c r="L25" s="46" t="str">
        <f t="shared" si="2"/>
        <v/>
      </c>
      <c r="M25" s="41" t="e">
        <f>VLOOKUP($J$8,Budgets!$C$49:$X$54,15)</f>
        <v>#N/A</v>
      </c>
      <c r="N25" s="42" t="str">
        <f t="shared" si="12"/>
        <v/>
      </c>
      <c r="O25" s="1"/>
      <c r="P25" s="47">
        <f>SUMIF('Value of Sales'!$C$6:$C$47,"&gt;="&amp;'Weekly Minimums Planner'!$J$7,'Value of Sales'!Q6:Q47)-SUMIF('Value of Sales'!$C$6:$C$47,"&gt;"&amp;'Weekly Minimums Planner'!$J$8,'Value of Sales'!Q6:Q47)</f>
        <v>0</v>
      </c>
      <c r="Q25" s="46" t="str">
        <f t="shared" si="3"/>
        <v/>
      </c>
      <c r="R25" s="256" t="str">
        <f t="shared" si="13"/>
        <v/>
      </c>
      <c r="S25" s="1"/>
      <c r="T25" s="1"/>
      <c r="U25" s="1"/>
      <c r="V25" s="45" t="str">
        <f t="shared" si="4"/>
        <v/>
      </c>
      <c r="W25" s="43">
        <f t="shared" si="5"/>
        <v>0</v>
      </c>
      <c r="X25" s="42">
        <f t="shared" si="6"/>
        <v>0</v>
      </c>
      <c r="Y25" s="43">
        <f>SUMIF('Num of Sales'!$C$6:$C$47,"&gt;="&amp;'Weekly Minimums Planner'!$J$7,'Num of Sales'!Q6:Q47)-SUMIF('Num of Sales'!$C$6:$C$47,"&gt;"&amp;'Weekly Minimums Planner'!$J$8,'Num of Sales'!Q6:Q47)</f>
        <v>0</v>
      </c>
      <c r="Z25" s="43">
        <f>SUMIF('Num of Lines'!$C$6:$C$47,"&gt;="&amp;'Weekly Minimums Planner'!$J$7,'Num of Lines'!Q6:Q47)-SUMIF('Num of Lines'!$C$6:$C$47,"&gt;"&amp;'Weekly Minimums Planner'!$J$8,'Num of Lines'!Q6:Q47)</f>
        <v>0</v>
      </c>
      <c r="AA25" s="1"/>
      <c r="AB25" s="42" t="str">
        <f t="shared" si="7"/>
        <v/>
      </c>
      <c r="AC25" s="44" t="str">
        <f t="shared" si="8"/>
        <v/>
      </c>
      <c r="AD25" s="42" t="str">
        <f t="shared" si="9"/>
        <v/>
      </c>
      <c r="AE25" s="44" t="str">
        <f t="shared" si="10"/>
        <v/>
      </c>
      <c r="AF25" s="1"/>
    </row>
    <row r="26" spans="1:32" s="10" customFormat="1" ht="17.25" customHeight="1">
      <c r="A26" s="1"/>
      <c r="B26" s="45" t="str">
        <f>IF('Store Details'!C28="","",'Store Details'!C28)</f>
        <v/>
      </c>
      <c r="C26" s="463" t="e">
        <f>VLOOKUP($C$7+6,'Staff Hours'!$C$49:$X$54,16)</f>
        <v>#N/A</v>
      </c>
      <c r="D26" s="463"/>
      <c r="E26" s="49" t="str">
        <f t="shared" si="0"/>
        <v/>
      </c>
      <c r="F26" s="41" t="e">
        <f>VLOOKUP($C$8,Budgets!$C$49:$X$54,16)</f>
        <v>#N/A</v>
      </c>
      <c r="G26" s="42" t="str">
        <f t="shared" si="11"/>
        <v/>
      </c>
      <c r="H26" s="1"/>
      <c r="I26" s="48" t="str">
        <f t="shared" si="1"/>
        <v/>
      </c>
      <c r="J26" s="467">
        <f>SUMIF('Staff Hours'!$C$6:$C$47,"&gt;="&amp;'Weekly Minimums Planner'!$J$7,'Staff Hours'!R6:R47)-SUMIF('Staff Hours'!$C$6:$C$47,"&gt;"&amp;'Weekly Minimums Planner'!$J$8,'Staff Hours'!R6:R47)</f>
        <v>0</v>
      </c>
      <c r="K26" s="467"/>
      <c r="L26" s="49" t="str">
        <f t="shared" si="2"/>
        <v/>
      </c>
      <c r="M26" s="41" t="e">
        <f>VLOOKUP($J$8,Budgets!$C$49:$X$54,16)</f>
        <v>#N/A</v>
      </c>
      <c r="N26" s="42" t="str">
        <f t="shared" si="12"/>
        <v/>
      </c>
      <c r="O26" s="1"/>
      <c r="P26" s="50">
        <f>SUMIF('Value of Sales'!$C$6:$C$47,"&gt;="&amp;'Weekly Minimums Planner'!$J$7,'Value of Sales'!R6:R47)-SUMIF('Value of Sales'!$C$6:$C$47,"&gt;"&amp;'Weekly Minimums Planner'!$J$8,'Value of Sales'!R6:R47)</f>
        <v>0</v>
      </c>
      <c r="Q26" s="49" t="str">
        <f t="shared" si="3"/>
        <v/>
      </c>
      <c r="R26" s="256" t="str">
        <f t="shared" si="13"/>
        <v/>
      </c>
      <c r="S26" s="1"/>
      <c r="T26" s="1"/>
      <c r="U26" s="1"/>
      <c r="V26" s="48" t="str">
        <f t="shared" si="4"/>
        <v/>
      </c>
      <c r="W26" s="43">
        <f t="shared" si="5"/>
        <v>0</v>
      </c>
      <c r="X26" s="42">
        <f t="shared" si="6"/>
        <v>0</v>
      </c>
      <c r="Y26" s="43">
        <f>SUMIF('Num of Sales'!$C$6:$C$47,"&gt;="&amp;'Weekly Minimums Planner'!$J$7,'Num of Sales'!R6:R47)-SUMIF('Num of Sales'!$C$6:$C$47,"&gt;"&amp;'Weekly Minimums Planner'!$J$8,'Num of Sales'!R6:R47)</f>
        <v>0</v>
      </c>
      <c r="Z26" s="43">
        <f>SUMIF('Num of Lines'!$C$6:$C$47,"&gt;="&amp;'Weekly Minimums Planner'!$J$7,'Num of Lines'!R6:R47)-SUMIF('Num of Lines'!$C$6:$C$47,"&gt;"&amp;'Weekly Minimums Planner'!$J$8,'Num of Lines'!R6:R47)</f>
        <v>0</v>
      </c>
      <c r="AA26" s="1"/>
      <c r="AB26" s="51" t="str">
        <f t="shared" si="7"/>
        <v/>
      </c>
      <c r="AC26" s="52" t="str">
        <f t="shared" si="8"/>
        <v/>
      </c>
      <c r="AD26" s="51" t="str">
        <f t="shared" si="9"/>
        <v/>
      </c>
      <c r="AE26" s="52" t="str">
        <f t="shared" si="10"/>
        <v/>
      </c>
      <c r="AF26" s="1"/>
    </row>
    <row r="27" spans="1:32" s="10" customFormat="1" ht="4.5" customHeight="1">
      <c r="A27" s="1"/>
      <c r="B27" s="24"/>
      <c r="C27" s="24"/>
      <c r="D27" s="24"/>
      <c r="E27" s="26"/>
      <c r="F27" s="26"/>
      <c r="G27" s="26"/>
      <c r="H27" s="26"/>
      <c r="I27" s="24"/>
      <c r="J27" s="24"/>
      <c r="K27" s="24"/>
      <c r="L27" s="26"/>
      <c r="M27" s="26"/>
      <c r="N27" s="26"/>
      <c r="O27" s="1"/>
      <c r="P27" s="1"/>
      <c r="Q27" s="1"/>
      <c r="R27" s="1"/>
      <c r="S27" s="1"/>
      <c r="T27" s="1"/>
      <c r="U27" s="1"/>
      <c r="V27" s="24"/>
      <c r="W27" s="1"/>
      <c r="X27" s="1"/>
      <c r="Y27" s="1"/>
      <c r="Z27" s="1"/>
      <c r="AA27" s="1"/>
      <c r="AB27" s="1"/>
      <c r="AC27" s="1"/>
      <c r="AD27" s="1" t="str">
        <f t="shared" si="9"/>
        <v/>
      </c>
      <c r="AE27" s="1" t="str">
        <f t="shared" si="10"/>
        <v/>
      </c>
      <c r="AF27" s="1"/>
    </row>
    <row r="28" spans="1:32" s="10" customFormat="1" ht="4.5" customHeight="1">
      <c r="A28" s="1"/>
      <c r="B28" s="24"/>
      <c r="C28" s="24"/>
      <c r="D28" s="24"/>
      <c r="E28" s="26"/>
      <c r="F28" s="26"/>
      <c r="G28" s="26"/>
      <c r="H28" s="26"/>
      <c r="I28" s="24"/>
      <c r="J28" s="24"/>
      <c r="K28" s="24"/>
      <c r="L28" s="26"/>
      <c r="M28" s="26"/>
      <c r="N28" s="26"/>
      <c r="O28" s="1"/>
      <c r="P28" s="1"/>
      <c r="Q28" s="1"/>
      <c r="R28" s="1"/>
      <c r="S28" s="1"/>
      <c r="T28" s="1"/>
      <c r="U28" s="1"/>
      <c r="V28" s="24"/>
      <c r="W28" s="1"/>
      <c r="X28" s="1"/>
      <c r="Y28" s="1"/>
      <c r="Z28" s="1"/>
      <c r="AA28" s="1"/>
      <c r="AB28" s="1"/>
      <c r="AC28" s="1"/>
      <c r="AD28" s="1" t="str">
        <f t="shared" si="9"/>
        <v/>
      </c>
      <c r="AE28" s="1" t="str">
        <f t="shared" si="10"/>
        <v/>
      </c>
      <c r="AF28" s="1"/>
    </row>
    <row r="29" spans="1:32" s="10" customFormat="1" ht="4.5" customHeight="1">
      <c r="A29" s="1"/>
      <c r="B29" s="24"/>
      <c r="C29" s="24"/>
      <c r="D29" s="24"/>
      <c r="E29" s="26"/>
      <c r="F29" s="26"/>
      <c r="G29" s="26"/>
      <c r="H29" s="26"/>
      <c r="I29" s="24"/>
      <c r="J29" s="24"/>
      <c r="K29" s="24"/>
      <c r="L29" s="26"/>
      <c r="M29" s="26"/>
      <c r="N29" s="26"/>
      <c r="O29" s="1"/>
      <c r="P29" s="1"/>
      <c r="Q29" s="1"/>
      <c r="R29" s="1"/>
      <c r="S29" s="1"/>
      <c r="T29" s="1"/>
      <c r="U29" s="1"/>
      <c r="V29" s="24"/>
      <c r="W29" s="1"/>
      <c r="X29" s="1"/>
      <c r="Y29" s="1"/>
      <c r="Z29" s="1"/>
      <c r="AA29" s="1"/>
      <c r="AB29" s="1"/>
      <c r="AC29" s="1"/>
      <c r="AD29" s="1" t="str">
        <f t="shared" si="9"/>
        <v/>
      </c>
      <c r="AE29" s="1" t="str">
        <f t="shared" si="10"/>
        <v/>
      </c>
      <c r="AF29" s="1"/>
    </row>
    <row r="30" spans="1:32" s="38" customFormat="1" ht="12.75" customHeight="1">
      <c r="A30" s="35"/>
      <c r="B30" s="373" t="s">
        <v>87</v>
      </c>
      <c r="C30" s="465" t="s">
        <v>88</v>
      </c>
      <c r="D30" s="465"/>
      <c r="E30" s="373" t="s">
        <v>100</v>
      </c>
      <c r="F30" s="373" t="s">
        <v>90</v>
      </c>
      <c r="G30" s="373" t="s">
        <v>101</v>
      </c>
      <c r="H30" s="1"/>
      <c r="I30" s="373" t="s">
        <v>87</v>
      </c>
      <c r="J30" s="465" t="s">
        <v>92</v>
      </c>
      <c r="K30" s="465"/>
      <c r="L30" s="373" t="s">
        <v>100</v>
      </c>
      <c r="M30" s="373" t="s">
        <v>90</v>
      </c>
      <c r="N30" s="373" t="s">
        <v>101</v>
      </c>
      <c r="O30" s="36"/>
      <c r="P30" s="373" t="s">
        <v>102</v>
      </c>
      <c r="Q30" s="373" t="s">
        <v>93</v>
      </c>
      <c r="R30" s="373" t="s">
        <v>94</v>
      </c>
      <c r="S30" s="35"/>
      <c r="T30" s="35"/>
      <c r="U30" s="35"/>
      <c r="V30" s="373" t="s">
        <v>87</v>
      </c>
      <c r="W30" s="373" t="s">
        <v>95</v>
      </c>
      <c r="X30" s="373" t="s">
        <v>58</v>
      </c>
      <c r="Y30" s="373" t="s">
        <v>59</v>
      </c>
      <c r="Z30" s="373" t="s">
        <v>60</v>
      </c>
      <c r="AA30" s="37"/>
      <c r="AB30" s="373" t="s">
        <v>96</v>
      </c>
      <c r="AC30" s="373" t="s">
        <v>97</v>
      </c>
      <c r="AD30" s="373" t="str">
        <f>AD12</f>
        <v>Average Sale</v>
      </c>
      <c r="AE30" s="373" t="str">
        <f>AE12</f>
        <v>Lines Per Sale</v>
      </c>
      <c r="AF30" s="35"/>
    </row>
    <row r="31" spans="1:32" s="10" customFormat="1" ht="17.25" customHeight="1">
      <c r="A31" s="1"/>
      <c r="B31" s="45" t="str">
        <f>IF('Store Details'!C29="","",'Store Details'!C29)</f>
        <v/>
      </c>
      <c r="C31" s="463" t="e">
        <f>VLOOKUP($C$7+6,'Staff Hours'!$C$49:$X$54,17)</f>
        <v>#N/A</v>
      </c>
      <c r="D31" s="463"/>
      <c r="E31" s="40" t="str">
        <f t="shared" ref="E31:E36" si="14">IF(ISERROR(C31/C$39),"",(C31/C$39))</f>
        <v/>
      </c>
      <c r="F31" s="41" t="e">
        <f>VLOOKUP($C$8,Budgets!$C$49:$X$54,17)</f>
        <v>#N/A</v>
      </c>
      <c r="G31" s="42" t="str">
        <f t="shared" ref="G31:G36" si="15">IF(ISERROR($N$10*E31),"",(F31*(1+$S$10)))</f>
        <v/>
      </c>
      <c r="H31" s="26"/>
      <c r="I31" s="39" t="str">
        <f t="shared" ref="I31:I37" si="16">B31</f>
        <v/>
      </c>
      <c r="J31" s="466">
        <f>SUMIF('Staff Hours'!$C$6:$C$47,"&gt;="&amp;'Weekly Minimums Planner'!$J$7,'Staff Hours'!S6:S47)-SUMIF('Staff Hours'!$C$6:$C$47,"&gt;"&amp;'Weekly Minimums Planner'!$J$8,'Staff Hours'!S6:S47)</f>
        <v>0</v>
      </c>
      <c r="K31" s="466"/>
      <c r="L31" s="40" t="str">
        <f t="shared" ref="L31:L36" si="17">IF(ISERROR(J31/J$39),"",(J31/J$39))</f>
        <v/>
      </c>
      <c r="M31" s="41" t="e">
        <f>VLOOKUP($J$8,Budgets!$C$49:$X$54,17)</f>
        <v>#N/A</v>
      </c>
      <c r="N31" s="42" t="str">
        <f t="shared" ref="N31:N36" si="18">IF(ISERROR($N$10*L31),"",(M31*(1+$S$10)))</f>
        <v/>
      </c>
      <c r="O31" s="1"/>
      <c r="P31" s="42">
        <f>SUMIF('Value of Sales'!$C$6:$C$47,"&gt;="&amp;'Weekly Minimums Planner'!$J$7,'Value of Sales'!S6:S47)-SUMIF('Value of Sales'!$C$6:$C$47,"&gt;"&amp;'Weekly Minimums Planner'!$J$8,'Value of Sales'!S6:S47)</f>
        <v>0</v>
      </c>
      <c r="Q31" s="40" t="str">
        <f t="shared" ref="Q31:Q36" si="19">IF(J31&gt;0,P31/M31-1,"")</f>
        <v/>
      </c>
      <c r="R31" s="256" t="str">
        <f t="shared" ref="R31:R36" si="20">IF(J31&gt;0,IF(Q31&lt;$S$7,R$6,IF(Q31&lt;$S$8,$R$7,IF(Q31&lt;$S$9,R$8,IF(Q31&lt;$S$10,$R$9,R$10)))),"")</f>
        <v/>
      </c>
      <c r="S31" s="1"/>
      <c r="T31" s="1"/>
      <c r="U31" s="1"/>
      <c r="V31" s="39" t="str">
        <f t="shared" ref="V31:W36" si="21">I31</f>
        <v/>
      </c>
      <c r="W31" s="43">
        <f t="shared" si="21"/>
        <v>0</v>
      </c>
      <c r="X31" s="42">
        <f t="shared" ref="X31:X37" si="22">P31</f>
        <v>0</v>
      </c>
      <c r="Y31" s="43">
        <f>SUMIF('Num of Sales'!$C$6:$C$47,"&gt;="&amp;'Weekly Minimums Planner'!$J$7,'Num of Sales'!S6:S47)-SUMIF('Num of Sales'!$C$6:$C$47,"&gt;"&amp;'Weekly Minimums Planner'!$J$8,'Num of Sales'!S6:S47)</f>
        <v>0</v>
      </c>
      <c r="Z31" s="43">
        <f>SUMIF('Num of Lines'!$C$6:$C$47,"&gt;="&amp;'Weekly Minimums Planner'!$J$7,'Num of Lines'!S6:S47)-SUMIF('Num of Lines'!$C$6:$C$47,"&gt;"&amp;'Weekly Minimums Planner'!$J$8,'Num of Lines'!S6:S47)</f>
        <v>0</v>
      </c>
      <c r="AA31" s="1"/>
      <c r="AB31" s="42" t="str">
        <f t="shared" ref="AB31:AB36" si="23">IF(X31&lt;=0,"",X31/W31)</f>
        <v/>
      </c>
      <c r="AC31" s="44" t="str">
        <f t="shared" ref="AC31:AC36" si="24">IF(X31&lt;=0,"",Y31/W31)</f>
        <v/>
      </c>
      <c r="AD31" s="42" t="str">
        <f t="shared" ref="AD31:AD37" si="25">IF(X31=0,"",X31/Y31)</f>
        <v/>
      </c>
      <c r="AE31" s="44" t="str">
        <f t="shared" ref="AE31:AE37" si="26">IF(X31=0,"",Z31/Y31)</f>
        <v/>
      </c>
      <c r="AF31" s="1"/>
    </row>
    <row r="32" spans="1:32" s="10" customFormat="1" ht="17.25" customHeight="1">
      <c r="A32" s="1"/>
      <c r="B32" s="45" t="str">
        <f>IF('Store Details'!C30="","",'Store Details'!C30)</f>
        <v/>
      </c>
      <c r="C32" s="463" t="e">
        <f>VLOOKUP($C$7+6,'Staff Hours'!$C$49:$X$54,18)</f>
        <v>#N/A</v>
      </c>
      <c r="D32" s="463"/>
      <c r="E32" s="46" t="str">
        <f t="shared" si="14"/>
        <v/>
      </c>
      <c r="F32" s="41" t="e">
        <f>VLOOKUP($C$8,Budgets!$C$49:$X$54,18)</f>
        <v>#N/A</v>
      </c>
      <c r="G32" s="42" t="str">
        <f t="shared" si="15"/>
        <v/>
      </c>
      <c r="H32" s="1"/>
      <c r="I32" s="45" t="str">
        <f t="shared" si="16"/>
        <v/>
      </c>
      <c r="J32" s="464">
        <f>SUMIF('Staff Hours'!$C$6:$C$47,"&gt;="&amp;'Weekly Minimums Planner'!$J$7,'Staff Hours'!T6:T47)-SUMIF('Staff Hours'!$C$6:$C$47,"&gt;"&amp;'Weekly Minimums Planner'!$J$8,'Staff Hours'!T6:T47)</f>
        <v>0</v>
      </c>
      <c r="K32" s="464"/>
      <c r="L32" s="46" t="str">
        <f t="shared" si="17"/>
        <v/>
      </c>
      <c r="M32" s="41" t="e">
        <f>VLOOKUP($J$8,Budgets!$C$49:$X$54,18)</f>
        <v>#N/A</v>
      </c>
      <c r="N32" s="42" t="str">
        <f t="shared" si="18"/>
        <v/>
      </c>
      <c r="O32" s="1"/>
      <c r="P32" s="47">
        <f>SUMIF('Value of Sales'!$C$6:$C$47,"&gt;="&amp;'Weekly Minimums Planner'!$J$7,'Value of Sales'!T6:T47)-SUMIF('Value of Sales'!$C$6:$C$47,"&gt;"&amp;'Weekly Minimums Planner'!$J$8,'Value of Sales'!T6:T47)</f>
        <v>0</v>
      </c>
      <c r="Q32" s="46" t="str">
        <f t="shared" si="19"/>
        <v/>
      </c>
      <c r="R32" s="256" t="str">
        <f t="shared" si="20"/>
        <v/>
      </c>
      <c r="S32" s="1"/>
      <c r="T32" s="1"/>
      <c r="U32" s="1"/>
      <c r="V32" s="45" t="str">
        <f t="shared" si="21"/>
        <v/>
      </c>
      <c r="W32" s="43">
        <f t="shared" si="21"/>
        <v>0</v>
      </c>
      <c r="X32" s="42">
        <f t="shared" si="22"/>
        <v>0</v>
      </c>
      <c r="Y32" s="43">
        <f>SUMIF('Num of Sales'!$C$6:$C$47,"&gt;="&amp;'Weekly Minimums Planner'!$J$7,'Num of Sales'!T6:T47)-SUMIF('Num of Sales'!$C$6:$C$47,"&gt;"&amp;'Weekly Minimums Planner'!$J$8,'Num of Sales'!T6:T47)</f>
        <v>0</v>
      </c>
      <c r="Z32" s="43">
        <f>SUMIF('Num of Lines'!$C$6:$C$47,"&gt;="&amp;'Weekly Minimums Planner'!$J$7,'Num of Lines'!T6:T47)-SUMIF('Num of Lines'!$C$6:$C$47,"&gt;"&amp;'Weekly Minimums Planner'!$J$8,'Num of Lines'!T6:T47)</f>
        <v>0</v>
      </c>
      <c r="AA32" s="1"/>
      <c r="AB32" s="42" t="str">
        <f t="shared" si="23"/>
        <v/>
      </c>
      <c r="AC32" s="44" t="str">
        <f t="shared" si="24"/>
        <v/>
      </c>
      <c r="AD32" s="42" t="str">
        <f t="shared" si="25"/>
        <v/>
      </c>
      <c r="AE32" s="44" t="str">
        <f t="shared" si="26"/>
        <v/>
      </c>
      <c r="AF32" s="1"/>
    </row>
    <row r="33" spans="1:32" s="10" customFormat="1" ht="17.25" customHeight="1">
      <c r="A33" s="1"/>
      <c r="B33" s="45" t="str">
        <f>IF('Store Details'!C31="","",'Store Details'!C31)</f>
        <v/>
      </c>
      <c r="C33" s="463" t="e">
        <f>VLOOKUP($C$7+6,'Staff Hours'!$C$49:$X$54,19)</f>
        <v>#N/A</v>
      </c>
      <c r="D33" s="463"/>
      <c r="E33" s="46" t="str">
        <f t="shared" si="14"/>
        <v/>
      </c>
      <c r="F33" s="41" t="e">
        <f>VLOOKUP($C$8,Budgets!$C$49:$X$54,19)</f>
        <v>#N/A</v>
      </c>
      <c r="G33" s="42" t="str">
        <f t="shared" si="15"/>
        <v/>
      </c>
      <c r="H33" s="26"/>
      <c r="I33" s="45" t="str">
        <f t="shared" si="16"/>
        <v/>
      </c>
      <c r="J33" s="464">
        <f>SUMIF('Staff Hours'!$C$6:$C$47,"&gt;="&amp;'Weekly Minimums Planner'!$J$7,'Staff Hours'!U6:U47)-SUMIF('Staff Hours'!$C$6:$C$47,"&gt;"&amp;'Weekly Minimums Planner'!$J$8,'Staff Hours'!U6:U47)</f>
        <v>0</v>
      </c>
      <c r="K33" s="464"/>
      <c r="L33" s="46" t="str">
        <f t="shared" si="17"/>
        <v/>
      </c>
      <c r="M33" s="41" t="e">
        <f>VLOOKUP($J$8,Budgets!$C$49:$X$54,19)</f>
        <v>#N/A</v>
      </c>
      <c r="N33" s="42" t="str">
        <f t="shared" si="18"/>
        <v/>
      </c>
      <c r="O33" s="1"/>
      <c r="P33" s="47">
        <f>SUMIF('Value of Sales'!$C$6:$C$47,"&gt;="&amp;'Weekly Minimums Planner'!$J$7,'Value of Sales'!U6:U47)-SUMIF('Value of Sales'!$C$6:$C$47,"&gt;"&amp;'Weekly Minimums Planner'!$J$8,'Value of Sales'!U6:U47)</f>
        <v>0</v>
      </c>
      <c r="Q33" s="46" t="str">
        <f t="shared" si="19"/>
        <v/>
      </c>
      <c r="R33" s="256" t="str">
        <f t="shared" si="20"/>
        <v/>
      </c>
      <c r="S33" s="1"/>
      <c r="T33" s="1"/>
      <c r="U33" s="1"/>
      <c r="V33" s="45" t="str">
        <f t="shared" si="21"/>
        <v/>
      </c>
      <c r="W33" s="43">
        <f t="shared" si="21"/>
        <v>0</v>
      </c>
      <c r="X33" s="42">
        <f t="shared" si="22"/>
        <v>0</v>
      </c>
      <c r="Y33" s="43">
        <f>SUMIF('Num of Sales'!$C$6:$C$47,"&gt;="&amp;'Weekly Minimums Planner'!$J$7,'Num of Sales'!U6:U47)-SUMIF('Num of Sales'!$C$6:$C$47,"&gt;"&amp;'Weekly Minimums Planner'!$J$8,'Num of Sales'!U6:U47)</f>
        <v>0</v>
      </c>
      <c r="Z33" s="43">
        <f>SUMIF('Num of Lines'!$C$6:$C$47,"&gt;="&amp;'Weekly Minimums Planner'!$J$7,'Num of Lines'!U6:U47)-SUMIF('Num of Lines'!$C$6:$C$47,"&gt;"&amp;'Weekly Minimums Planner'!$J$8,'Num of Lines'!U6:U47)</f>
        <v>0</v>
      </c>
      <c r="AA33" s="1"/>
      <c r="AB33" s="42" t="str">
        <f t="shared" si="23"/>
        <v/>
      </c>
      <c r="AC33" s="44" t="str">
        <f t="shared" si="24"/>
        <v/>
      </c>
      <c r="AD33" s="42" t="str">
        <f t="shared" si="25"/>
        <v/>
      </c>
      <c r="AE33" s="44" t="str">
        <f t="shared" si="26"/>
        <v/>
      </c>
      <c r="AF33" s="1"/>
    </row>
    <row r="34" spans="1:32" s="10" customFormat="1" ht="17.25" customHeight="1">
      <c r="A34" s="1"/>
      <c r="B34" s="45" t="str">
        <f>IF('Store Details'!C32="","",'Store Details'!C32)</f>
        <v/>
      </c>
      <c r="C34" s="463" t="e">
        <f>VLOOKUP($C$7+6,'Staff Hours'!$C$49:$X$54,20)</f>
        <v>#N/A</v>
      </c>
      <c r="D34" s="463"/>
      <c r="E34" s="46" t="str">
        <f t="shared" si="14"/>
        <v/>
      </c>
      <c r="F34" s="41" t="e">
        <f>VLOOKUP($C$8,Budgets!$C$49:$X$54,20)</f>
        <v>#N/A</v>
      </c>
      <c r="G34" s="42" t="str">
        <f t="shared" si="15"/>
        <v/>
      </c>
      <c r="H34" s="1"/>
      <c r="I34" s="45" t="str">
        <f t="shared" si="16"/>
        <v/>
      </c>
      <c r="J34" s="464">
        <f>SUMIF('Staff Hours'!$C$6:$C$47,"&gt;="&amp;'Weekly Minimums Planner'!$J$7,'Staff Hours'!V6:V47)-SUMIF('Staff Hours'!$C$6:$C$47,"&gt;"&amp;'Weekly Minimums Planner'!$J$8,'Staff Hours'!V6:V47)</f>
        <v>0</v>
      </c>
      <c r="K34" s="464"/>
      <c r="L34" s="46" t="str">
        <f t="shared" si="17"/>
        <v/>
      </c>
      <c r="M34" s="41" t="e">
        <f>VLOOKUP($J$8,Budgets!$C$49:$X$54,20)</f>
        <v>#N/A</v>
      </c>
      <c r="N34" s="42" t="str">
        <f t="shared" si="18"/>
        <v/>
      </c>
      <c r="O34" s="1"/>
      <c r="P34" s="47">
        <f>SUMIF('Value of Sales'!$C$6:$C$47,"&gt;="&amp;'Weekly Minimums Planner'!$J$7,'Value of Sales'!V6:V47)-SUMIF('Value of Sales'!$C$6:$C$47,"&gt;"&amp;'Weekly Minimums Planner'!$J$8,'Value of Sales'!V6:V47)</f>
        <v>0</v>
      </c>
      <c r="Q34" s="46" t="str">
        <f t="shared" si="19"/>
        <v/>
      </c>
      <c r="R34" s="256" t="str">
        <f t="shared" si="20"/>
        <v/>
      </c>
      <c r="S34" s="1"/>
      <c r="T34" s="1"/>
      <c r="U34" s="1"/>
      <c r="V34" s="45" t="str">
        <f t="shared" si="21"/>
        <v/>
      </c>
      <c r="W34" s="43">
        <f t="shared" si="21"/>
        <v>0</v>
      </c>
      <c r="X34" s="42">
        <f t="shared" si="22"/>
        <v>0</v>
      </c>
      <c r="Y34" s="43">
        <f>SUMIF('Num of Sales'!$C$6:$C$47,"&gt;="&amp;'Weekly Minimums Planner'!$J$7,'Num of Sales'!V6:V47)-SUMIF('Num of Sales'!$C$6:$C$47,"&gt;"&amp;'Weekly Minimums Planner'!$J$8,'Num of Sales'!V6:V47)</f>
        <v>0</v>
      </c>
      <c r="Z34" s="43">
        <f>SUMIF('Num of Lines'!$C$6:$C$47,"&gt;="&amp;'Weekly Minimums Planner'!$J$7,'Num of Lines'!V6:V47)-SUMIF('Num of Lines'!$C$6:$C$47,"&gt;"&amp;'Weekly Minimums Planner'!$J$8,'Num of Lines'!V6:V47)</f>
        <v>0</v>
      </c>
      <c r="AA34" s="1"/>
      <c r="AB34" s="42" t="str">
        <f t="shared" si="23"/>
        <v/>
      </c>
      <c r="AC34" s="44" t="str">
        <f t="shared" si="24"/>
        <v/>
      </c>
      <c r="AD34" s="42" t="str">
        <f t="shared" si="25"/>
        <v/>
      </c>
      <c r="AE34" s="44" t="str">
        <f t="shared" si="26"/>
        <v/>
      </c>
      <c r="AF34" s="1"/>
    </row>
    <row r="35" spans="1:32" s="10" customFormat="1" ht="17.25" customHeight="1">
      <c r="A35" s="1"/>
      <c r="B35" s="45" t="str">
        <f>IF('Store Details'!C33="","",'Store Details'!C33)</f>
        <v/>
      </c>
      <c r="C35" s="463" t="e">
        <f>VLOOKUP($C$7+6,'Staff Hours'!$C$49:$X$54,21)</f>
        <v>#N/A</v>
      </c>
      <c r="D35" s="463"/>
      <c r="E35" s="46" t="str">
        <f t="shared" si="14"/>
        <v/>
      </c>
      <c r="F35" s="41" t="e">
        <f>VLOOKUP($C$8,Budgets!$C$49:$X$54,21)</f>
        <v>#N/A</v>
      </c>
      <c r="G35" s="42" t="str">
        <f t="shared" si="15"/>
        <v/>
      </c>
      <c r="H35" s="26"/>
      <c r="I35" s="45" t="str">
        <f t="shared" si="16"/>
        <v/>
      </c>
      <c r="J35" s="464">
        <f>SUMIF('Staff Hours'!$C$6:$C$47,"&gt;="&amp;'Weekly Minimums Planner'!$J$7,'Staff Hours'!W6:W47)-SUMIF('Staff Hours'!$C$6:$C$47,"&gt;"&amp;'Weekly Minimums Planner'!$J$8,'Staff Hours'!W6:W47)</f>
        <v>0</v>
      </c>
      <c r="K35" s="464"/>
      <c r="L35" s="46" t="str">
        <f t="shared" si="17"/>
        <v/>
      </c>
      <c r="M35" s="41" t="e">
        <f>VLOOKUP($J$8,Budgets!$C$49:$X$54,21)</f>
        <v>#N/A</v>
      </c>
      <c r="N35" s="42" t="str">
        <f t="shared" si="18"/>
        <v/>
      </c>
      <c r="O35" s="1"/>
      <c r="P35" s="47">
        <f>SUMIF('Value of Sales'!$C$6:$C$47,"&gt;="&amp;'Weekly Minimums Planner'!$J$7,'Value of Sales'!W6:W47)-SUMIF('Value of Sales'!$C$6:$C$47,"&gt;"&amp;'Weekly Minimums Planner'!$J$8,'Value of Sales'!W6:W47)</f>
        <v>0</v>
      </c>
      <c r="Q35" s="46" t="str">
        <f t="shared" si="19"/>
        <v/>
      </c>
      <c r="R35" s="256" t="str">
        <f t="shared" si="20"/>
        <v/>
      </c>
      <c r="S35" s="1"/>
      <c r="T35" s="1"/>
      <c r="U35" s="1"/>
      <c r="V35" s="45" t="str">
        <f t="shared" si="21"/>
        <v/>
      </c>
      <c r="W35" s="43">
        <f t="shared" si="21"/>
        <v>0</v>
      </c>
      <c r="X35" s="42">
        <f t="shared" si="22"/>
        <v>0</v>
      </c>
      <c r="Y35" s="43">
        <f>SUMIF('Num of Sales'!$C$6:$C$47,"&gt;="&amp;'Weekly Minimums Planner'!$J$7,'Num of Sales'!W6:W47)-SUMIF('Num of Sales'!$C$6:$C$47,"&gt;"&amp;'Weekly Minimums Planner'!$J$8,'Num of Sales'!W6:W47)</f>
        <v>0</v>
      </c>
      <c r="Z35" s="43">
        <f>SUMIF('Num of Lines'!$C$6:$C$47,"&gt;="&amp;'Weekly Minimums Planner'!$J$7,'Num of Lines'!W6:W47)-SUMIF('Num of Lines'!$C$6:$C$47,"&gt;"&amp;'Weekly Minimums Planner'!$J$8,'Num of Lines'!W6:W47)</f>
        <v>0</v>
      </c>
      <c r="AA35" s="1"/>
      <c r="AB35" s="42" t="str">
        <f t="shared" si="23"/>
        <v/>
      </c>
      <c r="AC35" s="44" t="str">
        <f t="shared" si="24"/>
        <v/>
      </c>
      <c r="AD35" s="42" t="str">
        <f t="shared" si="25"/>
        <v/>
      </c>
      <c r="AE35" s="44" t="str">
        <f t="shared" si="26"/>
        <v/>
      </c>
      <c r="AF35" s="1"/>
    </row>
    <row r="36" spans="1:32" s="10" customFormat="1" ht="17.25" customHeight="1">
      <c r="A36" s="1"/>
      <c r="B36" s="45" t="str">
        <f>IF('Store Details'!C34="","",'Store Details'!C34)</f>
        <v/>
      </c>
      <c r="C36" s="463" t="e">
        <f>VLOOKUP($C$7+6,'Staff Hours'!$C$49:$X$54,22)</f>
        <v>#N/A</v>
      </c>
      <c r="D36" s="463"/>
      <c r="E36" s="46" t="str">
        <f t="shared" si="14"/>
        <v/>
      </c>
      <c r="F36" s="41" t="e">
        <f>VLOOKUP($C$8,Budgets!$C$49:$X$54,22)</f>
        <v>#N/A</v>
      </c>
      <c r="G36" s="42" t="str">
        <f t="shared" si="15"/>
        <v/>
      </c>
      <c r="H36" s="26"/>
      <c r="I36" s="45" t="str">
        <f t="shared" si="16"/>
        <v/>
      </c>
      <c r="J36" s="464">
        <f>SUMIF('Staff Hours'!$C$6:$C$47,"&gt;="&amp;'Weekly Minimums Planner'!$J$7,'Staff Hours'!X6:X47)-SUMIF('Staff Hours'!$C$6:$C$47,"&gt;"&amp;'Weekly Minimums Planner'!$J$8,'Staff Hours'!X6:X47)</f>
        <v>0</v>
      </c>
      <c r="K36" s="464"/>
      <c r="L36" s="46" t="str">
        <f t="shared" si="17"/>
        <v/>
      </c>
      <c r="M36" s="41" t="e">
        <f>VLOOKUP($J$8,Budgets!$C$49:$X$54,22)</f>
        <v>#N/A</v>
      </c>
      <c r="N36" s="42" t="str">
        <f t="shared" si="18"/>
        <v/>
      </c>
      <c r="O36" s="1"/>
      <c r="P36" s="47">
        <f>SUMIF('Value of Sales'!$C$6:$C$47,"&gt;="&amp;'Weekly Minimums Planner'!$J$7,'Value of Sales'!X6:X47)-SUMIF('Value of Sales'!$C$6:$C$47,"&gt;"&amp;'Weekly Minimums Planner'!$J$8,'Value of Sales'!X6:X47)</f>
        <v>0</v>
      </c>
      <c r="Q36" s="46" t="str">
        <f t="shared" si="19"/>
        <v/>
      </c>
      <c r="R36" s="256" t="str">
        <f t="shared" si="20"/>
        <v/>
      </c>
      <c r="S36" s="1"/>
      <c r="T36" s="1"/>
      <c r="U36" s="1"/>
      <c r="V36" s="45" t="str">
        <f t="shared" si="21"/>
        <v/>
      </c>
      <c r="W36" s="43">
        <f t="shared" si="21"/>
        <v>0</v>
      </c>
      <c r="X36" s="42">
        <f t="shared" si="22"/>
        <v>0</v>
      </c>
      <c r="Y36" s="43">
        <f>SUMIF('Num of Sales'!$C$6:$C$47,"&gt;="&amp;'Weekly Minimums Planner'!$J$7,'Num of Sales'!X6:X47)-SUMIF('Num of Sales'!$C$6:$C$47,"&gt;"&amp;'Weekly Minimums Planner'!$J$8,'Num of Sales'!X6:X47)</f>
        <v>0</v>
      </c>
      <c r="Z36" s="43">
        <f>SUMIF('Num of Lines'!$C$6:$C$47,"&gt;="&amp;'Weekly Minimums Planner'!$J$7,'Num of Lines'!X6:X47)-SUMIF('Num of Lines'!$C$6:$C$47,"&gt;"&amp;'Weekly Minimums Planner'!$J$8,'Num of Lines'!X6:X47)</f>
        <v>0</v>
      </c>
      <c r="AA36" s="1"/>
      <c r="AB36" s="42" t="str">
        <f t="shared" si="23"/>
        <v/>
      </c>
      <c r="AC36" s="44" t="str">
        <f t="shared" si="24"/>
        <v/>
      </c>
      <c r="AD36" s="42" t="str">
        <f t="shared" si="25"/>
        <v/>
      </c>
      <c r="AE36" s="44" t="str">
        <f t="shared" si="26"/>
        <v/>
      </c>
      <c r="AF36" s="1"/>
    </row>
    <row r="37" spans="1:32" s="10" customFormat="1" ht="17.25" customHeight="1">
      <c r="A37" s="1"/>
      <c r="B37" s="53" t="s">
        <v>103</v>
      </c>
      <c r="C37" s="54"/>
      <c r="D37" s="54"/>
      <c r="E37" s="7"/>
      <c r="F37" s="24"/>
      <c r="G37" s="26"/>
      <c r="H37" s="26"/>
      <c r="I37" s="55" t="str">
        <f t="shared" si="16"/>
        <v>Refunds From Other Stores</v>
      </c>
      <c r="J37" s="31"/>
      <c r="K37" s="31"/>
      <c r="L37" s="7"/>
      <c r="M37" s="1"/>
      <c r="N37" s="1"/>
      <c r="O37" s="1"/>
      <c r="P37" s="56">
        <f>SUMIF('Value of Sales'!$C$6:$C$47,"&gt;="&amp;'Weekly Minimums Planner'!$J$7,'Value of Sales'!AG6:AG47)-SUMIF('Value of Sales'!$C$6:$C$47,"&gt;"&amp;'Weekly Minimums Planner'!$J$8,'Value of Sales'!AG6:AG47)</f>
        <v>0</v>
      </c>
      <c r="Q37" s="26"/>
      <c r="R37" s="57"/>
      <c r="S37" s="1"/>
      <c r="T37" s="1"/>
      <c r="U37" s="1"/>
      <c r="V37" s="54" t="str">
        <f>I37</f>
        <v>Refunds From Other Stores</v>
      </c>
      <c r="W37" s="2"/>
      <c r="X37" s="14">
        <f t="shared" si="22"/>
        <v>0</v>
      </c>
      <c r="Y37" s="13">
        <f>SUMIF('Num of Sales'!$C$6:$C$47,"&gt;="&amp;'Weekly Minimums Planner'!$J$7,'Num of Sales'!AG6:AG47)-SUMIF('Num of Sales'!$C$6:$C$47,"&gt;"&amp;'Weekly Minimums Planner'!$J$8,'Num of Sales'!AG6:AG47)</f>
        <v>0</v>
      </c>
      <c r="Z37" s="13">
        <f>SUMIF('Num of Lines'!$C$6:$C$47,"&gt;="&amp;'Weekly Minimums Planner'!$J$7,'Num of Lines'!AG6:AG47)-SUMIF('Num of Lines'!$C$6:$C$47,"&gt;"&amp;'Weekly Minimums Planner'!$J$8,'Num of Lines'!AG6:AG47)</f>
        <v>0</v>
      </c>
      <c r="AA37" s="1"/>
      <c r="AB37" s="58"/>
      <c r="AC37" s="58"/>
      <c r="AD37" s="59" t="str">
        <f t="shared" si="25"/>
        <v/>
      </c>
      <c r="AE37" s="60" t="str">
        <f t="shared" si="26"/>
        <v/>
      </c>
      <c r="AF37" s="1"/>
    </row>
    <row r="38" spans="1:32" s="10" customFormat="1" ht="6.75" customHeight="1">
      <c r="A38" s="1"/>
      <c r="B38" s="1"/>
      <c r="C38" s="1"/>
      <c r="D38" s="1"/>
      <c r="E38" s="26"/>
      <c r="F38" s="1"/>
      <c r="G38" s="1"/>
      <c r="H38" s="1"/>
      <c r="I38" s="1"/>
      <c r="J38" s="1"/>
      <c r="K38" s="1"/>
      <c r="L38" s="26"/>
      <c r="M38" s="1"/>
      <c r="N38" s="1"/>
      <c r="O38" s="1"/>
      <c r="P38" s="1"/>
      <c r="Q38" s="26"/>
      <c r="R38" s="57"/>
      <c r="S38" s="1"/>
      <c r="T38" s="1"/>
      <c r="U38" s="1"/>
      <c r="V38" s="1"/>
      <c r="W38" s="1"/>
      <c r="X38" s="1"/>
      <c r="Y38" s="1"/>
      <c r="Z38" s="1"/>
      <c r="AA38" s="1"/>
      <c r="AB38" s="8"/>
      <c r="AC38" s="8"/>
      <c r="AD38" s="8"/>
      <c r="AE38" s="8"/>
      <c r="AF38" s="1"/>
    </row>
    <row r="39" spans="1:32" s="69" customFormat="1" ht="25.5">
      <c r="A39" s="61"/>
      <c r="B39" s="62" t="s">
        <v>104</v>
      </c>
      <c r="C39" s="462" t="e">
        <f>SUM(C13:C26)+SUM(C31:C36)</f>
        <v>#N/A</v>
      </c>
      <c r="D39" s="462"/>
      <c r="E39" s="63">
        <f>SUM(E13:E26)+SUM(E31:E36)</f>
        <v>0</v>
      </c>
      <c r="F39" s="64" t="e">
        <f>SUM(F13:F26)+SUM(F31:F36)</f>
        <v>#N/A</v>
      </c>
      <c r="G39" s="64">
        <f>SUM(G13:G26)+SUM(G31:G36)</f>
        <v>0</v>
      </c>
      <c r="H39" s="1"/>
      <c r="I39" s="62" t="s">
        <v>105</v>
      </c>
      <c r="J39" s="462">
        <f>SUM(J13:J26)+SUM(J31:J36)</f>
        <v>0</v>
      </c>
      <c r="K39" s="462"/>
      <c r="L39" s="63">
        <f>SUM(L13:L26)+SUM(L31:L36)</f>
        <v>0</v>
      </c>
      <c r="M39" s="64" t="e">
        <f>SUM(M13:M26)+SUM(M31:M36)</f>
        <v>#N/A</v>
      </c>
      <c r="N39" s="64">
        <f>SUM(N13:N26)+SUM(N31:N36)</f>
        <v>0</v>
      </c>
      <c r="O39" s="1"/>
      <c r="P39" s="64">
        <f>SUM(P13:P26)+SUM(P31:P37)</f>
        <v>0</v>
      </c>
      <c r="Q39" s="65" t="str">
        <f>IF(J39&gt;0,P39/M39-1,"")</f>
        <v/>
      </c>
      <c r="R39" s="256" t="str">
        <f>IF(J39&gt;0,IF(Q39&lt;$S$7,R$6,IF(Q39&lt;$S$8,$R$7,IF(Q39&lt;$S$9,R$8,IF(Q39&lt;$S$10,$R$9,R$10)))),"")</f>
        <v/>
      </c>
      <c r="S39" s="61"/>
      <c r="T39" s="61"/>
      <c r="U39" s="61"/>
      <c r="V39" s="66" t="s">
        <v>106</v>
      </c>
      <c r="W39" s="67">
        <f>SUM(W13:W26)+SUM(W31:W37)</f>
        <v>0</v>
      </c>
      <c r="X39" s="68">
        <f>SUM(X13:X26)+SUM(X31:X37)</f>
        <v>0</v>
      </c>
      <c r="Y39" s="67">
        <f>SUM(Y13:Y26)+SUM(Y31:Y37)</f>
        <v>0</v>
      </c>
      <c r="Z39" s="67">
        <f>SUM(Z13:Z26)+SUM(Z31:Z37)</f>
        <v>0</v>
      </c>
      <c r="AA39" s="61"/>
      <c r="AB39" s="14" t="str">
        <f>IF(ISERROR(X39/W39),"",(X39/W39))</f>
        <v/>
      </c>
      <c r="AC39" s="17" t="str">
        <f>IF(ISERROR(Y39/W39),"",(Y39/W39))</f>
        <v/>
      </c>
      <c r="AD39" s="14" t="str">
        <f>IF(ISERROR(X39/Y39),"",(X39/Y39))</f>
        <v/>
      </c>
      <c r="AE39" s="17" t="str">
        <f>IF(ISERROR(Z39/Y39),"",(Z39/Y39))</f>
        <v/>
      </c>
      <c r="AF39" s="61"/>
    </row>
    <row r="40" spans="1:32" s="10" customFormat="1">
      <c r="A40" s="1"/>
      <c r="B40" s="23"/>
      <c r="C40" s="23"/>
      <c r="D40" s="23"/>
      <c r="E40" s="1"/>
      <c r="F40" s="24"/>
      <c r="G40" s="26"/>
      <c r="H40" s="26"/>
      <c r="I40" s="24"/>
      <c r="J40" s="70"/>
      <c r="K40" s="70"/>
      <c r="L40" s="26"/>
      <c r="M40" s="1"/>
      <c r="N40" s="1"/>
      <c r="O40" s="1"/>
      <c r="P40" s="1"/>
      <c r="Q40" s="1"/>
      <c r="R40" s="1"/>
      <c r="S40" s="1"/>
      <c r="T40" s="1"/>
      <c r="U40" s="1"/>
      <c r="V40" s="1"/>
      <c r="W40" s="1"/>
      <c r="X40" s="1"/>
      <c r="Y40" s="1"/>
      <c r="Z40" s="1"/>
      <c r="AA40" s="1"/>
      <c r="AB40" s="1"/>
      <c r="AC40" s="1"/>
      <c r="AD40" s="1"/>
      <c r="AE40" s="1"/>
      <c r="AF40" s="1"/>
    </row>
    <row r="41" spans="1:32" s="10" customFormat="1">
      <c r="B41" s="71"/>
      <c r="C41" s="71"/>
      <c r="D41" s="71"/>
      <c r="F41" s="72"/>
      <c r="G41" s="73"/>
      <c r="H41" s="73"/>
      <c r="I41" s="72"/>
      <c r="J41" s="74"/>
      <c r="K41" s="74"/>
      <c r="L41" s="73"/>
    </row>
    <row r="42" spans="1:32" s="10" customFormat="1">
      <c r="E42" s="73"/>
    </row>
    <row r="43" spans="1:32" s="10" customFormat="1">
      <c r="E43" s="73"/>
    </row>
    <row r="44" spans="1:32" s="10" customFormat="1"/>
    <row r="45" spans="1:32" s="10" customFormat="1"/>
    <row r="46" spans="1:32" s="10" customFormat="1"/>
    <row r="47" spans="1:32" s="10" customFormat="1"/>
    <row r="48" spans="1:32" s="10" customFormat="1"/>
    <row r="49" s="10" customFormat="1"/>
    <row r="50" s="10" customFormat="1"/>
    <row r="51" s="10" customFormat="1"/>
    <row r="52" s="10" customFormat="1"/>
    <row r="53" s="10" customFormat="1"/>
    <row r="54" s="10" customFormat="1"/>
    <row r="55" s="10" customFormat="1"/>
    <row r="56" s="10" customFormat="1"/>
    <row r="57" s="10" customFormat="1"/>
    <row r="58" s="10" customFormat="1"/>
    <row r="59" s="10" customFormat="1"/>
    <row r="60" s="10" customFormat="1"/>
    <row r="61" s="10" customFormat="1"/>
    <row r="62" s="10" customFormat="1"/>
    <row r="63" s="10" customFormat="1"/>
    <row r="64" s="10" customFormat="1"/>
    <row r="65" s="10" customFormat="1"/>
    <row r="66" s="10" customFormat="1"/>
    <row r="67" s="10" customFormat="1"/>
    <row r="68" s="10" customFormat="1"/>
    <row r="69" s="10" customFormat="1"/>
    <row r="70" s="10" customFormat="1"/>
    <row r="71" s="10" customFormat="1"/>
    <row r="72" s="10" customFormat="1"/>
    <row r="73" s="10" customFormat="1"/>
    <row r="74" s="10" customFormat="1"/>
    <row r="75" s="10" customFormat="1"/>
    <row r="76" s="10" customFormat="1"/>
    <row r="77" s="10" customFormat="1"/>
    <row r="78" s="10" customFormat="1"/>
    <row r="79" s="10" customFormat="1"/>
    <row r="80" s="10" customFormat="1"/>
    <row r="81" s="10" customFormat="1"/>
    <row r="82" s="10" customFormat="1"/>
    <row r="83" s="10" customFormat="1"/>
    <row r="84" s="10" customFormat="1"/>
    <row r="85" s="10" customFormat="1"/>
    <row r="86" s="10" customFormat="1"/>
    <row r="87" s="10" customFormat="1"/>
    <row r="88" s="10" customFormat="1"/>
    <row r="89" s="10" customFormat="1"/>
    <row r="90" s="10" customFormat="1"/>
    <row r="91" s="10" customFormat="1"/>
    <row r="92" s="10" customFormat="1"/>
    <row r="93" s="10" customFormat="1"/>
    <row r="94" s="10" customFormat="1"/>
    <row r="95" s="10" customFormat="1"/>
    <row r="96" s="10" customFormat="1"/>
    <row r="97" s="10" customFormat="1"/>
    <row r="98" s="10" customFormat="1"/>
    <row r="99" s="10" customFormat="1"/>
    <row r="100" s="10" customFormat="1"/>
    <row r="101" s="10" customFormat="1"/>
    <row r="102" s="10" customFormat="1"/>
    <row r="103" s="10" customFormat="1"/>
    <row r="104" s="10" customFormat="1"/>
    <row r="105" s="10" customFormat="1"/>
    <row r="106" s="10" customFormat="1"/>
    <row r="107" s="10" customFormat="1"/>
    <row r="108" s="10" customFormat="1"/>
    <row r="109" s="10" customFormat="1"/>
    <row r="110" s="10" customFormat="1"/>
    <row r="111" s="10" customFormat="1"/>
    <row r="112" s="10" customFormat="1"/>
    <row r="113" s="10" customFormat="1"/>
    <row r="114" s="10" customFormat="1"/>
    <row r="115" s="10" customFormat="1"/>
    <row r="116" s="10" customFormat="1"/>
    <row r="117" s="10" customFormat="1"/>
    <row r="118" s="10" customFormat="1"/>
    <row r="119" s="10" customFormat="1"/>
    <row r="120" s="10" customFormat="1"/>
    <row r="121" s="10" customFormat="1"/>
    <row r="122" s="10" customFormat="1"/>
    <row r="123" s="10" customFormat="1"/>
    <row r="124" s="10" customFormat="1"/>
    <row r="125" s="10" customFormat="1"/>
    <row r="126" s="10" customFormat="1"/>
    <row r="127" s="10" customFormat="1"/>
    <row r="128" s="10" customFormat="1"/>
    <row r="129" s="10" customFormat="1"/>
    <row r="130" s="10" customFormat="1"/>
    <row r="131" s="10" customFormat="1"/>
    <row r="132" s="10" customFormat="1"/>
    <row r="133" s="10" customFormat="1"/>
    <row r="134" s="10" customFormat="1"/>
    <row r="135" s="10" customFormat="1"/>
    <row r="136" s="10" customFormat="1"/>
    <row r="137" s="10" customFormat="1"/>
    <row r="138" s="10" customFormat="1"/>
    <row r="139" s="10" customFormat="1"/>
    <row r="140" s="10" customFormat="1"/>
    <row r="141" s="10" customFormat="1"/>
    <row r="142" s="10" customFormat="1"/>
    <row r="143" s="10" customFormat="1"/>
    <row r="144" s="10" customFormat="1"/>
    <row r="145" s="10" customFormat="1"/>
    <row r="146" s="10" customFormat="1"/>
    <row r="147" s="10" customFormat="1"/>
    <row r="148" s="10" customFormat="1"/>
    <row r="149" s="10" customFormat="1"/>
    <row r="150" s="10" customFormat="1"/>
    <row r="151" s="10" customFormat="1"/>
    <row r="152" s="10" customFormat="1"/>
    <row r="153" s="10" customFormat="1"/>
    <row r="154" s="10" customFormat="1"/>
    <row r="155" s="10" customFormat="1"/>
    <row r="156" s="10" customFormat="1"/>
    <row r="157" s="10" customFormat="1"/>
    <row r="158" s="10" customFormat="1"/>
    <row r="159" s="10" customFormat="1"/>
    <row r="160" s="10" customFormat="1"/>
    <row r="161" s="10" customFormat="1"/>
    <row r="162" s="10" customFormat="1"/>
    <row r="163" s="10" customFormat="1"/>
    <row r="164" s="10" customFormat="1"/>
    <row r="165" s="10" customFormat="1"/>
    <row r="166" s="10" customFormat="1"/>
    <row r="167" s="10" customFormat="1"/>
    <row r="168" s="10" customFormat="1"/>
  </sheetData>
  <sheetProtection algorithmName="SHA-512" hashValue="AbAf5kr3YcspVNNjsxe0MKOHdTOh2bkX/RH4Y5VdeLBfaqSgtK0kwWFTzOUAJf8M9YIjqs+jPRUqGG2WvQhmQw==" saltValue="FluvQnLJu3Dj9HEl2UlPuw==" spinCount="100000" sheet="1" objects="1" scenarios="1"/>
  <mergeCells count="51">
    <mergeCell ref="C12:D12"/>
    <mergeCell ref="J12:K12"/>
    <mergeCell ref="B2:R2"/>
    <mergeCell ref="V2:AE2"/>
    <mergeCell ref="B4:G4"/>
    <mergeCell ref="I4:N4"/>
    <mergeCell ref="P4:R4"/>
    <mergeCell ref="C15:D15"/>
    <mergeCell ref="J15:K15"/>
    <mergeCell ref="C16:D16"/>
    <mergeCell ref="J16:K16"/>
    <mergeCell ref="C13:D13"/>
    <mergeCell ref="J13:K13"/>
    <mergeCell ref="C14:D14"/>
    <mergeCell ref="J14:K14"/>
    <mergeCell ref="C25:D25"/>
    <mergeCell ref="J25:K25"/>
    <mergeCell ref="C26:D26"/>
    <mergeCell ref="J26:K26"/>
    <mergeCell ref="C20:D20"/>
    <mergeCell ref="J20:K20"/>
    <mergeCell ref="C23:D23"/>
    <mergeCell ref="J23:K23"/>
    <mergeCell ref="C21:D21"/>
    <mergeCell ref="J21:K21"/>
    <mergeCell ref="C33:D33"/>
    <mergeCell ref="J33:K33"/>
    <mergeCell ref="C32:D32"/>
    <mergeCell ref="J32:K32"/>
    <mergeCell ref="C30:D30"/>
    <mergeCell ref="J30:K30"/>
    <mergeCell ref="C31:D31"/>
    <mergeCell ref="J31:K31"/>
    <mergeCell ref="C17:D17"/>
    <mergeCell ref="J17:K17"/>
    <mergeCell ref="C24:D24"/>
    <mergeCell ref="J24:K24"/>
    <mergeCell ref="C19:D19"/>
    <mergeCell ref="J19:K19"/>
    <mergeCell ref="C22:D22"/>
    <mergeCell ref="J22:K22"/>
    <mergeCell ref="C18:D18"/>
    <mergeCell ref="J18:K18"/>
    <mergeCell ref="C39:D39"/>
    <mergeCell ref="J39:K39"/>
    <mergeCell ref="C34:D34"/>
    <mergeCell ref="J34:K34"/>
    <mergeCell ref="C35:D35"/>
    <mergeCell ref="J35:K35"/>
    <mergeCell ref="C36:D36"/>
    <mergeCell ref="J36:K36"/>
  </mergeCells>
  <phoneticPr fontId="10" type="noConversion"/>
  <conditionalFormatting sqref="R13:R26 R31:R36 R39">
    <cfRule type="cellIs" dxfId="70" priority="1" stopIfTrue="1" operator="equal">
      <formula>$R$9</formula>
    </cfRule>
    <cfRule type="cellIs" dxfId="69" priority="2" stopIfTrue="1" operator="equal">
      <formula>$R$8</formula>
    </cfRule>
    <cfRule type="cellIs" dxfId="68" priority="3" stopIfTrue="1" operator="equal">
      <formula>$R$7</formula>
    </cfRule>
    <cfRule type="cellIs" dxfId="67" priority="4" stopIfTrue="1" operator="equal">
      <formula>$R$10</formula>
    </cfRule>
    <cfRule type="cellIs" dxfId="66" priority="5" stopIfTrue="1" operator="equal">
      <formula>$R$6</formula>
    </cfRule>
  </conditionalFormatting>
  <dataValidations disablePrompts="1" count="1">
    <dataValidation operator="equal" allowBlank="1" showInputMessage="1" promptTitle="THIS WEEK" prompt="Enter rostered hours for THIS week" sqref="C31:D36 C13:D26" xr:uid="{00000000-0002-0000-0200-000000000000}">
      <formula1>0</formula1>
      <formula2>0</formula2>
    </dataValidation>
  </dataValidations>
  <printOptions horizontalCentered="1" verticalCentered="1"/>
  <pageMargins left="0.39374999999999999" right="0.39374999999999999" top="0.19652777777777777" bottom="0.19652777777777777" header="0.51180555555555551" footer="0.51180555555555551"/>
  <pageSetup paperSize="9" firstPageNumber="0" orientation="landscape" r:id="rId1"/>
  <headerFooter alignWithMargins="0"/>
  <colBreaks count="1" manualBreakCount="1">
    <brk id="20" max="1048575" man="1"/>
  </col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AK178"/>
  <sheetViews>
    <sheetView zoomScaleNormal="100" workbookViewId="0">
      <selection activeCell="J20" sqref="J20"/>
    </sheetView>
  </sheetViews>
  <sheetFormatPr defaultColWidth="12.5703125" defaultRowHeight="14.25" customHeight="1"/>
  <cols>
    <col min="1" max="1" width="1.42578125" style="73" customWidth="1"/>
    <col min="2" max="2" width="13.85546875" style="73" customWidth="1"/>
    <col min="3" max="3" width="10.7109375" style="73" customWidth="1"/>
    <col min="4" max="4" width="1.42578125" style="73" customWidth="1"/>
    <col min="5" max="13" width="7.42578125" style="73" customWidth="1"/>
    <col min="14" max="14" width="12.7109375" style="73" customWidth="1"/>
    <col min="15" max="17" width="7.42578125" style="73" customWidth="1"/>
    <col min="18" max="18" width="11.28515625" style="73" customWidth="1"/>
    <col min="19" max="24" width="7.42578125" style="73" customWidth="1"/>
    <col min="25" max="32" width="0" style="73" hidden="1" customWidth="1"/>
    <col min="33" max="33" width="8.140625" style="73" customWidth="1"/>
    <col min="34" max="34" width="1.85546875" style="73" customWidth="1"/>
    <col min="35" max="35" width="1.85546875" style="73" hidden="1" customWidth="1"/>
    <col min="36" max="37" width="11.5703125" style="73" hidden="1" customWidth="1"/>
    <col min="38" max="254" width="11.5703125" style="73" customWidth="1"/>
    <col min="255" max="16384" width="12.5703125" style="73"/>
  </cols>
  <sheetData>
    <row r="1" spans="2:37" s="75" customFormat="1" ht="14.25" customHeight="1"/>
    <row r="2" spans="2:37" s="26" customFormat="1" ht="14.25" customHeight="1">
      <c r="B2" s="76" t="s">
        <v>107</v>
      </c>
      <c r="C2" s="77">
        <f>'Daily &amp; Weekly Totals'!B5</f>
        <v>43922</v>
      </c>
      <c r="E2" s="7" t="s">
        <v>14</v>
      </c>
      <c r="F2" s="470">
        <f>'Store Details'!D7</f>
        <v>43922</v>
      </c>
      <c r="G2" s="470"/>
      <c r="I2" s="7" t="s">
        <v>15</v>
      </c>
      <c r="J2" s="470">
        <f>'Store Details'!D8</f>
        <v>43951</v>
      </c>
      <c r="K2" s="470"/>
      <c r="AJ2" s="75"/>
    </row>
    <row r="3" spans="2:37" s="26" customFormat="1" ht="14.25" customHeight="1">
      <c r="B3" s="75"/>
      <c r="C3" s="75"/>
      <c r="D3" s="75"/>
      <c r="E3" s="75"/>
      <c r="F3" s="78"/>
      <c r="G3" s="75"/>
      <c r="H3" s="75"/>
      <c r="I3" s="75"/>
      <c r="J3" s="75"/>
      <c r="K3" s="75"/>
      <c r="AJ3" s="75"/>
    </row>
    <row r="4" spans="2:37" s="75" customFormat="1" ht="14.25" customHeight="1">
      <c r="C4" s="201" t="s">
        <v>108</v>
      </c>
      <c r="F4" s="78"/>
    </row>
    <row r="5" spans="2:37" s="75" customFormat="1" ht="14.25" customHeight="1">
      <c r="B5" s="24" t="s">
        <v>109</v>
      </c>
      <c r="C5" s="79" t="s">
        <v>110</v>
      </c>
      <c r="E5" s="80">
        <f>'Store Details'!$C15</f>
        <v>0</v>
      </c>
      <c r="F5" s="80">
        <f>'Store Details'!$C16</f>
        <v>0</v>
      </c>
      <c r="G5" s="80">
        <f>'Store Details'!$C17</f>
        <v>0</v>
      </c>
      <c r="H5" s="80">
        <f>'Store Details'!$C18</f>
        <v>0</v>
      </c>
      <c r="I5" s="80">
        <f>'Store Details'!$C19</f>
        <v>0</v>
      </c>
      <c r="J5" s="80">
        <f>'Store Details'!$C20</f>
        <v>0</v>
      </c>
      <c r="K5" s="80">
        <f>'Store Details'!$C21</f>
        <v>0</v>
      </c>
      <c r="L5" s="80">
        <f>'Store Details'!$C22</f>
        <v>0</v>
      </c>
      <c r="M5" s="80">
        <f>'Store Details'!$C23</f>
        <v>0</v>
      </c>
      <c r="N5" s="80">
        <f>'Store Details'!$C24</f>
        <v>0</v>
      </c>
      <c r="O5" s="80">
        <f>'Store Details'!$C25</f>
        <v>0</v>
      </c>
      <c r="P5" s="80">
        <f>'Store Details'!$C26</f>
        <v>0</v>
      </c>
      <c r="Q5" s="80">
        <f>'Store Details'!$C27</f>
        <v>0</v>
      </c>
      <c r="R5" s="80">
        <f>'Store Details'!$C28</f>
        <v>0</v>
      </c>
      <c r="S5" s="80">
        <f>'Store Details'!$C29</f>
        <v>0</v>
      </c>
      <c r="T5" s="80">
        <f>'Store Details'!$C30</f>
        <v>0</v>
      </c>
      <c r="U5" s="80">
        <f>'Store Details'!$C31</f>
        <v>0</v>
      </c>
      <c r="V5" s="80">
        <f>'Store Details'!$C32</f>
        <v>0</v>
      </c>
      <c r="W5" s="80">
        <f>'Store Details'!$C33</f>
        <v>0</v>
      </c>
      <c r="X5" s="80">
        <f>'Store Details'!$C34</f>
        <v>0</v>
      </c>
      <c r="Y5" s="80" t="e">
        <f>'Store Details'!#REF!</f>
        <v>#REF!</v>
      </c>
      <c r="Z5" s="80" t="e">
        <f>'Store Details'!#REF!</f>
        <v>#REF!</v>
      </c>
      <c r="AA5" s="80" t="e">
        <f>'Store Details'!#REF!</f>
        <v>#REF!</v>
      </c>
      <c r="AB5" s="80" t="e">
        <f>'Store Details'!#REF!</f>
        <v>#REF!</v>
      </c>
      <c r="AC5" s="80" t="e">
        <f>'Store Details'!#REF!</f>
        <v>#REF!</v>
      </c>
      <c r="AD5" s="80" t="e">
        <f>'Store Details'!#REF!</f>
        <v>#REF!</v>
      </c>
      <c r="AE5" s="80" t="e">
        <f>'Store Details'!#REF!</f>
        <v>#REF!</v>
      </c>
      <c r="AF5" s="80" t="e">
        <f>'Store Details'!#REF!</f>
        <v>#REF!</v>
      </c>
      <c r="AG5" s="80" t="s">
        <v>111</v>
      </c>
      <c r="AJ5" s="214">
        <v>0.10009999999999999</v>
      </c>
    </row>
    <row r="6" spans="2:37" s="75" customFormat="1" ht="14.25" customHeight="1">
      <c r="B6" s="210" t="s">
        <v>112</v>
      </c>
      <c r="C6" s="79" t="s">
        <v>12</v>
      </c>
      <c r="E6" s="80" t="str">
        <f>'Store Details'!$D15</f>
        <v>MAN</v>
      </c>
      <c r="F6" s="80" t="str">
        <f>'Store Details'!$D16</f>
        <v>ASM</v>
      </c>
      <c r="G6" s="80" t="str">
        <f>'Store Details'!$D17</f>
        <v>FT</v>
      </c>
      <c r="H6" s="80" t="str">
        <f>'Store Details'!$D18</f>
        <v>FT</v>
      </c>
      <c r="I6" s="80" t="str">
        <f>'Store Details'!$D19</f>
        <v>PT</v>
      </c>
      <c r="J6" s="80" t="str">
        <f>'Store Details'!$D20</f>
        <v xml:space="preserve">PT </v>
      </c>
      <c r="K6" s="80" t="str">
        <f>'Store Details'!$D21</f>
        <v>CAS</v>
      </c>
      <c r="L6" s="80" t="str">
        <f>'Store Details'!$D22</f>
        <v>CAS</v>
      </c>
      <c r="M6" s="80" t="str">
        <f>'Store Details'!$D23</f>
        <v>CAS</v>
      </c>
      <c r="N6" s="80" t="str">
        <f>'Store Details'!$D24</f>
        <v>CAS</v>
      </c>
      <c r="O6" s="80" t="str">
        <f>'Store Details'!$D25</f>
        <v>CAS</v>
      </c>
      <c r="P6" s="80" t="str">
        <f>'Store Details'!$D26</f>
        <v>CAS</v>
      </c>
      <c r="Q6" s="80" t="str">
        <f>'Store Details'!$D27</f>
        <v>CAS</v>
      </c>
      <c r="R6" s="80" t="str">
        <f>'Store Details'!$D28</f>
        <v>CAS</v>
      </c>
      <c r="S6" s="80" t="str">
        <f>'Store Details'!$D29</f>
        <v>CAS</v>
      </c>
      <c r="T6" s="80" t="str">
        <f>'Store Details'!$D30</f>
        <v>CAS</v>
      </c>
      <c r="U6" s="80" t="str">
        <f>'Store Details'!$D31</f>
        <v>CAS</v>
      </c>
      <c r="V6" s="80" t="str">
        <f>'Store Details'!$D32</f>
        <v>CAS</v>
      </c>
      <c r="W6" s="80" t="str">
        <f>'Store Details'!$D33</f>
        <v>CAS</v>
      </c>
      <c r="X6" s="80" t="str">
        <f>'Store Details'!$D34</f>
        <v>CAS</v>
      </c>
      <c r="Y6" s="80" t="e">
        <f>'Store Details'!#REF!</f>
        <v>#REF!</v>
      </c>
      <c r="Z6" s="80" t="e">
        <f>'Store Details'!#REF!</f>
        <v>#REF!</v>
      </c>
      <c r="AA6" s="80" t="e">
        <f>'Store Details'!#REF!</f>
        <v>#REF!</v>
      </c>
      <c r="AB6" s="80" t="e">
        <f>'Store Details'!#REF!</f>
        <v>#REF!</v>
      </c>
      <c r="AC6" s="80" t="e">
        <f>'Store Details'!#REF!</f>
        <v>#REF!</v>
      </c>
      <c r="AD6" s="80" t="e">
        <f>'Store Details'!#REF!</f>
        <v>#REF!</v>
      </c>
      <c r="AE6" s="80" t="e">
        <f>'Store Details'!#REF!</f>
        <v>#REF!</v>
      </c>
      <c r="AF6" s="80" t="e">
        <f>'Store Details'!#REF!</f>
        <v>#REF!</v>
      </c>
      <c r="AG6" s="80" t="s">
        <v>113</v>
      </c>
      <c r="AJ6" s="215">
        <v>5.0099999999999999E-2</v>
      </c>
    </row>
    <row r="7" spans="2:37" s="75" customFormat="1" ht="14.25" customHeight="1">
      <c r="B7" s="209" t="s">
        <v>114</v>
      </c>
      <c r="C7" s="79" t="s">
        <v>19</v>
      </c>
      <c r="E7" s="81">
        <f>SUM(INDEX(Budgets!$E$6:$E$47,MATCH('Monthly Statistics'!$F$2,Budgets!C6:C47,FALSE)):'Budgets'!E47)</f>
        <v>0</v>
      </c>
      <c r="F7" s="81">
        <f>SUM(INDEX(Budgets!F$6:F$47,MATCH('Monthly Statistics'!$F$2,Budgets!$C6:$C47,FALSE)):'Budgets'!F47)</f>
        <v>0</v>
      </c>
      <c r="G7" s="81">
        <f>SUM(INDEX(Budgets!G$6:G$47,MATCH('Monthly Statistics'!$F$2,Budgets!$C6:$C47,FALSE)):'Budgets'!G47)</f>
        <v>0</v>
      </c>
      <c r="H7" s="81">
        <f>SUM(INDEX(Budgets!H$6:H$47,MATCH('Monthly Statistics'!$F$2,Budgets!$C6:$C47,FALSE)):'Budgets'!H47)</f>
        <v>0</v>
      </c>
      <c r="I7" s="81">
        <f>SUM(INDEX(Budgets!I$6:I$47,MATCH('Monthly Statistics'!$F$2,Budgets!$C6:$C47,FALSE)):'Budgets'!I47)</f>
        <v>0</v>
      </c>
      <c r="J7" s="81">
        <f>SUM(INDEX(Budgets!J$6:J$47,MATCH('Monthly Statistics'!$F$2,Budgets!$C6:$C47,FALSE)):'Budgets'!J47)</f>
        <v>0</v>
      </c>
      <c r="K7" s="81">
        <f>SUM(INDEX(Budgets!K$6:K$47,MATCH('Monthly Statistics'!$F$2,Budgets!$C6:$C47,FALSE)):'Budgets'!K47)</f>
        <v>0</v>
      </c>
      <c r="L7" s="81">
        <f>SUM(INDEX(Budgets!L$6:L$47,MATCH('Monthly Statistics'!$F$2,Budgets!$C6:$C47,FALSE)):'Budgets'!L47)</f>
        <v>0</v>
      </c>
      <c r="M7" s="81">
        <f>SUM(INDEX(Budgets!M$6:M$47,MATCH('Monthly Statistics'!$F$2,Budgets!$C6:$C47,FALSE)):'Budgets'!M47)</f>
        <v>0</v>
      </c>
      <c r="N7" s="81">
        <f>SUM(INDEX(Budgets!N$6:N$47,MATCH('Monthly Statistics'!$F$2,Budgets!$C6:$C47,FALSE)):'Budgets'!N47)</f>
        <v>0</v>
      </c>
      <c r="O7" s="81">
        <f>SUM(INDEX(Budgets!O$6:O$47,MATCH('Monthly Statistics'!$F$2,Budgets!$C6:$C47,FALSE)):'Budgets'!O47)</f>
        <v>0</v>
      </c>
      <c r="P7" s="81">
        <f>SUM(INDEX(Budgets!P$6:P$47,MATCH('Monthly Statistics'!$F$2,Budgets!$C6:$C47,FALSE)):'Budgets'!P47)</f>
        <v>0</v>
      </c>
      <c r="Q7" s="81">
        <f>SUM(INDEX(Budgets!Q$6:Q$47,MATCH('Monthly Statistics'!$F$2,Budgets!$C6:$C47,FALSE)):'Budgets'!Q47)</f>
        <v>0</v>
      </c>
      <c r="R7" s="81">
        <f>SUM(INDEX(Budgets!R$6:R$47,MATCH('Monthly Statistics'!$F$2,Budgets!$C6:$C47,FALSE)):'Budgets'!R47)</f>
        <v>0</v>
      </c>
      <c r="S7" s="81">
        <f>SUM(INDEX(Budgets!S$6:S$47,MATCH('Monthly Statistics'!$F$2,Budgets!$C6:$C47,FALSE)):'Budgets'!S47)</f>
        <v>0</v>
      </c>
      <c r="T7" s="81">
        <f>SUM(INDEX(Budgets!T$6:T$47,MATCH('Monthly Statistics'!$F$2,Budgets!$C6:$C47,FALSE)):'Budgets'!T47)</f>
        <v>0</v>
      </c>
      <c r="U7" s="81">
        <f>SUM(INDEX(Budgets!U$6:U$47,MATCH('Monthly Statistics'!$F$2,Budgets!$C6:$C47,FALSE)):'Budgets'!U47)</f>
        <v>0</v>
      </c>
      <c r="V7" s="81">
        <f>SUM(INDEX(Budgets!V$6:V$47,MATCH('Monthly Statistics'!$F$2,Budgets!$C6:$C47,FALSE)):'Budgets'!V47)</f>
        <v>0</v>
      </c>
      <c r="W7" s="81">
        <f>SUM(INDEX(Budgets!W$6:W$47,MATCH('Monthly Statistics'!$F$2,Budgets!$C6:$C47,FALSE)):'Budgets'!W47)</f>
        <v>0</v>
      </c>
      <c r="X7" s="81">
        <f>SUM(INDEX(Budgets!X$6:X$47,MATCH('Monthly Statistics'!$F$2,Budgets!$C6:$C47,FALSE)):'Budgets'!X47)</f>
        <v>0</v>
      </c>
      <c r="Y7" s="82" t="e">
        <f>(#REF!/W15)*Y15</f>
        <v>#REF!</v>
      </c>
      <c r="Z7" s="82" t="e">
        <f>(#REF!/X15)*Z15</f>
        <v>#REF!</v>
      </c>
      <c r="AA7" s="82" t="e">
        <f>(#REF!/Y15)*AA15</f>
        <v>#REF!</v>
      </c>
      <c r="AB7" s="82" t="e">
        <f>(#REF!/Z15)*AB15</f>
        <v>#REF!</v>
      </c>
      <c r="AC7" s="82" t="e">
        <f>(#REF!/AA15)*AC15</f>
        <v>#REF!</v>
      </c>
      <c r="AD7" s="82" t="e">
        <f>(#REF!/AB15)*AD15</f>
        <v>#REF!</v>
      </c>
      <c r="AE7" s="82" t="e">
        <f>(#REF!/AC15)*AE15</f>
        <v>#REF!</v>
      </c>
      <c r="AF7" s="82" t="e">
        <f>(#REF!/AD15)*AF15</f>
        <v>#REF!</v>
      </c>
      <c r="AG7" s="80"/>
    </row>
    <row r="8" spans="2:37" s="75" customFormat="1" ht="14.25" customHeight="1">
      <c r="B8" s="207" t="s">
        <v>115</v>
      </c>
      <c r="C8" s="79" t="s">
        <v>116</v>
      </c>
      <c r="E8" s="82">
        <f t="shared" ref="E8:X8" si="0">E12-E7</f>
        <v>0</v>
      </c>
      <c r="F8" s="82">
        <f t="shared" si="0"/>
        <v>0</v>
      </c>
      <c r="G8" s="82">
        <f t="shared" si="0"/>
        <v>0</v>
      </c>
      <c r="H8" s="82">
        <f t="shared" si="0"/>
        <v>0</v>
      </c>
      <c r="I8" s="82">
        <f t="shared" si="0"/>
        <v>0</v>
      </c>
      <c r="J8" s="82">
        <f t="shared" si="0"/>
        <v>0</v>
      </c>
      <c r="K8" s="82">
        <f t="shared" si="0"/>
        <v>0</v>
      </c>
      <c r="L8" s="82">
        <f t="shared" si="0"/>
        <v>0</v>
      </c>
      <c r="M8" s="82">
        <f t="shared" si="0"/>
        <v>0</v>
      </c>
      <c r="N8" s="82">
        <f t="shared" si="0"/>
        <v>0</v>
      </c>
      <c r="O8" s="82">
        <f t="shared" si="0"/>
        <v>0</v>
      </c>
      <c r="P8" s="82">
        <f t="shared" si="0"/>
        <v>0</v>
      </c>
      <c r="Q8" s="82">
        <f t="shared" si="0"/>
        <v>0</v>
      </c>
      <c r="R8" s="82">
        <f t="shared" si="0"/>
        <v>0</v>
      </c>
      <c r="S8" s="82">
        <f t="shared" si="0"/>
        <v>0</v>
      </c>
      <c r="T8" s="82">
        <f t="shared" si="0"/>
        <v>0</v>
      </c>
      <c r="U8" s="82">
        <f t="shared" si="0"/>
        <v>0</v>
      </c>
      <c r="V8" s="82">
        <f t="shared" si="0"/>
        <v>0</v>
      </c>
      <c r="W8" s="82">
        <f t="shared" si="0"/>
        <v>0</v>
      </c>
      <c r="X8" s="82">
        <f t="shared" si="0"/>
        <v>0</v>
      </c>
      <c r="Y8" s="80"/>
      <c r="Z8" s="80"/>
      <c r="AA8" s="80"/>
      <c r="AB8" s="80"/>
      <c r="AC8" s="80"/>
      <c r="AD8" s="80"/>
      <c r="AE8" s="80"/>
      <c r="AF8" s="80"/>
      <c r="AG8" s="80"/>
    </row>
    <row r="9" spans="2:37" s="75" customFormat="1" ht="14.25" customHeight="1">
      <c r="B9" s="206" t="s">
        <v>117</v>
      </c>
      <c r="C9" s="79" t="s">
        <v>118</v>
      </c>
      <c r="E9" s="208">
        <f>IF(E7=0,0,E8/E7)</f>
        <v>0</v>
      </c>
      <c r="F9" s="208">
        <f t="shared" ref="F9:X9" si="1">IF(F7=0,0,F8/F7)</f>
        <v>0</v>
      </c>
      <c r="G9" s="208">
        <f t="shared" si="1"/>
        <v>0</v>
      </c>
      <c r="H9" s="208">
        <f t="shared" si="1"/>
        <v>0</v>
      </c>
      <c r="I9" s="208">
        <f t="shared" si="1"/>
        <v>0</v>
      </c>
      <c r="J9" s="208">
        <f t="shared" si="1"/>
        <v>0</v>
      </c>
      <c r="K9" s="208">
        <f t="shared" si="1"/>
        <v>0</v>
      </c>
      <c r="L9" s="208">
        <f t="shared" si="1"/>
        <v>0</v>
      </c>
      <c r="M9" s="208">
        <f t="shared" si="1"/>
        <v>0</v>
      </c>
      <c r="N9" s="208">
        <f t="shared" si="1"/>
        <v>0</v>
      </c>
      <c r="O9" s="208">
        <f t="shared" si="1"/>
        <v>0</v>
      </c>
      <c r="P9" s="208">
        <f t="shared" si="1"/>
        <v>0</v>
      </c>
      <c r="Q9" s="208">
        <f t="shared" si="1"/>
        <v>0</v>
      </c>
      <c r="R9" s="208">
        <f t="shared" si="1"/>
        <v>0</v>
      </c>
      <c r="S9" s="208">
        <f t="shared" si="1"/>
        <v>0</v>
      </c>
      <c r="T9" s="208">
        <f t="shared" si="1"/>
        <v>0</v>
      </c>
      <c r="U9" s="208">
        <f t="shared" si="1"/>
        <v>0</v>
      </c>
      <c r="V9" s="208">
        <f t="shared" si="1"/>
        <v>0</v>
      </c>
      <c r="W9" s="208">
        <f t="shared" si="1"/>
        <v>0</v>
      </c>
      <c r="X9" s="208">
        <f t="shared" si="1"/>
        <v>0</v>
      </c>
      <c r="Y9" s="200" t="e">
        <f t="shared" ref="Y9:AF9" si="2">Y8/Y7</f>
        <v>#REF!</v>
      </c>
      <c r="Z9" s="200" t="e">
        <f t="shared" si="2"/>
        <v>#REF!</v>
      </c>
      <c r="AA9" s="200" t="e">
        <f t="shared" si="2"/>
        <v>#REF!</v>
      </c>
      <c r="AB9" s="200" t="e">
        <f t="shared" si="2"/>
        <v>#REF!</v>
      </c>
      <c r="AC9" s="200" t="e">
        <f t="shared" si="2"/>
        <v>#REF!</v>
      </c>
      <c r="AD9" s="200" t="e">
        <f t="shared" si="2"/>
        <v>#REF!</v>
      </c>
      <c r="AE9" s="200" t="e">
        <f t="shared" si="2"/>
        <v>#REF!</v>
      </c>
      <c r="AF9" s="200" t="e">
        <f t="shared" si="2"/>
        <v>#REF!</v>
      </c>
      <c r="AG9" s="80"/>
    </row>
    <row r="10" spans="2:37" s="75" customFormat="1" ht="14.25" hidden="1" customHeight="1">
      <c r="C10" s="79"/>
      <c r="E10" s="204" t="str">
        <f>IF(E7&gt;0,IF(E9&lt;0,'Weekly Minimums Planner'!$R$7,IF(E9&lt;('Weekly Minimums Planner'!$S$6/2),'Weekly Minimums Planner'!$R$8,IF(E9&lt;'Weekly Minimums Planner'!$S$6,'Weekly Minimums Planner'!$R$9,'Weekly Minimums Planner'!$R$10))),"")</f>
        <v/>
      </c>
      <c r="F10" s="204" t="str">
        <f>IF(F7&gt;0,IF(F9&lt;0,'Weekly Minimums Planner'!$R$7,IF(F9&lt;('Weekly Minimums Planner'!$S$6/2),'Weekly Minimums Planner'!$R$8,IF(F9&lt;'Weekly Minimums Planner'!$S$6,'Weekly Minimums Planner'!$R$9,'Weekly Minimums Planner'!$R$10))),"")</f>
        <v/>
      </c>
      <c r="G10" s="204" t="str">
        <f>IF(G7&gt;0,IF(G9&lt;0,'Weekly Minimums Planner'!$R$7,IF(G9&lt;('Weekly Minimums Planner'!$S$6/2),'Weekly Minimums Planner'!$R$8,IF(G9&lt;'Weekly Minimums Planner'!$S$6,'Weekly Minimums Planner'!$R$9,'Weekly Minimums Planner'!$R$10))),"")</f>
        <v/>
      </c>
      <c r="H10" s="204" t="str">
        <f>IF(H7&gt;0,IF(H9&lt;0,'Weekly Minimums Planner'!$R$7,IF(H9&lt;('Weekly Minimums Planner'!$S$6/2),'Weekly Minimums Planner'!$R$8,IF(H9&lt;'Weekly Minimums Planner'!$S$6,'Weekly Minimums Planner'!$R$9,'Weekly Minimums Planner'!$R$10))),"")</f>
        <v/>
      </c>
      <c r="I10" s="204" t="str">
        <f>IF(I7&gt;0,IF(I9&lt;0,'Weekly Minimums Planner'!$R$7,IF(I9&lt;('Weekly Minimums Planner'!$S$6/2),'Weekly Minimums Planner'!$R$8,IF(I9&lt;'Weekly Minimums Planner'!$S$6,'Weekly Minimums Planner'!$R$9,'Weekly Minimums Planner'!$R$10))),"")</f>
        <v/>
      </c>
      <c r="J10" s="204" t="str">
        <f>IF(J7&gt;0,IF(J9&lt;0,'Weekly Minimums Planner'!$R$7,IF(J9&lt;('Weekly Minimums Planner'!$S$6/2),'Weekly Minimums Planner'!$R$8,IF(J9&lt;'Weekly Minimums Planner'!$S$6,'Weekly Minimums Planner'!$R$9,'Weekly Minimums Planner'!$R$10))),"")</f>
        <v/>
      </c>
      <c r="K10" s="204" t="str">
        <f>IF(K7&gt;0,IF(K9&lt;0,'Weekly Minimums Planner'!$R$7,IF(K9&lt;('Weekly Minimums Planner'!$S$6/2),'Weekly Minimums Planner'!$R$8,IF(K9&lt;'Weekly Minimums Planner'!$S$6,'Weekly Minimums Planner'!$R$9,'Weekly Minimums Planner'!$R$10))),"")</f>
        <v/>
      </c>
      <c r="L10" s="204" t="str">
        <f>IF(L7&gt;0,IF(L9&lt;0,'Weekly Minimums Planner'!$R$7,IF(L9&lt;('Weekly Minimums Planner'!$S$6/2),'Weekly Minimums Planner'!$R$8,IF(L9&lt;'Weekly Minimums Planner'!$S$6,'Weekly Minimums Planner'!$R$9,'Weekly Minimums Planner'!$R$10))),"")</f>
        <v/>
      </c>
      <c r="M10" s="204" t="str">
        <f>IF(M7&gt;0,IF(M9&lt;0,'Weekly Minimums Planner'!$R$7,IF(M9&lt;('Weekly Minimums Planner'!$S$6/2),'Weekly Minimums Planner'!$R$8,IF(M9&lt;'Weekly Minimums Planner'!$S$6,'Weekly Minimums Planner'!$R$9,'Weekly Minimums Planner'!$R$10))),"")</f>
        <v/>
      </c>
      <c r="N10" s="204" t="str">
        <f>IF(N7&gt;0,IF(N9&lt;0,'Weekly Minimums Planner'!$R$7,IF(N9&lt;('Weekly Minimums Planner'!$S$6/2),'Weekly Minimums Planner'!$R$8,IF(N9&lt;'Weekly Minimums Planner'!$S$6,'Weekly Minimums Planner'!$R$9,'Weekly Minimums Planner'!$R$10))),"")</f>
        <v/>
      </c>
      <c r="O10" s="204" t="str">
        <f>IF(O7&gt;0,IF(O9&lt;0,'Weekly Minimums Planner'!$R$7,IF(O9&lt;('Weekly Minimums Planner'!$S$6/2),'Weekly Minimums Planner'!$R$8,IF(O9&lt;'Weekly Minimums Planner'!$S$6,'Weekly Minimums Planner'!$R$9,'Weekly Minimums Planner'!$R$10))),"")</f>
        <v/>
      </c>
      <c r="P10" s="204" t="str">
        <f>IF(P7&gt;0,IF(P9&lt;0,'Weekly Minimums Planner'!$R$7,IF(P9&lt;('Weekly Minimums Planner'!$S$6/2),'Weekly Minimums Planner'!$R$8,IF(P9&lt;'Weekly Minimums Planner'!$S$6,'Weekly Minimums Planner'!$R$9,'Weekly Minimums Planner'!$R$10))),"")</f>
        <v/>
      </c>
      <c r="Q10" s="204" t="str">
        <f>IF(Q7&gt;0,IF(Q9&lt;0,'Weekly Minimums Planner'!$R$7,IF(Q9&lt;('Weekly Minimums Planner'!$S$6/2),'Weekly Minimums Planner'!$R$8,IF(Q9&lt;'Weekly Minimums Planner'!$S$6,'Weekly Minimums Planner'!$R$9,'Weekly Minimums Planner'!$R$10))),"")</f>
        <v/>
      </c>
      <c r="R10" s="204" t="str">
        <f>IF(R7&gt;0,IF(R9&lt;0,'Weekly Minimums Planner'!$R$7,IF(R9&lt;('Weekly Minimums Planner'!$S$6/2),'Weekly Minimums Planner'!$R$8,IF(R9&lt;'Weekly Minimums Planner'!$S$6,'Weekly Minimums Planner'!$R$9,'Weekly Minimums Planner'!$R$10))),"")</f>
        <v/>
      </c>
      <c r="S10" s="204" t="str">
        <f>IF(S7&gt;0,IF(S9&lt;0,'Weekly Minimums Planner'!$R$7,IF(S9&lt;('Weekly Minimums Planner'!$S$6/2),'Weekly Minimums Planner'!$R$8,IF(S9&lt;'Weekly Minimums Planner'!$S$6,'Weekly Minimums Planner'!$R$9,'Weekly Minimums Planner'!$R$10))),"")</f>
        <v/>
      </c>
      <c r="T10" s="204" t="str">
        <f>IF(T7&gt;0,IF(T9&lt;0,'Weekly Minimums Planner'!$R$7,IF(T9&lt;('Weekly Minimums Planner'!$S$6/2),'Weekly Minimums Planner'!$R$8,IF(T9&lt;'Weekly Minimums Planner'!$S$6,'Weekly Minimums Planner'!$R$9,'Weekly Minimums Planner'!$R$10))),"")</f>
        <v/>
      </c>
      <c r="U10" s="204" t="str">
        <f>IF(U7&gt;0,IF(U9&lt;0,'Weekly Minimums Planner'!$R$7,IF(U9&lt;('Weekly Minimums Planner'!$S$6/2),'Weekly Minimums Planner'!$R$8,IF(U9&lt;'Weekly Minimums Planner'!$S$6,'Weekly Minimums Planner'!$R$9,'Weekly Minimums Planner'!$R$10))),"")</f>
        <v/>
      </c>
      <c r="V10" s="204" t="str">
        <f>IF(V7&gt;0,IF(V9&lt;0,'Weekly Minimums Planner'!$R$7,IF(V9&lt;('Weekly Minimums Planner'!$S$6/2),'Weekly Minimums Planner'!$R$8,IF(V9&lt;'Weekly Minimums Planner'!$S$6,'Weekly Minimums Planner'!$R$9,'Weekly Minimums Planner'!$R$10))),"")</f>
        <v/>
      </c>
      <c r="W10" s="204" t="str">
        <f>IF(W7&gt;0,IF(W9&lt;0,'Weekly Minimums Planner'!$R$7,IF(W9&lt;('Weekly Minimums Planner'!$S$6/2),'Weekly Minimums Planner'!$R$8,IF(W9&lt;'Weekly Minimums Planner'!$S$6,'Weekly Minimums Planner'!$R$9,'Weekly Minimums Planner'!$R$10))),"")</f>
        <v/>
      </c>
      <c r="X10" s="204" t="str">
        <f>IF(X7&gt;0,IF(X9&lt;0,'Weekly Minimums Planner'!$R$7,IF(X9&lt;('Weekly Minimums Planner'!$S$6/2),'Weekly Minimums Planner'!$R$8,IF(X9&lt;'Weekly Minimums Planner'!$S$6,'Weekly Minimums Planner'!$R$9,'Weekly Minimums Planner'!$R$10))),"")</f>
        <v/>
      </c>
      <c r="Y10" s="200"/>
      <c r="Z10" s="200"/>
      <c r="AA10" s="200"/>
      <c r="AB10" s="200"/>
      <c r="AC10" s="200"/>
      <c r="AD10" s="200"/>
      <c r="AE10" s="200"/>
      <c r="AF10" s="200"/>
      <c r="AG10" s="80"/>
    </row>
    <row r="11" spans="2:37" s="83" customFormat="1" ht="13.5" customHeight="1">
      <c r="E11" s="84"/>
      <c r="F11" s="84"/>
      <c r="G11" s="84"/>
      <c r="H11" s="84"/>
      <c r="I11" s="84"/>
      <c r="J11" s="84"/>
      <c r="K11" s="84"/>
      <c r="L11" s="84"/>
      <c r="M11" s="84"/>
      <c r="N11" s="84"/>
      <c r="O11" s="84"/>
      <c r="P11" s="84"/>
      <c r="Q11" s="84"/>
      <c r="R11" s="84"/>
      <c r="S11" s="84"/>
      <c r="T11" s="84"/>
      <c r="U11" s="84"/>
      <c r="V11" s="84"/>
      <c r="W11" s="84"/>
      <c r="X11" s="84"/>
    </row>
    <row r="12" spans="2:37" s="75" customFormat="1" ht="19.899999999999999" customHeight="1">
      <c r="B12" s="15" t="s">
        <v>58</v>
      </c>
      <c r="C12" s="56">
        <f>'Daily &amp; Weekly Totals'!G3</f>
        <v>0</v>
      </c>
      <c r="E12" s="85">
        <f>'Value of Sales'!E$4</f>
        <v>0</v>
      </c>
      <c r="F12" s="85">
        <f>'Value of Sales'!F$4</f>
        <v>0</v>
      </c>
      <c r="G12" s="85">
        <f>'Value of Sales'!G$4</f>
        <v>0</v>
      </c>
      <c r="H12" s="85">
        <f>'Value of Sales'!H$4</f>
        <v>0</v>
      </c>
      <c r="I12" s="85">
        <f>'Value of Sales'!I$4</f>
        <v>0</v>
      </c>
      <c r="J12" s="85">
        <f>'Value of Sales'!J$4</f>
        <v>0</v>
      </c>
      <c r="K12" s="85">
        <f>'Value of Sales'!K$4</f>
        <v>0</v>
      </c>
      <c r="L12" s="85">
        <f>'Value of Sales'!L$4</f>
        <v>0</v>
      </c>
      <c r="M12" s="85">
        <f>'Value of Sales'!M$4</f>
        <v>0</v>
      </c>
      <c r="N12" s="85">
        <f>'Value of Sales'!N$4</f>
        <v>0</v>
      </c>
      <c r="O12" s="85">
        <f>'Value of Sales'!O$4</f>
        <v>0</v>
      </c>
      <c r="P12" s="85">
        <f>'Value of Sales'!P$4</f>
        <v>0</v>
      </c>
      <c r="Q12" s="85">
        <f>'Value of Sales'!Q$4</f>
        <v>0</v>
      </c>
      <c r="R12" s="85">
        <f>'Value of Sales'!R$4</f>
        <v>0</v>
      </c>
      <c r="S12" s="85">
        <f>'Value of Sales'!S$4</f>
        <v>0</v>
      </c>
      <c r="T12" s="85">
        <f>'Value of Sales'!T$4</f>
        <v>0</v>
      </c>
      <c r="U12" s="85">
        <f>'Value of Sales'!U$4</f>
        <v>0</v>
      </c>
      <c r="V12" s="85">
        <f>'Value of Sales'!V$4</f>
        <v>0</v>
      </c>
      <c r="W12" s="85">
        <f>'Value of Sales'!W$4</f>
        <v>0</v>
      </c>
      <c r="X12" s="85">
        <f>'Value of Sales'!X$4</f>
        <v>0</v>
      </c>
      <c r="Y12" s="85">
        <f>'Value of Sales'!Y$4</f>
        <v>0</v>
      </c>
      <c r="Z12" s="85">
        <f>'Value of Sales'!Z$4</f>
        <v>0</v>
      </c>
      <c r="AA12" s="85">
        <f>'Value of Sales'!AA$4</f>
        <v>0</v>
      </c>
      <c r="AB12" s="85">
        <f>'Value of Sales'!AB$4</f>
        <v>0</v>
      </c>
      <c r="AC12" s="85">
        <f>'Value of Sales'!AC$4</f>
        <v>0</v>
      </c>
      <c r="AD12" s="85">
        <f>'Value of Sales'!AD$4</f>
        <v>0</v>
      </c>
      <c r="AE12" s="85">
        <f>'Value of Sales'!AE$4</f>
        <v>0</v>
      </c>
      <c r="AF12" s="85">
        <f>'Value of Sales'!AF$4</f>
        <v>0</v>
      </c>
      <c r="AG12" s="85">
        <f>'Value of Sales'!AG$4</f>
        <v>0</v>
      </c>
    </row>
    <row r="13" spans="2:37" s="75" customFormat="1" ht="14.25" customHeight="1">
      <c r="B13" s="15" t="s">
        <v>59</v>
      </c>
      <c r="C13" s="86">
        <f>'Daily &amp; Weekly Totals'!I3</f>
        <v>0</v>
      </c>
      <c r="E13" s="86">
        <f>'Num of Sales'!E$4</f>
        <v>0</v>
      </c>
      <c r="F13" s="86">
        <f>'Num of Sales'!F$4</f>
        <v>0</v>
      </c>
      <c r="G13" s="86">
        <f>'Num of Sales'!G$4</f>
        <v>0</v>
      </c>
      <c r="H13" s="86">
        <f>'Num of Sales'!H$4</f>
        <v>0</v>
      </c>
      <c r="I13" s="86">
        <f>'Num of Sales'!I$4</f>
        <v>0</v>
      </c>
      <c r="J13" s="86">
        <f>'Num of Sales'!J$4</f>
        <v>0</v>
      </c>
      <c r="K13" s="86">
        <f>'Num of Sales'!K$4</f>
        <v>0</v>
      </c>
      <c r="L13" s="86">
        <f>'Num of Sales'!L$4</f>
        <v>0</v>
      </c>
      <c r="M13" s="86">
        <f>'Num of Sales'!M$4</f>
        <v>0</v>
      </c>
      <c r="N13" s="86">
        <f>'Num of Sales'!N$4</f>
        <v>0</v>
      </c>
      <c r="O13" s="86">
        <f>'Num of Sales'!O$4</f>
        <v>0</v>
      </c>
      <c r="P13" s="86">
        <f>'Num of Sales'!P$4</f>
        <v>0</v>
      </c>
      <c r="Q13" s="86">
        <f>'Num of Sales'!Q$4</f>
        <v>0</v>
      </c>
      <c r="R13" s="86">
        <f>'Num of Sales'!R$4</f>
        <v>0</v>
      </c>
      <c r="S13" s="86">
        <f>'Num of Sales'!S$4</f>
        <v>0</v>
      </c>
      <c r="T13" s="86">
        <f>'Num of Sales'!T$4</f>
        <v>0</v>
      </c>
      <c r="U13" s="86">
        <f>'Num of Sales'!U$4</f>
        <v>0</v>
      </c>
      <c r="V13" s="86">
        <f>'Num of Sales'!V$4</f>
        <v>0</v>
      </c>
      <c r="W13" s="86">
        <f>'Num of Sales'!W$4</f>
        <v>0</v>
      </c>
      <c r="X13" s="86">
        <f>'Num of Sales'!X$4</f>
        <v>0</v>
      </c>
      <c r="Y13" s="86">
        <f>'Num of Sales'!Y$4</f>
        <v>0</v>
      </c>
      <c r="Z13" s="86">
        <f>'Num of Sales'!Z$4</f>
        <v>0</v>
      </c>
      <c r="AA13" s="86">
        <f>'Num of Sales'!AA$4</f>
        <v>0</v>
      </c>
      <c r="AB13" s="86">
        <f>'Num of Sales'!AB$4</f>
        <v>0</v>
      </c>
      <c r="AC13" s="86">
        <f>'Num of Sales'!AC$4</f>
        <v>0</v>
      </c>
      <c r="AD13" s="86">
        <f>'Num of Sales'!AD$4</f>
        <v>0</v>
      </c>
      <c r="AE13" s="86">
        <f>'Num of Sales'!AE$4</f>
        <v>0</v>
      </c>
      <c r="AF13" s="86">
        <f>'Num of Sales'!AF$4</f>
        <v>0</v>
      </c>
      <c r="AG13" s="86">
        <f>'Num of Sales'!AG$4</f>
        <v>0</v>
      </c>
      <c r="AK13" s="198"/>
    </row>
    <row r="14" spans="2:37" s="75" customFormat="1" ht="14.25" customHeight="1">
      <c r="B14" s="15" t="s">
        <v>60</v>
      </c>
      <c r="C14" s="86">
        <f>'Daily &amp; Weekly Totals'!J3</f>
        <v>0</v>
      </c>
      <c r="E14" s="86">
        <f>'Num of Lines'!E$4</f>
        <v>0</v>
      </c>
      <c r="F14" s="86">
        <f>'Num of Lines'!F$4</f>
        <v>0</v>
      </c>
      <c r="G14" s="86">
        <f>'Num of Lines'!G$4</f>
        <v>0</v>
      </c>
      <c r="H14" s="86">
        <f>'Num of Lines'!H$4</f>
        <v>0</v>
      </c>
      <c r="I14" s="86">
        <f>'Num of Lines'!I$4</f>
        <v>0</v>
      </c>
      <c r="J14" s="86">
        <f>'Num of Lines'!J$4</f>
        <v>0</v>
      </c>
      <c r="K14" s="86">
        <f>'Num of Lines'!K$4</f>
        <v>0</v>
      </c>
      <c r="L14" s="86">
        <f>'Num of Lines'!L$4</f>
        <v>0</v>
      </c>
      <c r="M14" s="86">
        <f>'Num of Lines'!M$4</f>
        <v>0</v>
      </c>
      <c r="N14" s="86">
        <f>'Num of Lines'!N$4</f>
        <v>0</v>
      </c>
      <c r="O14" s="86">
        <f>'Num of Lines'!O$4</f>
        <v>0</v>
      </c>
      <c r="P14" s="86">
        <f>'Num of Lines'!P$4</f>
        <v>0</v>
      </c>
      <c r="Q14" s="86">
        <f>'Num of Lines'!Q$4</f>
        <v>0</v>
      </c>
      <c r="R14" s="86">
        <f>'Num of Lines'!R$4</f>
        <v>0</v>
      </c>
      <c r="S14" s="86">
        <f>'Num of Lines'!S$4</f>
        <v>0</v>
      </c>
      <c r="T14" s="86">
        <f>'Num of Lines'!T$4</f>
        <v>0</v>
      </c>
      <c r="U14" s="86">
        <f>'Num of Lines'!U$4</f>
        <v>0</v>
      </c>
      <c r="V14" s="86">
        <f>'Num of Lines'!V$4</f>
        <v>0</v>
      </c>
      <c r="W14" s="86">
        <f>'Num of Lines'!W$4</f>
        <v>0</v>
      </c>
      <c r="X14" s="86">
        <f>'Num of Lines'!X$4</f>
        <v>0</v>
      </c>
      <c r="Y14" s="86">
        <f>'Num of Lines'!Y$4</f>
        <v>0</v>
      </c>
      <c r="Z14" s="86">
        <f>'Num of Lines'!Z$4</f>
        <v>0</v>
      </c>
      <c r="AA14" s="86">
        <f>'Num of Lines'!AA$4</f>
        <v>0</v>
      </c>
      <c r="AB14" s="86">
        <f>'Num of Lines'!AB$4</f>
        <v>0</v>
      </c>
      <c r="AC14" s="86">
        <f>'Num of Lines'!AC$4</f>
        <v>0</v>
      </c>
      <c r="AD14" s="86">
        <f>'Num of Lines'!AD$4</f>
        <v>0</v>
      </c>
      <c r="AE14" s="86">
        <f>'Num of Lines'!AE$4</f>
        <v>0</v>
      </c>
      <c r="AF14" s="86">
        <f>'Num of Lines'!AF$4</f>
        <v>0</v>
      </c>
      <c r="AG14" s="86">
        <f>'Num of Lines'!AG$4</f>
        <v>0</v>
      </c>
      <c r="AK14" s="199"/>
    </row>
    <row r="15" spans="2:37" s="75" customFormat="1" ht="14.25" customHeight="1">
      <c r="B15" s="15" t="s">
        <v>61</v>
      </c>
      <c r="C15" s="86">
        <f>'Daily &amp; Weekly Totals'!K3</f>
        <v>0</v>
      </c>
      <c r="E15" s="86">
        <f>'Staff Hours'!E$4</f>
        <v>0</v>
      </c>
      <c r="F15" s="86">
        <f>'Staff Hours'!F$4</f>
        <v>0</v>
      </c>
      <c r="G15" s="86">
        <f>'Staff Hours'!G$4</f>
        <v>0</v>
      </c>
      <c r="H15" s="86">
        <f>'Staff Hours'!H$4</f>
        <v>0</v>
      </c>
      <c r="I15" s="86">
        <f>'Staff Hours'!I$4</f>
        <v>0</v>
      </c>
      <c r="J15" s="86">
        <f>'Staff Hours'!J$4</f>
        <v>0</v>
      </c>
      <c r="K15" s="86">
        <f>'Staff Hours'!K$4</f>
        <v>0</v>
      </c>
      <c r="L15" s="86">
        <f>'Staff Hours'!L$4</f>
        <v>0</v>
      </c>
      <c r="M15" s="86">
        <f>'Staff Hours'!M$4</f>
        <v>0</v>
      </c>
      <c r="N15" s="86">
        <f>'Staff Hours'!N$4</f>
        <v>0</v>
      </c>
      <c r="O15" s="86">
        <f>'Staff Hours'!O$4</f>
        <v>0</v>
      </c>
      <c r="P15" s="86">
        <f>'Staff Hours'!P$4</f>
        <v>0</v>
      </c>
      <c r="Q15" s="86">
        <f>'Staff Hours'!Q$4</f>
        <v>0</v>
      </c>
      <c r="R15" s="86">
        <f>'Staff Hours'!R$4</f>
        <v>0</v>
      </c>
      <c r="S15" s="86">
        <f>'Staff Hours'!S$4</f>
        <v>0</v>
      </c>
      <c r="T15" s="86">
        <f>'Staff Hours'!T$4</f>
        <v>0</v>
      </c>
      <c r="U15" s="86">
        <f>'Staff Hours'!U$4</f>
        <v>0</v>
      </c>
      <c r="V15" s="86">
        <f>'Staff Hours'!V$4</f>
        <v>0</v>
      </c>
      <c r="W15" s="86">
        <f>'Staff Hours'!W$4</f>
        <v>0</v>
      </c>
      <c r="X15" s="86">
        <f>'Staff Hours'!X$4</f>
        <v>0</v>
      </c>
      <c r="Y15" s="86">
        <f>'Staff Hours'!Y$4</f>
        <v>0</v>
      </c>
      <c r="Z15" s="86">
        <f>'Staff Hours'!Z$4</f>
        <v>0</v>
      </c>
      <c r="AA15" s="86">
        <f>'Staff Hours'!AA$4</f>
        <v>0</v>
      </c>
      <c r="AB15" s="86">
        <f>'Staff Hours'!AB$4</f>
        <v>0</v>
      </c>
      <c r="AC15" s="86">
        <f>'Staff Hours'!AC$4</f>
        <v>0</v>
      </c>
      <c r="AD15" s="86">
        <f>'Staff Hours'!AD$4</f>
        <v>0</v>
      </c>
      <c r="AE15" s="86">
        <f>'Staff Hours'!AE$4</f>
        <v>0</v>
      </c>
      <c r="AF15" s="86">
        <f>'Staff Hours'!AF$4</f>
        <v>0</v>
      </c>
      <c r="AG15" s="86">
        <f>'Staff Hours'!AG$4</f>
        <v>0</v>
      </c>
      <c r="AK15" s="198"/>
    </row>
    <row r="16" spans="2:37" s="75" customFormat="1" ht="14.25" customHeight="1">
      <c r="B16" s="9"/>
    </row>
    <row r="17" spans="2:33" s="75" customFormat="1" ht="14.25" customHeight="1">
      <c r="B17" s="15" t="s">
        <v>98</v>
      </c>
      <c r="C17" s="87" t="str">
        <f>IF(ISERROR(C12/C13),"",C12/C13)</f>
        <v/>
      </c>
      <c r="D17" s="88"/>
      <c r="E17" s="89" t="str">
        <f t="shared" ref="E17:AG17" si="3">IF(ISERROR(E12/E13),"",E12/E13)</f>
        <v/>
      </c>
      <c r="F17" s="89" t="str">
        <f t="shared" si="3"/>
        <v/>
      </c>
      <c r="G17" s="89" t="str">
        <f t="shared" si="3"/>
        <v/>
      </c>
      <c r="H17" s="89" t="str">
        <f t="shared" si="3"/>
        <v/>
      </c>
      <c r="I17" s="89" t="str">
        <f t="shared" si="3"/>
        <v/>
      </c>
      <c r="J17" s="89" t="str">
        <f t="shared" si="3"/>
        <v/>
      </c>
      <c r="K17" s="89" t="str">
        <f t="shared" si="3"/>
        <v/>
      </c>
      <c r="L17" s="89" t="str">
        <f t="shared" si="3"/>
        <v/>
      </c>
      <c r="M17" s="89" t="str">
        <f t="shared" si="3"/>
        <v/>
      </c>
      <c r="N17" s="89" t="str">
        <f t="shared" si="3"/>
        <v/>
      </c>
      <c r="O17" s="89" t="str">
        <f t="shared" si="3"/>
        <v/>
      </c>
      <c r="P17" s="89" t="str">
        <f t="shared" si="3"/>
        <v/>
      </c>
      <c r="Q17" s="89" t="str">
        <f t="shared" si="3"/>
        <v/>
      </c>
      <c r="R17" s="89" t="str">
        <f t="shared" si="3"/>
        <v/>
      </c>
      <c r="S17" s="89" t="str">
        <f t="shared" si="3"/>
        <v/>
      </c>
      <c r="T17" s="89" t="str">
        <f t="shared" si="3"/>
        <v/>
      </c>
      <c r="U17" s="89" t="str">
        <f t="shared" si="3"/>
        <v/>
      </c>
      <c r="V17" s="89" t="str">
        <f t="shared" si="3"/>
        <v/>
      </c>
      <c r="W17" s="89" t="str">
        <f t="shared" si="3"/>
        <v/>
      </c>
      <c r="X17" s="89" t="str">
        <f t="shared" si="3"/>
        <v/>
      </c>
      <c r="Y17" s="89" t="str">
        <f t="shared" si="3"/>
        <v/>
      </c>
      <c r="Z17" s="89" t="str">
        <f t="shared" si="3"/>
        <v/>
      </c>
      <c r="AA17" s="89" t="str">
        <f t="shared" si="3"/>
        <v/>
      </c>
      <c r="AB17" s="89" t="str">
        <f t="shared" si="3"/>
        <v/>
      </c>
      <c r="AC17" s="89" t="str">
        <f t="shared" si="3"/>
        <v/>
      </c>
      <c r="AD17" s="89" t="str">
        <f t="shared" si="3"/>
        <v/>
      </c>
      <c r="AE17" s="89" t="str">
        <f t="shared" si="3"/>
        <v/>
      </c>
      <c r="AF17" s="89" t="str">
        <f t="shared" si="3"/>
        <v/>
      </c>
      <c r="AG17" s="89" t="str">
        <f t="shared" si="3"/>
        <v/>
      </c>
    </row>
    <row r="18" spans="2:33" s="75" customFormat="1" ht="14.25" customHeight="1">
      <c r="B18" s="15" t="s">
        <v>119</v>
      </c>
      <c r="C18" s="90" t="str">
        <f>IF(ISERROR(C14/C13),"",(C14/C13))</f>
        <v/>
      </c>
      <c r="E18" s="90" t="str">
        <f t="shared" ref="E18:AG18" si="4">IF(ISERROR(E14/E13),"",(E14/E13))</f>
        <v/>
      </c>
      <c r="F18" s="90" t="str">
        <f t="shared" si="4"/>
        <v/>
      </c>
      <c r="G18" s="90" t="str">
        <f t="shared" si="4"/>
        <v/>
      </c>
      <c r="H18" s="90" t="str">
        <f t="shared" si="4"/>
        <v/>
      </c>
      <c r="I18" s="90" t="str">
        <f t="shared" si="4"/>
        <v/>
      </c>
      <c r="J18" s="90" t="str">
        <f t="shared" si="4"/>
        <v/>
      </c>
      <c r="K18" s="90" t="str">
        <f t="shared" si="4"/>
        <v/>
      </c>
      <c r="L18" s="90" t="str">
        <f t="shared" si="4"/>
        <v/>
      </c>
      <c r="M18" s="90" t="str">
        <f t="shared" si="4"/>
        <v/>
      </c>
      <c r="N18" s="90" t="str">
        <f t="shared" si="4"/>
        <v/>
      </c>
      <c r="O18" s="90" t="str">
        <f t="shared" si="4"/>
        <v/>
      </c>
      <c r="P18" s="90" t="str">
        <f t="shared" si="4"/>
        <v/>
      </c>
      <c r="Q18" s="90" t="str">
        <f t="shared" si="4"/>
        <v/>
      </c>
      <c r="R18" s="90" t="str">
        <f t="shared" si="4"/>
        <v/>
      </c>
      <c r="S18" s="90" t="str">
        <f t="shared" si="4"/>
        <v/>
      </c>
      <c r="T18" s="90" t="str">
        <f t="shared" si="4"/>
        <v/>
      </c>
      <c r="U18" s="90" t="str">
        <f t="shared" si="4"/>
        <v/>
      </c>
      <c r="V18" s="90" t="str">
        <f t="shared" si="4"/>
        <v/>
      </c>
      <c r="W18" s="90" t="str">
        <f t="shared" si="4"/>
        <v/>
      </c>
      <c r="X18" s="90" t="str">
        <f t="shared" si="4"/>
        <v/>
      </c>
      <c r="Y18" s="90" t="str">
        <f t="shared" si="4"/>
        <v/>
      </c>
      <c r="Z18" s="90" t="str">
        <f t="shared" si="4"/>
        <v/>
      </c>
      <c r="AA18" s="90" t="str">
        <f t="shared" si="4"/>
        <v/>
      </c>
      <c r="AB18" s="90" t="str">
        <f t="shared" si="4"/>
        <v/>
      </c>
      <c r="AC18" s="90" t="str">
        <f t="shared" si="4"/>
        <v/>
      </c>
      <c r="AD18" s="90" t="str">
        <f t="shared" si="4"/>
        <v/>
      </c>
      <c r="AE18" s="90" t="str">
        <f t="shared" si="4"/>
        <v/>
      </c>
      <c r="AF18" s="90" t="str">
        <f t="shared" si="4"/>
        <v/>
      </c>
      <c r="AG18" s="90" t="str">
        <f t="shared" si="4"/>
        <v/>
      </c>
    </row>
    <row r="19" spans="2:33" s="75" customFormat="1" ht="14.25" customHeight="1">
      <c r="B19" s="15" t="s">
        <v>120</v>
      </c>
      <c r="C19" s="90" t="str">
        <f>IF(ISERROR(C13/C15),"",(C13/C15))</f>
        <v/>
      </c>
      <c r="E19" s="90" t="str">
        <f t="shared" ref="E19:X19" si="5">IF(ISERROR(E13/E15),"",(E13/E15))</f>
        <v/>
      </c>
      <c r="F19" s="90" t="str">
        <f t="shared" si="5"/>
        <v/>
      </c>
      <c r="G19" s="90" t="str">
        <f t="shared" si="5"/>
        <v/>
      </c>
      <c r="H19" s="90" t="str">
        <f t="shared" si="5"/>
        <v/>
      </c>
      <c r="I19" s="90" t="str">
        <f t="shared" si="5"/>
        <v/>
      </c>
      <c r="J19" s="90" t="str">
        <f t="shared" si="5"/>
        <v/>
      </c>
      <c r="K19" s="90" t="str">
        <f t="shared" si="5"/>
        <v/>
      </c>
      <c r="L19" s="90" t="str">
        <f t="shared" si="5"/>
        <v/>
      </c>
      <c r="M19" s="90" t="str">
        <f t="shared" si="5"/>
        <v/>
      </c>
      <c r="N19" s="90" t="str">
        <f t="shared" si="5"/>
        <v/>
      </c>
      <c r="O19" s="90" t="str">
        <f t="shared" si="5"/>
        <v/>
      </c>
      <c r="P19" s="90" t="str">
        <f t="shared" si="5"/>
        <v/>
      </c>
      <c r="Q19" s="90" t="str">
        <f t="shared" si="5"/>
        <v/>
      </c>
      <c r="R19" s="90" t="str">
        <f t="shared" si="5"/>
        <v/>
      </c>
      <c r="S19" s="90" t="str">
        <f t="shared" si="5"/>
        <v/>
      </c>
      <c r="T19" s="90" t="str">
        <f t="shared" si="5"/>
        <v/>
      </c>
      <c r="U19" s="90" t="str">
        <f t="shared" si="5"/>
        <v/>
      </c>
      <c r="V19" s="90" t="str">
        <f t="shared" si="5"/>
        <v/>
      </c>
      <c r="W19" s="90" t="str">
        <f t="shared" si="5"/>
        <v/>
      </c>
      <c r="X19" s="90" t="str">
        <f t="shared" si="5"/>
        <v/>
      </c>
      <c r="Y19" s="90" t="e">
        <f t="shared" ref="Y19:AF19" si="6">Y13/Y15</f>
        <v>#DIV/0!</v>
      </c>
      <c r="Z19" s="90" t="e">
        <f t="shared" si="6"/>
        <v>#DIV/0!</v>
      </c>
      <c r="AA19" s="90" t="e">
        <f t="shared" si="6"/>
        <v>#DIV/0!</v>
      </c>
      <c r="AB19" s="90" t="e">
        <f t="shared" si="6"/>
        <v>#DIV/0!</v>
      </c>
      <c r="AC19" s="90" t="e">
        <f t="shared" si="6"/>
        <v>#DIV/0!</v>
      </c>
      <c r="AD19" s="90" t="e">
        <f t="shared" si="6"/>
        <v>#DIV/0!</v>
      </c>
      <c r="AE19" s="90" t="e">
        <f t="shared" si="6"/>
        <v>#DIV/0!</v>
      </c>
      <c r="AF19" s="90" t="e">
        <f t="shared" si="6"/>
        <v>#DIV/0!</v>
      </c>
    </row>
    <row r="20" spans="2:33" s="75" customFormat="1" ht="14.25" customHeight="1">
      <c r="B20" s="15" t="s">
        <v>121</v>
      </c>
      <c r="C20" s="56" t="str">
        <f>IF(ISERROR(C12/C15),"",(C12/C15))</f>
        <v/>
      </c>
      <c r="E20" s="56" t="str">
        <f t="shared" ref="E20:X20" si="7">IF(ISERROR(E12/E15),"",(E12/E15))</f>
        <v/>
      </c>
      <c r="F20" s="56" t="str">
        <f t="shared" si="7"/>
        <v/>
      </c>
      <c r="G20" s="56" t="str">
        <f t="shared" si="7"/>
        <v/>
      </c>
      <c r="H20" s="56" t="str">
        <f t="shared" si="7"/>
        <v/>
      </c>
      <c r="I20" s="56" t="str">
        <f t="shared" si="7"/>
        <v/>
      </c>
      <c r="J20" s="56" t="str">
        <f t="shared" si="7"/>
        <v/>
      </c>
      <c r="K20" s="56" t="str">
        <f t="shared" si="7"/>
        <v/>
      </c>
      <c r="L20" s="56" t="str">
        <f t="shared" si="7"/>
        <v/>
      </c>
      <c r="M20" s="56" t="str">
        <f t="shared" si="7"/>
        <v/>
      </c>
      <c r="N20" s="56" t="str">
        <f t="shared" si="7"/>
        <v/>
      </c>
      <c r="O20" s="56" t="str">
        <f t="shared" si="7"/>
        <v/>
      </c>
      <c r="P20" s="56" t="str">
        <f t="shared" si="7"/>
        <v/>
      </c>
      <c r="Q20" s="56" t="str">
        <f t="shared" si="7"/>
        <v/>
      </c>
      <c r="R20" s="56" t="str">
        <f t="shared" si="7"/>
        <v/>
      </c>
      <c r="S20" s="56" t="str">
        <f t="shared" si="7"/>
        <v/>
      </c>
      <c r="T20" s="56" t="str">
        <f t="shared" si="7"/>
        <v/>
      </c>
      <c r="U20" s="56" t="str">
        <f t="shared" si="7"/>
        <v/>
      </c>
      <c r="V20" s="56" t="str">
        <f t="shared" si="7"/>
        <v/>
      </c>
      <c r="W20" s="56" t="str">
        <f t="shared" si="7"/>
        <v/>
      </c>
      <c r="X20" s="56" t="str">
        <f t="shared" si="7"/>
        <v/>
      </c>
      <c r="Y20" s="56" t="e">
        <f t="shared" ref="Y20:AF20" si="8">Y12/Y15</f>
        <v>#DIV/0!</v>
      </c>
      <c r="Z20" s="56" t="e">
        <f t="shared" si="8"/>
        <v>#DIV/0!</v>
      </c>
      <c r="AA20" s="56" t="e">
        <f t="shared" si="8"/>
        <v>#DIV/0!</v>
      </c>
      <c r="AB20" s="56" t="e">
        <f t="shared" si="8"/>
        <v>#DIV/0!</v>
      </c>
      <c r="AC20" s="56" t="e">
        <f t="shared" si="8"/>
        <v>#DIV/0!</v>
      </c>
      <c r="AD20" s="56" t="e">
        <f t="shared" si="8"/>
        <v>#DIV/0!</v>
      </c>
      <c r="AE20" s="56" t="e">
        <f t="shared" si="8"/>
        <v>#DIV/0!</v>
      </c>
      <c r="AF20" s="56" t="e">
        <f t="shared" si="8"/>
        <v>#DIV/0!</v>
      </c>
    </row>
    <row r="21" spans="2:33" s="75" customFormat="1" ht="14.25" customHeight="1">
      <c r="B21" s="15" t="s">
        <v>122</v>
      </c>
      <c r="C21" s="65" t="str">
        <f>'Daily &amp; Weekly Totals'!M3</f>
        <v/>
      </c>
    </row>
    <row r="22" spans="2:33" s="75" customFormat="1" ht="14.25" customHeight="1"/>
    <row r="23" spans="2:33" s="75" customFormat="1" ht="14.25" customHeight="1">
      <c r="B23" s="15" t="s">
        <v>123</v>
      </c>
      <c r="C23" s="86"/>
      <c r="E23" s="65" t="str">
        <f t="shared" ref="E23:X23" si="9">IF(ISERROR(E15/$C$15),"",(E15/$C$15))</f>
        <v/>
      </c>
      <c r="F23" s="65" t="str">
        <f t="shared" si="9"/>
        <v/>
      </c>
      <c r="G23" s="65" t="str">
        <f t="shared" si="9"/>
        <v/>
      </c>
      <c r="H23" s="65" t="str">
        <f t="shared" si="9"/>
        <v/>
      </c>
      <c r="I23" s="65" t="str">
        <f t="shared" si="9"/>
        <v/>
      </c>
      <c r="J23" s="65" t="str">
        <f t="shared" si="9"/>
        <v/>
      </c>
      <c r="K23" s="65" t="str">
        <f t="shared" si="9"/>
        <v/>
      </c>
      <c r="L23" s="65" t="str">
        <f t="shared" si="9"/>
        <v/>
      </c>
      <c r="M23" s="65" t="str">
        <f t="shared" si="9"/>
        <v/>
      </c>
      <c r="N23" s="65" t="str">
        <f t="shared" si="9"/>
        <v/>
      </c>
      <c r="O23" s="65" t="str">
        <f t="shared" si="9"/>
        <v/>
      </c>
      <c r="P23" s="65" t="str">
        <f t="shared" si="9"/>
        <v/>
      </c>
      <c r="Q23" s="65" t="str">
        <f t="shared" si="9"/>
        <v/>
      </c>
      <c r="R23" s="65" t="str">
        <f t="shared" si="9"/>
        <v/>
      </c>
      <c r="S23" s="65" t="str">
        <f t="shared" si="9"/>
        <v/>
      </c>
      <c r="T23" s="65" t="str">
        <f t="shared" si="9"/>
        <v/>
      </c>
      <c r="U23" s="65" t="str">
        <f t="shared" si="9"/>
        <v/>
      </c>
      <c r="V23" s="65" t="str">
        <f t="shared" si="9"/>
        <v/>
      </c>
      <c r="W23" s="65" t="str">
        <f t="shared" si="9"/>
        <v/>
      </c>
      <c r="X23" s="65" t="str">
        <f t="shared" si="9"/>
        <v/>
      </c>
      <c r="Y23" s="65" t="e">
        <f t="shared" ref="Y23:AF23" si="10">Y15/$C$15</f>
        <v>#DIV/0!</v>
      </c>
      <c r="Z23" s="65" t="e">
        <f t="shared" si="10"/>
        <v>#DIV/0!</v>
      </c>
      <c r="AA23" s="65" t="e">
        <f t="shared" si="10"/>
        <v>#DIV/0!</v>
      </c>
      <c r="AB23" s="65" t="e">
        <f t="shared" si="10"/>
        <v>#DIV/0!</v>
      </c>
      <c r="AC23" s="65" t="e">
        <f t="shared" si="10"/>
        <v>#DIV/0!</v>
      </c>
      <c r="AD23" s="65" t="e">
        <f t="shared" si="10"/>
        <v>#DIV/0!</v>
      </c>
      <c r="AE23" s="65" t="e">
        <f t="shared" si="10"/>
        <v>#DIV/0!</v>
      </c>
      <c r="AF23" s="65" t="e">
        <f t="shared" si="10"/>
        <v>#DIV/0!</v>
      </c>
    </row>
    <row r="24" spans="2:33" s="75" customFormat="1" ht="14.25" customHeight="1">
      <c r="B24" s="15" t="s">
        <v>124</v>
      </c>
      <c r="C24" s="86"/>
      <c r="E24" s="65" t="str">
        <f t="shared" ref="E24:AG24" si="11">IF(ISERROR(E12/$C$12),"",(E12/$C$12))</f>
        <v/>
      </c>
      <c r="F24" s="65" t="str">
        <f t="shared" si="11"/>
        <v/>
      </c>
      <c r="G24" s="65" t="str">
        <f t="shared" si="11"/>
        <v/>
      </c>
      <c r="H24" s="65" t="str">
        <f t="shared" si="11"/>
        <v/>
      </c>
      <c r="I24" s="65" t="str">
        <f t="shared" si="11"/>
        <v/>
      </c>
      <c r="J24" s="65" t="str">
        <f t="shared" si="11"/>
        <v/>
      </c>
      <c r="K24" s="65" t="str">
        <f t="shared" si="11"/>
        <v/>
      </c>
      <c r="L24" s="65" t="str">
        <f t="shared" si="11"/>
        <v/>
      </c>
      <c r="M24" s="65" t="str">
        <f t="shared" si="11"/>
        <v/>
      </c>
      <c r="N24" s="65" t="str">
        <f t="shared" si="11"/>
        <v/>
      </c>
      <c r="O24" s="65" t="str">
        <f t="shared" si="11"/>
        <v/>
      </c>
      <c r="P24" s="65" t="str">
        <f t="shared" si="11"/>
        <v/>
      </c>
      <c r="Q24" s="65" t="str">
        <f t="shared" si="11"/>
        <v/>
      </c>
      <c r="R24" s="65" t="str">
        <f t="shared" si="11"/>
        <v/>
      </c>
      <c r="S24" s="65" t="str">
        <f t="shared" si="11"/>
        <v/>
      </c>
      <c r="T24" s="65" t="str">
        <f t="shared" si="11"/>
        <v/>
      </c>
      <c r="U24" s="65" t="str">
        <f t="shared" si="11"/>
        <v/>
      </c>
      <c r="V24" s="65" t="str">
        <f t="shared" si="11"/>
        <v/>
      </c>
      <c r="W24" s="65" t="str">
        <f t="shared" si="11"/>
        <v/>
      </c>
      <c r="X24" s="65" t="str">
        <f t="shared" si="11"/>
        <v/>
      </c>
      <c r="Y24" s="65" t="str">
        <f t="shared" si="11"/>
        <v/>
      </c>
      <c r="Z24" s="65" t="str">
        <f t="shared" si="11"/>
        <v/>
      </c>
      <c r="AA24" s="65" t="str">
        <f t="shared" si="11"/>
        <v/>
      </c>
      <c r="AB24" s="65" t="str">
        <f t="shared" si="11"/>
        <v/>
      </c>
      <c r="AC24" s="65" t="str">
        <f t="shared" si="11"/>
        <v/>
      </c>
      <c r="AD24" s="65" t="str">
        <f t="shared" si="11"/>
        <v/>
      </c>
      <c r="AE24" s="65" t="str">
        <f t="shared" si="11"/>
        <v/>
      </c>
      <c r="AF24" s="65" t="str">
        <f t="shared" si="11"/>
        <v/>
      </c>
      <c r="AG24" s="65" t="str">
        <f t="shared" si="11"/>
        <v/>
      </c>
    </row>
    <row r="25" spans="2:33" s="75" customFormat="1" ht="14.25" customHeight="1">
      <c r="B25" s="15" t="s">
        <v>125</v>
      </c>
      <c r="C25" s="86"/>
      <c r="E25" s="65" t="str">
        <f t="shared" ref="E25:AG25" si="12">IF(ISERROR(E13/$C$13),"",(E13/$C$13))</f>
        <v/>
      </c>
      <c r="F25" s="65" t="str">
        <f t="shared" si="12"/>
        <v/>
      </c>
      <c r="G25" s="65" t="str">
        <f t="shared" si="12"/>
        <v/>
      </c>
      <c r="H25" s="65" t="str">
        <f t="shared" si="12"/>
        <v/>
      </c>
      <c r="I25" s="65" t="str">
        <f t="shared" si="12"/>
        <v/>
      </c>
      <c r="J25" s="65" t="str">
        <f t="shared" si="12"/>
        <v/>
      </c>
      <c r="K25" s="65" t="str">
        <f t="shared" si="12"/>
        <v/>
      </c>
      <c r="L25" s="65" t="str">
        <f t="shared" si="12"/>
        <v/>
      </c>
      <c r="M25" s="65" t="str">
        <f t="shared" si="12"/>
        <v/>
      </c>
      <c r="N25" s="65" t="str">
        <f t="shared" si="12"/>
        <v/>
      </c>
      <c r="O25" s="65" t="str">
        <f t="shared" si="12"/>
        <v/>
      </c>
      <c r="P25" s="65" t="str">
        <f t="shared" si="12"/>
        <v/>
      </c>
      <c r="Q25" s="65" t="str">
        <f t="shared" si="12"/>
        <v/>
      </c>
      <c r="R25" s="65" t="str">
        <f t="shared" si="12"/>
        <v/>
      </c>
      <c r="S25" s="65" t="str">
        <f t="shared" si="12"/>
        <v/>
      </c>
      <c r="T25" s="65" t="str">
        <f t="shared" si="12"/>
        <v/>
      </c>
      <c r="U25" s="65" t="str">
        <f t="shared" si="12"/>
        <v/>
      </c>
      <c r="V25" s="65" t="str">
        <f t="shared" si="12"/>
        <v/>
      </c>
      <c r="W25" s="65" t="str">
        <f t="shared" si="12"/>
        <v/>
      </c>
      <c r="X25" s="65" t="str">
        <f t="shared" si="12"/>
        <v/>
      </c>
      <c r="Y25" s="65" t="str">
        <f t="shared" si="12"/>
        <v/>
      </c>
      <c r="Z25" s="65" t="str">
        <f t="shared" si="12"/>
        <v/>
      </c>
      <c r="AA25" s="65" t="str">
        <f t="shared" si="12"/>
        <v/>
      </c>
      <c r="AB25" s="65" t="str">
        <f t="shared" si="12"/>
        <v/>
      </c>
      <c r="AC25" s="65" t="str">
        <f t="shared" si="12"/>
        <v/>
      </c>
      <c r="AD25" s="65" t="str">
        <f t="shared" si="12"/>
        <v/>
      </c>
      <c r="AE25" s="65" t="str">
        <f t="shared" si="12"/>
        <v/>
      </c>
      <c r="AF25" s="65" t="str">
        <f t="shared" si="12"/>
        <v/>
      </c>
      <c r="AG25" s="65" t="str">
        <f t="shared" si="12"/>
        <v/>
      </c>
    </row>
    <row r="26" spans="2:33" s="75" customFormat="1" ht="14.25" customHeight="1"/>
    <row r="27" spans="2:33" s="75" customFormat="1" ht="14.25" customHeight="1">
      <c r="B27" s="55" t="s">
        <v>126</v>
      </c>
      <c r="C27" s="418" t="s">
        <v>127</v>
      </c>
    </row>
    <row r="28" spans="2:33" s="75" customFormat="1" ht="14.25" customHeight="1">
      <c r="B28" s="15" t="s">
        <v>71</v>
      </c>
      <c r="C28" s="56">
        <f>C29/('Store Details'!H3+1)</f>
        <v>0</v>
      </c>
      <c r="E28" s="55" t="s">
        <v>128</v>
      </c>
      <c r="F28" s="86"/>
      <c r="H28" s="15" t="s">
        <v>129</v>
      </c>
      <c r="I28" s="86"/>
      <c r="J28" s="92">
        <f>IF(C30=0,0,IF(C32&lt;1,0,IF(C32&lt;C37,0.005,IF(C32&lt;C38,0.0075,0.01))))</f>
        <v>0</v>
      </c>
    </row>
    <row r="29" spans="2:33" s="75" customFormat="1" ht="14.25" customHeight="1">
      <c r="B29" s="15" t="s">
        <v>130</v>
      </c>
      <c r="C29" s="56">
        <f>'Store Details'!H4</f>
        <v>0</v>
      </c>
      <c r="E29" s="80">
        <f t="shared" ref="E29:X29" si="13">E5</f>
        <v>0</v>
      </c>
      <c r="F29" s="80">
        <f t="shared" si="13"/>
        <v>0</v>
      </c>
      <c r="G29" s="80">
        <f t="shared" si="13"/>
        <v>0</v>
      </c>
      <c r="H29" s="80">
        <f t="shared" si="13"/>
        <v>0</v>
      </c>
      <c r="I29" s="80">
        <f t="shared" si="13"/>
        <v>0</v>
      </c>
      <c r="J29" s="80">
        <f t="shared" si="13"/>
        <v>0</v>
      </c>
      <c r="K29" s="80">
        <f t="shared" si="13"/>
        <v>0</v>
      </c>
      <c r="L29" s="80">
        <f t="shared" si="13"/>
        <v>0</v>
      </c>
      <c r="M29" s="80">
        <f t="shared" si="13"/>
        <v>0</v>
      </c>
      <c r="N29" s="80">
        <f t="shared" si="13"/>
        <v>0</v>
      </c>
      <c r="O29" s="80">
        <f t="shared" si="13"/>
        <v>0</v>
      </c>
      <c r="P29" s="80">
        <f t="shared" si="13"/>
        <v>0</v>
      </c>
      <c r="Q29" s="80">
        <f t="shared" si="13"/>
        <v>0</v>
      </c>
      <c r="R29" s="80">
        <f t="shared" si="13"/>
        <v>0</v>
      </c>
      <c r="S29" s="80">
        <f t="shared" si="13"/>
        <v>0</v>
      </c>
      <c r="T29" s="80">
        <f t="shared" si="13"/>
        <v>0</v>
      </c>
      <c r="U29" s="80">
        <f t="shared" si="13"/>
        <v>0</v>
      </c>
      <c r="V29" s="80">
        <f t="shared" si="13"/>
        <v>0</v>
      </c>
      <c r="W29" s="80">
        <f t="shared" si="13"/>
        <v>0</v>
      </c>
      <c r="X29" s="80">
        <f t="shared" si="13"/>
        <v>0</v>
      </c>
      <c r="Y29" s="80"/>
      <c r="Z29" s="80"/>
      <c r="AA29" s="80"/>
      <c r="AB29" s="80"/>
      <c r="AC29" s="80"/>
      <c r="AD29" s="80"/>
      <c r="AE29" s="80"/>
      <c r="AF29" s="80"/>
    </row>
    <row r="30" spans="2:33" s="75" customFormat="1" ht="14.25" customHeight="1">
      <c r="B30" s="15" t="s">
        <v>131</v>
      </c>
      <c r="C30" s="56">
        <f>$C$12</f>
        <v>0</v>
      </c>
      <c r="E30" s="82">
        <f>E12</f>
        <v>0</v>
      </c>
      <c r="F30" s="82">
        <f t="shared" ref="F30:X30" si="14">F12</f>
        <v>0</v>
      </c>
      <c r="G30" s="82">
        <f t="shared" si="14"/>
        <v>0</v>
      </c>
      <c r="H30" s="82">
        <f t="shared" si="14"/>
        <v>0</v>
      </c>
      <c r="I30" s="82">
        <f t="shared" si="14"/>
        <v>0</v>
      </c>
      <c r="J30" s="82">
        <f t="shared" si="14"/>
        <v>0</v>
      </c>
      <c r="K30" s="82">
        <f t="shared" si="14"/>
        <v>0</v>
      </c>
      <c r="L30" s="82">
        <f t="shared" si="14"/>
        <v>0</v>
      </c>
      <c r="M30" s="82">
        <f t="shared" si="14"/>
        <v>0</v>
      </c>
      <c r="N30" s="82">
        <f t="shared" si="14"/>
        <v>0</v>
      </c>
      <c r="O30" s="82">
        <f t="shared" si="14"/>
        <v>0</v>
      </c>
      <c r="P30" s="82">
        <f t="shared" si="14"/>
        <v>0</v>
      </c>
      <c r="Q30" s="82">
        <f t="shared" si="14"/>
        <v>0</v>
      </c>
      <c r="R30" s="82">
        <f t="shared" si="14"/>
        <v>0</v>
      </c>
      <c r="S30" s="82">
        <f t="shared" si="14"/>
        <v>0</v>
      </c>
      <c r="T30" s="82">
        <f t="shared" si="14"/>
        <v>0</v>
      </c>
      <c r="U30" s="82">
        <f t="shared" si="14"/>
        <v>0</v>
      </c>
      <c r="V30" s="82">
        <f t="shared" si="14"/>
        <v>0</v>
      </c>
      <c r="W30" s="82">
        <f t="shared" si="14"/>
        <v>0</v>
      </c>
      <c r="X30" s="82">
        <f t="shared" si="14"/>
        <v>0</v>
      </c>
      <c r="Y30" s="82" t="e">
        <f t="shared" ref="Y30:AF30" si="15">IF(Y6="CAS","NONE",Y12)</f>
        <v>#REF!</v>
      </c>
      <c r="Z30" s="82" t="e">
        <f t="shared" si="15"/>
        <v>#REF!</v>
      </c>
      <c r="AA30" s="82" t="e">
        <f t="shared" si="15"/>
        <v>#REF!</v>
      </c>
      <c r="AB30" s="82" t="e">
        <f t="shared" si="15"/>
        <v>#REF!</v>
      </c>
      <c r="AC30" s="82" t="e">
        <f t="shared" si="15"/>
        <v>#REF!</v>
      </c>
      <c r="AD30" s="82" t="e">
        <f t="shared" si="15"/>
        <v>#REF!</v>
      </c>
      <c r="AE30" s="82" t="e">
        <f t="shared" si="15"/>
        <v>#REF!</v>
      </c>
      <c r="AF30" s="82" t="e">
        <f t="shared" si="15"/>
        <v>#REF!</v>
      </c>
    </row>
    <row r="31" spans="2:33" s="75" customFormat="1" ht="14.25" customHeight="1">
      <c r="B31" s="15" t="s">
        <v>132</v>
      </c>
      <c r="C31" s="91" t="str">
        <f>IF(ISERROR(C30/C28-1),"",(C30/C28-1))</f>
        <v/>
      </c>
      <c r="E31" s="56">
        <f t="shared" ref="E31:AF31" si="16">IF(E30="NONE"," ",E30*$J$28)</f>
        <v>0</v>
      </c>
      <c r="F31" s="56">
        <f t="shared" si="16"/>
        <v>0</v>
      </c>
      <c r="G31" s="56">
        <f t="shared" si="16"/>
        <v>0</v>
      </c>
      <c r="H31" s="56">
        <f t="shared" si="16"/>
        <v>0</v>
      </c>
      <c r="I31" s="56">
        <f t="shared" si="16"/>
        <v>0</v>
      </c>
      <c r="J31" s="56">
        <f t="shared" si="16"/>
        <v>0</v>
      </c>
      <c r="K31" s="56">
        <f t="shared" si="16"/>
        <v>0</v>
      </c>
      <c r="L31" s="56">
        <f t="shared" si="16"/>
        <v>0</v>
      </c>
      <c r="M31" s="56">
        <f t="shared" si="16"/>
        <v>0</v>
      </c>
      <c r="N31" s="56">
        <f t="shared" si="16"/>
        <v>0</v>
      </c>
      <c r="O31" s="56">
        <f t="shared" si="16"/>
        <v>0</v>
      </c>
      <c r="P31" s="56">
        <f t="shared" si="16"/>
        <v>0</v>
      </c>
      <c r="Q31" s="56">
        <f t="shared" si="16"/>
        <v>0</v>
      </c>
      <c r="R31" s="56">
        <f t="shared" si="16"/>
        <v>0</v>
      </c>
      <c r="S31" s="56">
        <f t="shared" si="16"/>
        <v>0</v>
      </c>
      <c r="T31" s="56">
        <f t="shared" si="16"/>
        <v>0</v>
      </c>
      <c r="U31" s="56">
        <f t="shared" si="16"/>
        <v>0</v>
      </c>
      <c r="V31" s="56">
        <f t="shared" si="16"/>
        <v>0</v>
      </c>
      <c r="W31" s="56">
        <f t="shared" si="16"/>
        <v>0</v>
      </c>
      <c r="X31" s="56">
        <f t="shared" si="16"/>
        <v>0</v>
      </c>
      <c r="Y31" s="56" t="e">
        <f t="shared" si="16"/>
        <v>#REF!</v>
      </c>
      <c r="Z31" s="56" t="e">
        <f t="shared" si="16"/>
        <v>#REF!</v>
      </c>
      <c r="AA31" s="56" t="e">
        <f t="shared" si="16"/>
        <v>#REF!</v>
      </c>
      <c r="AB31" s="56" t="e">
        <f t="shared" si="16"/>
        <v>#REF!</v>
      </c>
      <c r="AC31" s="56" t="e">
        <f t="shared" si="16"/>
        <v>#REF!</v>
      </c>
      <c r="AD31" s="56" t="e">
        <f t="shared" si="16"/>
        <v>#REF!</v>
      </c>
      <c r="AE31" s="56" t="e">
        <f t="shared" si="16"/>
        <v>#REF!</v>
      </c>
      <c r="AF31" s="56" t="e">
        <f t="shared" si="16"/>
        <v>#REF!</v>
      </c>
    </row>
    <row r="32" spans="2:33" s="75" customFormat="1" ht="14.25" customHeight="1">
      <c r="B32" s="15" t="s">
        <v>293</v>
      </c>
      <c r="C32" s="65" t="str">
        <f>IF(ISERROR(C30/C29-1),"",((C30/C29-1))+1)</f>
        <v/>
      </c>
      <c r="Y32" s="56"/>
      <c r="Z32" s="56"/>
      <c r="AA32" s="56"/>
      <c r="AB32" s="56"/>
      <c r="AC32" s="56"/>
      <c r="AD32" s="56"/>
      <c r="AE32" s="56"/>
      <c r="AF32" s="56"/>
    </row>
    <row r="33" spans="2:32" s="75" customFormat="1" ht="14.25" customHeight="1">
      <c r="Y33" s="56"/>
      <c r="Z33" s="56"/>
      <c r="AA33" s="56"/>
      <c r="AB33" s="56"/>
      <c r="AC33" s="56"/>
      <c r="AD33" s="56"/>
      <c r="AE33" s="56"/>
      <c r="AF33" s="56"/>
    </row>
    <row r="34" spans="2:32" s="75" customFormat="1" ht="14.25" customHeight="1">
      <c r="B34" s="27" t="s">
        <v>339</v>
      </c>
      <c r="E34" s="27" t="s">
        <v>297</v>
      </c>
    </row>
    <row r="35" spans="2:32" s="75" customFormat="1" ht="14.25" customHeight="1">
      <c r="B35" s="418" t="s">
        <v>133</v>
      </c>
      <c r="C35" s="418" t="s">
        <v>134</v>
      </c>
      <c r="E35" s="55" t="s">
        <v>296</v>
      </c>
      <c r="F35" s="86"/>
      <c r="G35" s="471" t="s">
        <v>135</v>
      </c>
      <c r="H35" s="471"/>
      <c r="K35" s="471" t="s">
        <v>136</v>
      </c>
      <c r="L35" s="472"/>
      <c r="M35" s="472"/>
      <c r="N35" s="472"/>
    </row>
    <row r="36" spans="2:32" s="75" customFormat="1" ht="14.25" customHeight="1">
      <c r="B36" s="86" t="s">
        <v>19</v>
      </c>
      <c r="C36" s="65">
        <f>VLOOKUP('Store Details'!D3,'Store Details'!F38:I41,2,0)</f>
        <v>1</v>
      </c>
      <c r="E36" s="461">
        <f>$C$29*C36</f>
        <v>0</v>
      </c>
      <c r="F36" s="461"/>
      <c r="G36" s="473">
        <f>IF(C$30-E36&gt;0,"DONE",C$30-E36)</f>
        <v>0</v>
      </c>
      <c r="H36" s="473"/>
      <c r="K36" s="15" t="s">
        <v>343</v>
      </c>
      <c r="L36" s="15"/>
      <c r="M36" s="15"/>
      <c r="N36" s="420" t="e">
        <f ca="1">HLOOKUP(TODAY()-1,'Store Details'!F25:AU35,11,0)</f>
        <v>#N/A</v>
      </c>
    </row>
    <row r="37" spans="2:32" s="75" customFormat="1" ht="14.25" customHeight="1">
      <c r="B37" s="86" t="s">
        <v>337</v>
      </c>
      <c r="C37" s="65">
        <f>VLOOKUP('Store Details'!D3,'Store Details'!F38:I41,3,0)</f>
        <v>1.04</v>
      </c>
      <c r="E37" s="461">
        <f t="shared" ref="E37:E38" si="17">$C$29*C37</f>
        <v>0</v>
      </c>
      <c r="F37" s="461"/>
      <c r="G37" s="473">
        <f>IF(C$30-E37&gt;0,"DONE",C$30-E37)</f>
        <v>0</v>
      </c>
      <c r="H37" s="473"/>
      <c r="K37" s="15" t="s">
        <v>340</v>
      </c>
      <c r="L37" s="15"/>
      <c r="M37" s="15"/>
      <c r="N37" s="420">
        <f>C30</f>
        <v>0</v>
      </c>
    </row>
    <row r="38" spans="2:32" s="75" customFormat="1" ht="14.25" customHeight="1">
      <c r="B38" s="86" t="s">
        <v>338</v>
      </c>
      <c r="C38" s="65">
        <f>VLOOKUP('Store Details'!D3,'Store Details'!F38:I41,4,0)</f>
        <v>1.08</v>
      </c>
      <c r="E38" s="461">
        <f t="shared" si="17"/>
        <v>0</v>
      </c>
      <c r="F38" s="461"/>
      <c r="G38" s="473">
        <f>IF(C$30-E38&gt;0,"DONE",C$30-E38)</f>
        <v>0</v>
      </c>
      <c r="H38" s="473"/>
      <c r="K38" s="15" t="s">
        <v>341</v>
      </c>
      <c r="L38" s="15"/>
      <c r="M38" s="15"/>
      <c r="N38" s="420" t="e">
        <f ca="1">N37-N36</f>
        <v>#N/A</v>
      </c>
    </row>
    <row r="39" spans="2:32" s="75" customFormat="1" ht="14.25" customHeight="1">
      <c r="K39" s="15" t="s">
        <v>342</v>
      </c>
      <c r="L39" s="15"/>
      <c r="M39" s="15"/>
      <c r="N39" s="425" t="e">
        <f ca="1">(N37/N36)-1</f>
        <v>#N/A</v>
      </c>
    </row>
    <row r="40" spans="2:32" s="75" customFormat="1" ht="14.25" customHeight="1">
      <c r="K40" s="15" t="s">
        <v>346</v>
      </c>
      <c r="L40" s="15"/>
      <c r="M40" s="15"/>
      <c r="N40" s="420" t="e">
        <f ca="1">C29-N36+N37</f>
        <v>#N/A</v>
      </c>
    </row>
    <row r="41" spans="2:32" s="75" customFormat="1" ht="14.25" customHeight="1">
      <c r="K41" s="15" t="s">
        <v>347</v>
      </c>
      <c r="L41" s="15"/>
      <c r="M41" s="15"/>
      <c r="N41" s="425" t="str">
        <f ca="1">IF(ISERROR(N40/C29-1),"",(N40/C29-1))</f>
        <v/>
      </c>
    </row>
    <row r="42" spans="2:32" s="75" customFormat="1" ht="14.25" customHeight="1"/>
    <row r="43" spans="2:32" s="75" customFormat="1" ht="14.25" customHeight="1"/>
    <row r="44" spans="2:32" s="75" customFormat="1" ht="14.25" customHeight="1"/>
    <row r="45" spans="2:32" s="75" customFormat="1" ht="14.25" customHeight="1"/>
    <row r="46" spans="2:32" s="75" customFormat="1" ht="12.75" hidden="1" customHeight="1">
      <c r="E46" s="75" t="s">
        <v>20</v>
      </c>
      <c r="F46" s="75" t="s">
        <v>20</v>
      </c>
      <c r="G46" s="75" t="s">
        <v>20</v>
      </c>
      <c r="H46" s="75" t="s">
        <v>20</v>
      </c>
      <c r="I46" s="75" t="s">
        <v>20</v>
      </c>
      <c r="J46" s="75" t="s">
        <v>20</v>
      </c>
      <c r="K46" s="75" t="s">
        <v>20</v>
      </c>
      <c r="L46" s="75" t="s">
        <v>20</v>
      </c>
      <c r="M46" s="75" t="s">
        <v>20</v>
      </c>
      <c r="N46" s="75" t="s">
        <v>20</v>
      </c>
      <c r="O46" s="75" t="s">
        <v>20</v>
      </c>
      <c r="P46" s="75" t="s">
        <v>20</v>
      </c>
      <c r="Q46" s="75" t="s">
        <v>20</v>
      </c>
      <c r="R46" s="75" t="s">
        <v>20</v>
      </c>
    </row>
    <row r="47" spans="2:32" s="75" customFormat="1" ht="12.75" hidden="1" customHeight="1">
      <c r="E47" s="75" t="s">
        <v>21</v>
      </c>
      <c r="F47" s="75" t="s">
        <v>21</v>
      </c>
      <c r="G47" s="75" t="s">
        <v>21</v>
      </c>
      <c r="H47" s="75" t="s">
        <v>21</v>
      </c>
      <c r="I47" s="75" t="s">
        <v>21</v>
      </c>
      <c r="J47" s="75" t="s">
        <v>21</v>
      </c>
      <c r="K47" s="75" t="s">
        <v>21</v>
      </c>
      <c r="L47" s="75" t="s">
        <v>21</v>
      </c>
      <c r="M47" s="75" t="s">
        <v>21</v>
      </c>
      <c r="N47" s="75" t="s">
        <v>21</v>
      </c>
      <c r="O47" s="75" t="s">
        <v>21</v>
      </c>
      <c r="P47" s="75" t="s">
        <v>21</v>
      </c>
      <c r="Q47" s="75" t="s">
        <v>21</v>
      </c>
      <c r="R47" s="75" t="s">
        <v>21</v>
      </c>
    </row>
    <row r="48" spans="2:32" s="75" customFormat="1" ht="12.75" hidden="1" customHeight="1">
      <c r="E48" s="75" t="s">
        <v>22</v>
      </c>
      <c r="F48" s="75" t="s">
        <v>22</v>
      </c>
      <c r="G48" s="75" t="s">
        <v>22</v>
      </c>
      <c r="H48" s="75" t="s">
        <v>22</v>
      </c>
      <c r="I48" s="75" t="s">
        <v>22</v>
      </c>
      <c r="J48" s="75" t="s">
        <v>22</v>
      </c>
      <c r="K48" s="75" t="s">
        <v>22</v>
      </c>
      <c r="L48" s="75" t="s">
        <v>22</v>
      </c>
      <c r="M48" s="75" t="s">
        <v>22</v>
      </c>
      <c r="N48" s="75" t="s">
        <v>22</v>
      </c>
      <c r="O48" s="75" t="s">
        <v>22</v>
      </c>
      <c r="P48" s="75" t="s">
        <v>22</v>
      </c>
      <c r="Q48" s="75" t="s">
        <v>22</v>
      </c>
      <c r="R48" s="75" t="s">
        <v>22</v>
      </c>
    </row>
    <row r="49" spans="5:18" s="75" customFormat="1" ht="12.75" hidden="1" customHeight="1">
      <c r="E49" s="75" t="s">
        <v>23</v>
      </c>
      <c r="F49" s="75" t="s">
        <v>23</v>
      </c>
      <c r="G49" s="75" t="s">
        <v>23</v>
      </c>
      <c r="H49" s="75" t="s">
        <v>23</v>
      </c>
      <c r="I49" s="75" t="s">
        <v>23</v>
      </c>
      <c r="J49" s="75" t="s">
        <v>23</v>
      </c>
      <c r="K49" s="75" t="s">
        <v>23</v>
      </c>
      <c r="L49" s="75" t="s">
        <v>23</v>
      </c>
      <c r="M49" s="75" t="s">
        <v>23</v>
      </c>
      <c r="N49" s="75" t="s">
        <v>23</v>
      </c>
      <c r="O49" s="75" t="s">
        <v>23</v>
      </c>
      <c r="P49" s="75" t="s">
        <v>23</v>
      </c>
      <c r="Q49" s="75" t="s">
        <v>23</v>
      </c>
      <c r="R49" s="75" t="s">
        <v>23</v>
      </c>
    </row>
    <row r="50" spans="5:18" s="75" customFormat="1" ht="12.75" hidden="1" customHeight="1">
      <c r="E50" s="75" t="s">
        <v>24</v>
      </c>
      <c r="F50" s="75" t="s">
        <v>24</v>
      </c>
      <c r="G50" s="75" t="s">
        <v>24</v>
      </c>
      <c r="H50" s="75" t="s">
        <v>24</v>
      </c>
      <c r="I50" s="75" t="s">
        <v>24</v>
      </c>
      <c r="J50" s="75" t="s">
        <v>24</v>
      </c>
      <c r="K50" s="75" t="s">
        <v>24</v>
      </c>
      <c r="L50" s="75" t="s">
        <v>24</v>
      </c>
      <c r="M50" s="75" t="s">
        <v>24</v>
      </c>
      <c r="N50" s="75" t="s">
        <v>24</v>
      </c>
      <c r="O50" s="75" t="s">
        <v>24</v>
      </c>
      <c r="P50" s="75" t="s">
        <v>24</v>
      </c>
      <c r="Q50" s="75" t="s">
        <v>24</v>
      </c>
      <c r="R50" s="75" t="s">
        <v>24</v>
      </c>
    </row>
    <row r="51" spans="5:18" s="75" customFormat="1" ht="14.25" customHeight="1"/>
    <row r="52" spans="5:18" s="75" customFormat="1" ht="14.25" customHeight="1"/>
    <row r="53" spans="5:18" s="75" customFormat="1" ht="14.25" customHeight="1"/>
    <row r="54" spans="5:18" s="75" customFormat="1" ht="14.25" customHeight="1"/>
    <row r="55" spans="5:18" s="75" customFormat="1" ht="14.25" customHeight="1"/>
    <row r="56" spans="5:18" s="75" customFormat="1" ht="14.25" customHeight="1"/>
    <row r="57" spans="5:18" s="75" customFormat="1" ht="14.25" customHeight="1"/>
    <row r="58" spans="5:18" s="75" customFormat="1" ht="14.25" customHeight="1"/>
    <row r="59" spans="5:18" s="75" customFormat="1" ht="14.25" customHeight="1"/>
    <row r="60" spans="5:18" s="75" customFormat="1" ht="14.25" customHeight="1"/>
    <row r="61" spans="5:18" s="75" customFormat="1" ht="14.25" customHeight="1"/>
    <row r="62" spans="5:18" s="75" customFormat="1" ht="14.25" customHeight="1"/>
    <row r="63" spans="5:18" s="75" customFormat="1" ht="14.25" customHeight="1"/>
    <row r="64" spans="5:18" s="75" customFormat="1" ht="14.25" customHeight="1"/>
    <row r="65" s="75" customFormat="1" ht="14.25" customHeight="1"/>
    <row r="66" s="75" customFormat="1" ht="14.25" customHeight="1"/>
    <row r="67" s="75" customFormat="1" ht="14.25" customHeight="1"/>
    <row r="68" s="75" customFormat="1" ht="14.25" customHeight="1"/>
    <row r="69" s="75" customFormat="1" ht="14.25" customHeight="1"/>
    <row r="70" s="75" customFormat="1" ht="14.25" customHeight="1"/>
    <row r="71" s="75" customFormat="1" ht="14.25" customHeight="1"/>
    <row r="72" s="75" customFormat="1" ht="14.25" customHeight="1"/>
    <row r="73" s="75" customFormat="1" ht="14.25" customHeight="1"/>
    <row r="74" s="75" customFormat="1" ht="14.25" customHeight="1"/>
    <row r="75" s="75" customFormat="1" ht="14.25" customHeight="1"/>
    <row r="76" s="75" customFormat="1" ht="14.25" customHeight="1"/>
    <row r="77" s="75" customFormat="1" ht="14.25" customHeight="1"/>
    <row r="78" s="75" customFormat="1" ht="14.25" customHeight="1"/>
    <row r="79" s="75" customFormat="1" ht="14.25" customHeight="1"/>
    <row r="80" s="75" customFormat="1" ht="14.25" customHeight="1"/>
    <row r="81" s="75" customFormat="1" ht="14.25" customHeight="1"/>
    <row r="82" s="75" customFormat="1" ht="14.25" customHeight="1"/>
    <row r="83" s="75" customFormat="1" ht="14.25" customHeight="1"/>
    <row r="84" s="75" customFormat="1" ht="14.25" customHeight="1"/>
    <row r="85" s="75" customFormat="1" ht="14.25" customHeight="1"/>
    <row r="86" s="75" customFormat="1" ht="14.25" customHeight="1"/>
    <row r="87" s="75" customFormat="1" ht="14.25" customHeight="1"/>
    <row r="88" s="75" customFormat="1" ht="14.25" customHeight="1"/>
    <row r="89" s="75" customFormat="1" ht="14.25" customHeight="1"/>
    <row r="90" s="75" customFormat="1" ht="14.25" customHeight="1"/>
    <row r="91" s="75" customFormat="1" ht="14.25" customHeight="1"/>
    <row r="92" s="75" customFormat="1" ht="14.25" customHeight="1"/>
    <row r="93" s="75" customFormat="1" ht="14.25" customHeight="1"/>
    <row r="94" s="75" customFormat="1" ht="14.25" customHeight="1"/>
    <row r="95" s="75" customFormat="1" ht="14.25" customHeight="1"/>
    <row r="96" s="75" customFormat="1" ht="14.25" customHeight="1"/>
    <row r="97" s="75" customFormat="1" ht="14.25" customHeight="1"/>
    <row r="98" s="75" customFormat="1" ht="14.25" customHeight="1"/>
    <row r="99" s="75" customFormat="1" ht="14.25" customHeight="1"/>
    <row r="100" s="75" customFormat="1" ht="14.25" customHeight="1"/>
    <row r="101" s="75" customFormat="1" ht="14.25" customHeight="1"/>
    <row r="102" s="75" customFormat="1" ht="14.25" customHeight="1"/>
    <row r="103" s="75" customFormat="1" ht="14.25" customHeight="1"/>
    <row r="104" s="75" customFormat="1" ht="14.25" customHeight="1"/>
    <row r="105" s="75" customFormat="1" ht="14.25" customHeight="1"/>
    <row r="106" s="75" customFormat="1" ht="14.25" customHeight="1"/>
    <row r="107" s="75" customFormat="1" ht="14.25" customHeight="1"/>
    <row r="108" s="75" customFormat="1" ht="14.25" customHeight="1"/>
    <row r="109" s="75" customFormat="1" ht="14.25" customHeight="1"/>
    <row r="110" s="75" customFormat="1" ht="14.25" customHeight="1"/>
    <row r="111" s="75" customFormat="1" ht="14.25" customHeight="1"/>
    <row r="112" s="75" customFormat="1" ht="14.25" customHeight="1"/>
    <row r="113" s="75" customFormat="1" ht="14.25" customHeight="1"/>
    <row r="114" s="75" customFormat="1" ht="14.25" customHeight="1"/>
    <row r="115" s="75" customFormat="1" ht="14.25" customHeight="1"/>
    <row r="116" s="75" customFormat="1" ht="14.25" customHeight="1"/>
    <row r="117" s="75" customFormat="1" ht="14.25" customHeight="1"/>
    <row r="118" s="75" customFormat="1" ht="14.25" customHeight="1"/>
    <row r="119" s="75" customFormat="1" ht="14.25" customHeight="1"/>
    <row r="120" s="75" customFormat="1" ht="14.25" customHeight="1"/>
    <row r="121" s="75" customFormat="1" ht="14.25" customHeight="1"/>
    <row r="122" s="75" customFormat="1" ht="14.25" customHeight="1"/>
    <row r="123" s="75" customFormat="1" ht="14.25" customHeight="1"/>
    <row r="124" s="75" customFormat="1" ht="14.25" customHeight="1"/>
    <row r="125" s="75" customFormat="1" ht="14.25" customHeight="1"/>
    <row r="126" s="75" customFormat="1" ht="14.25" customHeight="1"/>
    <row r="127" s="75" customFormat="1" ht="14.25" customHeight="1"/>
    <row r="128" s="75" customFormat="1" ht="14.25" customHeight="1"/>
    <row r="129" s="75" customFormat="1" ht="14.25" customHeight="1"/>
    <row r="130" s="75" customFormat="1" ht="14.25" customHeight="1"/>
    <row r="131" s="75" customFormat="1" ht="14.25" customHeight="1"/>
    <row r="132" s="75" customFormat="1" ht="14.25" customHeight="1"/>
    <row r="133" s="75" customFormat="1" ht="14.25" customHeight="1"/>
    <row r="134" s="75" customFormat="1" ht="14.25" customHeight="1"/>
    <row r="135" s="75" customFormat="1" ht="14.25" customHeight="1"/>
    <row r="136" s="75" customFormat="1" ht="14.25" customHeight="1"/>
    <row r="137" s="75" customFormat="1" ht="14.25" customHeight="1"/>
    <row r="138" s="75" customFormat="1" ht="14.25" customHeight="1"/>
    <row r="139" s="75" customFormat="1" ht="14.25" customHeight="1"/>
    <row r="140" s="75" customFormat="1" ht="14.25" customHeight="1"/>
    <row r="141" s="75" customFormat="1" ht="14.25" customHeight="1"/>
    <row r="142" s="75" customFormat="1" ht="14.25" customHeight="1"/>
    <row r="143" s="75" customFormat="1" ht="14.25" customHeight="1"/>
    <row r="144" s="75" customFormat="1" ht="14.25" customHeight="1"/>
    <row r="145" s="75" customFormat="1" ht="14.25" customHeight="1"/>
    <row r="146" s="75" customFormat="1" ht="14.25" customHeight="1"/>
    <row r="147" s="75" customFormat="1" ht="14.25" customHeight="1"/>
    <row r="148" s="75" customFormat="1" ht="14.25" customHeight="1"/>
    <row r="149" s="75" customFormat="1" ht="14.25" customHeight="1"/>
    <row r="150" s="75" customFormat="1" ht="14.25" customHeight="1"/>
    <row r="151" s="75" customFormat="1" ht="14.25" customHeight="1"/>
    <row r="152" s="75" customFormat="1" ht="14.25" customHeight="1"/>
    <row r="153" s="75" customFormat="1" ht="14.25" customHeight="1"/>
    <row r="154" s="75" customFormat="1" ht="14.25" customHeight="1"/>
    <row r="155" s="75" customFormat="1" ht="14.25" customHeight="1"/>
    <row r="156" s="75" customFormat="1" ht="14.25" customHeight="1"/>
    <row r="157" s="75" customFormat="1" ht="14.25" customHeight="1"/>
    <row r="158" s="75" customFormat="1" ht="14.25" customHeight="1"/>
    <row r="159" s="75" customFormat="1" ht="14.25" customHeight="1"/>
    <row r="160" s="75" customFormat="1" ht="14.25" customHeight="1"/>
    <row r="161" s="75" customFormat="1" ht="14.25" customHeight="1"/>
    <row r="162" s="75" customFormat="1" ht="14.25" customHeight="1"/>
    <row r="163" s="75" customFormat="1" ht="14.25" customHeight="1"/>
    <row r="164" s="75" customFormat="1" ht="14.25" customHeight="1"/>
    <row r="165" s="75" customFormat="1" ht="14.25" customHeight="1"/>
    <row r="166" s="75" customFormat="1" ht="14.25" customHeight="1"/>
    <row r="167" s="75" customFormat="1" ht="14.25" customHeight="1"/>
    <row r="168" s="75" customFormat="1" ht="14.25" customHeight="1"/>
    <row r="169" s="75" customFormat="1" ht="14.25" customHeight="1"/>
    <row r="170" s="75" customFormat="1" ht="14.25" customHeight="1"/>
    <row r="171" s="75" customFormat="1" ht="14.25" customHeight="1"/>
    <row r="172" s="75" customFormat="1" ht="14.25" customHeight="1"/>
    <row r="173" s="75" customFormat="1" ht="14.25" customHeight="1"/>
    <row r="174" s="75" customFormat="1" ht="14.25" customHeight="1"/>
    <row r="175" s="75" customFormat="1" ht="14.25" customHeight="1"/>
    <row r="176" s="75" customFormat="1" ht="14.25" customHeight="1"/>
    <row r="177" s="75" customFormat="1" ht="14.25" customHeight="1"/>
    <row r="178" s="75" customFormat="1" ht="14.25" customHeight="1"/>
  </sheetData>
  <sheetProtection algorithmName="SHA-512" hashValue="B/53qeYWmKbBlJdMoWksZkjXz2d7NuJkF8Sxl4yOMlYi12tVUlA0/cE2tUVSfJA4vuVzHr51dGtciff14nK02g==" saltValue="CcnOjcjFdFkwTe6qByQIxQ==" spinCount="100000" sheet="1" objects="1" scenarios="1"/>
  <mergeCells count="10">
    <mergeCell ref="F2:G2"/>
    <mergeCell ref="J2:K2"/>
    <mergeCell ref="G35:H35"/>
    <mergeCell ref="K35:N35"/>
    <mergeCell ref="E38:F38"/>
    <mergeCell ref="G38:H38"/>
    <mergeCell ref="G36:H36"/>
    <mergeCell ref="G37:H37"/>
    <mergeCell ref="E36:F36"/>
    <mergeCell ref="E37:F37"/>
  </mergeCells>
  <phoneticPr fontId="10" type="noConversion"/>
  <conditionalFormatting sqref="E12:AG12">
    <cfRule type="cellIs" dxfId="65" priority="18" stopIfTrue="1" operator="equal">
      <formula>0</formula>
    </cfRule>
  </conditionalFormatting>
  <conditionalFormatting sqref="Y9:AG10">
    <cfRule type="cellIs" dxfId="64" priority="9" operator="greaterThan">
      <formula>0.3001</formula>
    </cfRule>
    <cfRule type="cellIs" dxfId="63" priority="11" operator="greaterThan">
      <formula>0.1501</formula>
    </cfRule>
    <cfRule type="cellIs" dxfId="62" priority="13" operator="greaterThan">
      <formula>0</formula>
    </cfRule>
    <cfRule type="cellIs" dxfId="61" priority="14" operator="lessThan">
      <formula>0</formula>
    </cfRule>
  </conditionalFormatting>
  <conditionalFormatting sqref="E9:X9">
    <cfRule type="cellIs" dxfId="60" priority="23" stopIfTrue="1" operator="lessThan">
      <formula>0</formula>
    </cfRule>
    <cfRule type="cellIs" dxfId="59" priority="24" stopIfTrue="1" operator="between">
      <formula>$AJ$6</formula>
      <formula>$AJ$5</formula>
    </cfRule>
    <cfRule type="cellIs" dxfId="58" priority="25" stopIfTrue="1" operator="greaterThan">
      <formula>$AJ$5</formula>
    </cfRule>
  </conditionalFormatting>
  <dataValidations xWindow="469" yWindow="604" count="11">
    <dataValidation operator="equal" allowBlank="1" showInputMessage="1" promptTitle="Sales Target 2" prompt="Sales target for_x000a_5% Growth" sqref="E36:E38" xr:uid="{00000000-0002-0000-0300-000000000000}">
      <formula1>0</formula1>
      <formula2>0</formula2>
    </dataValidation>
    <dataValidation operator="equal" allowBlank="1" showInputMessage="1" promptTitle="Sales Required" prompt="Sales required to_x000a_reach 5% Growth" sqref="G36" xr:uid="{00000000-0002-0000-0300-000001000000}">
      <formula1>0</formula1>
      <formula2>0</formula2>
    </dataValidation>
    <dataValidation operator="equal" allowBlank="1" showInputMessage="1" promptTitle="Sales Required" prompt="Sales required to_x000a_reach 15.01% Growth" sqref="G37" xr:uid="{00000000-0002-0000-0300-000002000000}">
      <formula1>0</formula1>
      <formula2>0</formula2>
    </dataValidation>
    <dataValidation operator="equal" allowBlank="1" showInputMessage="1" promptTitle="Sales Required" prompt="Sales required to_x000a_reach 30.01% Growth" sqref="G38" xr:uid="{00000000-0002-0000-0300-000003000000}">
      <formula1>0</formula1>
      <formula2>0</formula2>
    </dataValidation>
    <dataValidation type="whole" operator="equal" promptTitle="STAFF TYPE" prompt="Possible Staff Type Values_x000a_MANAGER_x000a_ASSISTANT_x000a_FULL TIME_x000a_CASUAL" sqref="AG6:AG10 N38:N40" xr:uid="{00000000-0002-0000-0300-000004000000}">
      <formula1>0</formula1>
      <formula2>0</formula2>
    </dataValidation>
    <dataValidation operator="equal" allowBlank="1" showInputMessage="1" promptTitle="Percentage of Hours Worked" prompt="This is the percentage of the_x000a_total store hours that this _x000a_staff member worked." sqref="E23:AF23" xr:uid="{00000000-0002-0000-0300-000005000000}">
      <formula1>0</formula1>
      <formula2>0</formula2>
    </dataValidation>
    <dataValidation operator="equal" allowBlank="1" showInputMessage="1" promptTitle="Percentage of Sales Turnover" prompt="This is the percentage of the_x000a_total store sales that this _x000a_staff member processed." sqref="E24:AG24" xr:uid="{00000000-0002-0000-0300-000006000000}">
      <formula1>0</formula1>
      <formula2>0</formula2>
    </dataValidation>
    <dataValidation operator="equal" allowBlank="1" showInputMessage="1" promptTitle="Percentage of Sales Transactions" prompt="This is the percentage of the_x000a_total store transaction count that_x000a_this staff member processed." sqref="E25:AG25" xr:uid="{00000000-0002-0000-0300-000007000000}">
      <formula1>0</formula1>
      <formula2>0</formula2>
    </dataValidation>
    <dataValidation operator="equal" allowBlank="1" showInputMessage="1" promptTitle="Sales Figure for Bonus" prompt="This is the sales figure on _x000a_which the staff member's _x000a_bonus will be calculated, _x000a_subject to confirmation." sqref="E30:AF30" xr:uid="{00000000-0002-0000-0300-000008000000}">
      <formula1>0</formula1>
      <formula2>0</formula2>
    </dataValidation>
    <dataValidation operator="equal" allowBlank="1" showInputMessage="1" promptTitle="Sales Bonus" prompt="This is an estimate of the _x000a_bonus that this staff member_x000a_may be entitiled to receive,_x000a_subject to confirmation." sqref="Y31:AF33 E31:X31" xr:uid="{00000000-0002-0000-0300-000009000000}">
      <formula1>0</formula1>
      <formula2>0</formula2>
    </dataValidation>
    <dataValidation operator="equal" allowBlank="1" promptTitle="Total Month Sales From Previous Year" prompt="Enter total sales figu" sqref="C29" xr:uid="{00000000-0002-0000-0300-00000A000000}">
      <formula1>0</formula1>
      <formula2>0</formula2>
    </dataValidation>
  </dataValidations>
  <printOptions verticalCentered="1"/>
  <pageMargins left="0.51180555555555551" right="0.39374999999999999" top="0.19652777777777777" bottom="0.19652777777777777" header="0.51180555555555551" footer="0.51180555555555551"/>
  <pageSetup paperSize="9" firstPageNumber="0" orientation="landscape"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IV173"/>
  <sheetViews>
    <sheetView zoomScale="85" zoomScaleNormal="85" workbookViewId="0">
      <pane xSplit="2" ySplit="2" topLeftCell="C3" activePane="bottomRight" state="frozen"/>
      <selection pane="topRight" activeCell="D1" sqref="D1"/>
      <selection pane="bottomLeft" activeCell="A18" sqref="A18"/>
      <selection pane="bottomRight" activeCell="G4" sqref="G4"/>
    </sheetView>
  </sheetViews>
  <sheetFormatPr defaultColWidth="11.5703125" defaultRowHeight="12.75"/>
  <cols>
    <col min="2" max="2" width="10.7109375" customWidth="1"/>
    <col min="3" max="3" width="9.7109375" customWidth="1"/>
    <col min="4" max="4" width="6.7109375" customWidth="1"/>
    <col min="5" max="5" width="10.28515625" customWidth="1"/>
    <col min="6" max="6" width="10.5703125" customWidth="1"/>
    <col min="7" max="7" width="8.7109375" customWidth="1"/>
    <col min="8" max="8" width="7.5703125" customWidth="1"/>
    <col min="9" max="9" width="6.5703125" customWidth="1"/>
    <col min="10" max="10" width="11.42578125" customWidth="1"/>
    <col min="11" max="11" width="7.7109375" customWidth="1"/>
    <col min="12" max="12" width="7.5703125" customWidth="1"/>
    <col min="13" max="13" width="6.5703125" customWidth="1"/>
    <col min="14" max="14" width="11.42578125" customWidth="1"/>
    <col min="15" max="15" width="7.7109375" customWidth="1"/>
    <col min="16" max="16" width="7.5703125" customWidth="1"/>
    <col min="17" max="17" width="6.5703125" customWidth="1"/>
    <col min="18" max="18" width="11.42578125" customWidth="1"/>
    <col min="19" max="19" width="7.7109375" customWidth="1"/>
    <col min="20" max="21" width="7.5703125" customWidth="1"/>
    <col min="22" max="22" width="11.42578125" customWidth="1"/>
    <col min="23" max="23" width="7.7109375" customWidth="1"/>
    <col min="24" max="24" width="7.5703125" customWidth="1"/>
    <col min="25" max="25" width="6.5703125" customWidth="1"/>
    <col min="26" max="26" width="11.42578125" customWidth="1"/>
    <col min="27" max="27" width="7.7109375" customWidth="1"/>
    <col min="28" max="29" width="7.5703125" customWidth="1"/>
    <col min="30" max="30" width="11.42578125" customWidth="1"/>
    <col min="31" max="31" width="7.7109375" customWidth="1"/>
    <col min="32" max="32" width="7.5703125" customWidth="1"/>
    <col min="33" max="33" width="6.5703125" customWidth="1"/>
    <col min="34" max="34" width="11.42578125" customWidth="1"/>
    <col min="35" max="35" width="7.7109375" customWidth="1"/>
    <col min="36" max="36" width="7.5703125" customWidth="1"/>
    <col min="37" max="37" width="6.5703125" customWidth="1"/>
    <col min="38" max="38" width="11.42578125" customWidth="1"/>
    <col min="39" max="39" width="7.7109375" customWidth="1"/>
    <col min="40" max="40" width="7.140625" customWidth="1"/>
    <col min="41" max="41" width="6" customWidth="1"/>
    <col min="42" max="42" width="11.42578125" customWidth="1"/>
    <col min="43" max="43" width="7.7109375" customWidth="1"/>
    <col min="44" max="44" width="7.140625" customWidth="1"/>
    <col min="45" max="45" width="6" customWidth="1"/>
    <col min="46" max="46" width="10.140625" customWidth="1"/>
    <col min="47" max="47" width="7.7109375" customWidth="1"/>
    <col min="48" max="48" width="7.140625" customWidth="1"/>
    <col min="49" max="49" width="6" customWidth="1"/>
    <col min="50" max="50" width="11.42578125" customWidth="1"/>
    <col min="51" max="51" width="7.7109375" customWidth="1"/>
    <col min="52" max="52" width="7.140625" customWidth="1"/>
    <col min="53" max="53" width="6" customWidth="1"/>
    <col min="54" max="54" width="11.42578125" customWidth="1"/>
    <col min="55" max="55" width="7.7109375" customWidth="1"/>
    <col min="56" max="56" width="7.140625" customWidth="1"/>
    <col min="57" max="57" width="6" customWidth="1"/>
    <col min="58" max="58" width="11.42578125" customWidth="1"/>
    <col min="59" max="59" width="7.7109375" customWidth="1"/>
    <col min="60" max="60" width="7.5703125" customWidth="1"/>
    <col min="61" max="61" width="6.5703125" customWidth="1"/>
    <col min="62" max="62" width="11.42578125" customWidth="1"/>
    <col min="63" max="63" width="7.7109375" customWidth="1"/>
    <col min="64" max="64" width="7.5703125" customWidth="1"/>
    <col min="65" max="65" width="6.5703125" customWidth="1"/>
    <col min="66" max="66" width="11.42578125" customWidth="1"/>
    <col min="67" max="67" width="7.7109375" customWidth="1"/>
    <col min="68" max="68" width="7.5703125" customWidth="1"/>
    <col min="69" max="69" width="6.5703125" customWidth="1"/>
    <col min="70" max="70" width="10.140625" customWidth="1"/>
    <col min="71" max="71" width="7.7109375" customWidth="1"/>
    <col min="72" max="72" width="7.5703125" customWidth="1"/>
    <col min="73" max="73" width="6.5703125" customWidth="1"/>
    <col min="74" max="74" width="11.42578125" customWidth="1"/>
    <col min="75" max="75" width="7.7109375" customWidth="1"/>
    <col min="76" max="76" width="7.5703125" customWidth="1"/>
    <col min="77" max="77" width="6.5703125" customWidth="1"/>
    <col min="78" max="78" width="11.42578125" customWidth="1"/>
    <col min="79" max="79" width="7.7109375" customWidth="1"/>
    <col min="80" max="80" width="7.5703125" customWidth="1"/>
    <col min="81" max="81" width="6.5703125" customWidth="1"/>
    <col min="82" max="82" width="11.42578125" customWidth="1"/>
    <col min="83" max="83" width="7.7109375" customWidth="1"/>
    <col min="84" max="84" width="7.5703125" customWidth="1"/>
    <col min="85" max="85" width="6.5703125" customWidth="1"/>
    <col min="86" max="86" width="11.42578125" customWidth="1"/>
    <col min="87" max="87" width="7.7109375" customWidth="1"/>
    <col min="88" max="88" width="15" customWidth="1"/>
  </cols>
  <sheetData>
    <row r="1" spans="1:256" s="10" customFormat="1" ht="31.5" customHeight="1">
      <c r="A1" s="478" t="s">
        <v>57</v>
      </c>
      <c r="B1" s="478"/>
      <c r="C1" s="479" t="s">
        <v>137</v>
      </c>
      <c r="D1" s="479"/>
      <c r="E1" s="479"/>
      <c r="F1" s="474" t="s">
        <v>62</v>
      </c>
      <c r="G1" s="474"/>
      <c r="H1" s="474">
        <f>'Store Details'!C15</f>
        <v>0</v>
      </c>
      <c r="I1" s="474"/>
      <c r="J1" s="474"/>
      <c r="K1" s="474"/>
      <c r="L1" s="474">
        <f>'Store Details'!C16</f>
        <v>0</v>
      </c>
      <c r="M1" s="474"/>
      <c r="N1" s="474"/>
      <c r="O1" s="474"/>
      <c r="P1" s="474">
        <f>'Store Details'!C17</f>
        <v>0</v>
      </c>
      <c r="Q1" s="474"/>
      <c r="R1" s="474"/>
      <c r="S1" s="474"/>
      <c r="T1" s="474">
        <f>'Store Details'!C18</f>
        <v>0</v>
      </c>
      <c r="U1" s="474"/>
      <c r="V1" s="474"/>
      <c r="W1" s="474"/>
      <c r="X1" s="474">
        <f>'Store Details'!C19</f>
        <v>0</v>
      </c>
      <c r="Y1" s="474"/>
      <c r="Z1" s="474"/>
      <c r="AA1" s="474"/>
      <c r="AB1" s="474">
        <f>'Store Details'!C20</f>
        <v>0</v>
      </c>
      <c r="AC1" s="474"/>
      <c r="AD1" s="474"/>
      <c r="AE1" s="474"/>
      <c r="AF1" s="474">
        <f>'Store Details'!C21</f>
        <v>0</v>
      </c>
      <c r="AG1" s="474"/>
      <c r="AH1" s="474"/>
      <c r="AI1" s="474"/>
      <c r="AJ1" s="474">
        <f>'Store Details'!C22</f>
        <v>0</v>
      </c>
      <c r="AK1" s="474"/>
      <c r="AL1" s="474"/>
      <c r="AM1" s="474"/>
      <c r="AN1" s="474">
        <f>'Store Details'!C23</f>
        <v>0</v>
      </c>
      <c r="AO1" s="474"/>
      <c r="AP1" s="474"/>
      <c r="AQ1" s="474"/>
      <c r="AR1" s="474">
        <f>'Store Details'!C24</f>
        <v>0</v>
      </c>
      <c r="AS1" s="474"/>
      <c r="AT1" s="474"/>
      <c r="AU1" s="474"/>
      <c r="AV1" s="474">
        <f>'Store Details'!C25</f>
        <v>0</v>
      </c>
      <c r="AW1" s="474"/>
      <c r="AX1" s="474"/>
      <c r="AY1" s="474"/>
      <c r="AZ1" s="474">
        <f>'Store Details'!C26</f>
        <v>0</v>
      </c>
      <c r="BA1" s="474"/>
      <c r="BB1" s="474"/>
      <c r="BC1" s="474"/>
      <c r="BD1" s="474">
        <f>'Store Details'!C27</f>
        <v>0</v>
      </c>
      <c r="BE1" s="474"/>
      <c r="BF1" s="474"/>
      <c r="BG1" s="474"/>
      <c r="BH1" s="474">
        <f>'Store Details'!C28</f>
        <v>0</v>
      </c>
      <c r="BI1" s="474"/>
      <c r="BJ1" s="474"/>
      <c r="BK1" s="474"/>
      <c r="BL1" s="474">
        <f>'Store Details'!C29</f>
        <v>0</v>
      </c>
      <c r="BM1" s="474"/>
      <c r="BN1" s="474"/>
      <c r="BO1" s="474"/>
      <c r="BP1" s="474">
        <f>'Store Details'!C30</f>
        <v>0</v>
      </c>
      <c r="BQ1" s="474"/>
      <c r="BR1" s="474"/>
      <c r="BS1" s="474"/>
      <c r="BT1" s="474">
        <f>'Store Details'!C31</f>
        <v>0</v>
      </c>
      <c r="BU1" s="474"/>
      <c r="BV1" s="474"/>
      <c r="BW1" s="474"/>
      <c r="BX1" s="474">
        <f>'Store Details'!C32</f>
        <v>0</v>
      </c>
      <c r="BY1" s="474"/>
      <c r="BZ1" s="474"/>
      <c r="CA1" s="474"/>
      <c r="CB1" s="474">
        <f>'Store Details'!C33</f>
        <v>0</v>
      </c>
      <c r="CC1" s="474"/>
      <c r="CD1" s="474"/>
      <c r="CE1" s="474"/>
      <c r="CF1" s="474">
        <f>'Store Details'!C34</f>
        <v>0</v>
      </c>
      <c r="CG1" s="474"/>
      <c r="CH1" s="474"/>
      <c r="CI1" s="474"/>
      <c r="CJ1" s="475" t="s">
        <v>138</v>
      </c>
      <c r="CK1" s="476" t="s">
        <v>139</v>
      </c>
      <c r="CL1" s="476"/>
      <c r="CM1" s="476"/>
    </row>
    <row r="2" spans="1:256" s="73" customFormat="1" ht="16.5" customHeight="1" thickBot="1">
      <c r="A2" s="93"/>
      <c r="B2" s="94"/>
      <c r="C2" s="95" t="s">
        <v>140</v>
      </c>
      <c r="D2" s="96" t="s">
        <v>17</v>
      </c>
      <c r="E2" s="97" t="s">
        <v>141</v>
      </c>
      <c r="F2" s="98" t="s">
        <v>122</v>
      </c>
      <c r="G2" s="96" t="s">
        <v>142</v>
      </c>
      <c r="H2" s="98" t="s">
        <v>140</v>
      </c>
      <c r="I2" s="96" t="s">
        <v>17</v>
      </c>
      <c r="J2" s="96" t="s">
        <v>141</v>
      </c>
      <c r="K2" s="96" t="s">
        <v>95</v>
      </c>
      <c r="L2" s="98" t="s">
        <v>140</v>
      </c>
      <c r="M2" s="96" t="s">
        <v>17</v>
      </c>
      <c r="N2" s="96" t="s">
        <v>141</v>
      </c>
      <c r="O2" s="96" t="s">
        <v>95</v>
      </c>
      <c r="P2" s="98" t="s">
        <v>140</v>
      </c>
      <c r="Q2" s="96" t="s">
        <v>17</v>
      </c>
      <c r="R2" s="96" t="s">
        <v>141</v>
      </c>
      <c r="S2" s="96" t="s">
        <v>95</v>
      </c>
      <c r="T2" s="98" t="s">
        <v>140</v>
      </c>
      <c r="U2" s="96" t="s">
        <v>17</v>
      </c>
      <c r="V2" s="96" t="s">
        <v>141</v>
      </c>
      <c r="W2" s="96" t="s">
        <v>95</v>
      </c>
      <c r="X2" s="98" t="s">
        <v>140</v>
      </c>
      <c r="Y2" s="96" t="s">
        <v>17</v>
      </c>
      <c r="Z2" s="96" t="s">
        <v>141</v>
      </c>
      <c r="AA2" s="96" t="s">
        <v>95</v>
      </c>
      <c r="AB2" s="98" t="s">
        <v>140</v>
      </c>
      <c r="AC2" s="96" t="s">
        <v>17</v>
      </c>
      <c r="AD2" s="96" t="s">
        <v>141</v>
      </c>
      <c r="AE2" s="96" t="s">
        <v>95</v>
      </c>
      <c r="AF2" s="98" t="s">
        <v>140</v>
      </c>
      <c r="AG2" s="96" t="s">
        <v>17</v>
      </c>
      <c r="AH2" s="96" t="s">
        <v>141</v>
      </c>
      <c r="AI2" s="96" t="s">
        <v>95</v>
      </c>
      <c r="AJ2" s="98" t="s">
        <v>140</v>
      </c>
      <c r="AK2" s="96" t="s">
        <v>17</v>
      </c>
      <c r="AL2" s="96" t="s">
        <v>141</v>
      </c>
      <c r="AM2" s="96" t="s">
        <v>95</v>
      </c>
      <c r="AN2" s="98" t="s">
        <v>140</v>
      </c>
      <c r="AO2" s="96" t="s">
        <v>17</v>
      </c>
      <c r="AP2" s="96" t="s">
        <v>141</v>
      </c>
      <c r="AQ2" s="96" t="s">
        <v>95</v>
      </c>
      <c r="AR2" s="98" t="s">
        <v>140</v>
      </c>
      <c r="AS2" s="96" t="s">
        <v>17</v>
      </c>
      <c r="AT2" s="96" t="s">
        <v>141</v>
      </c>
      <c r="AU2" s="96" t="s">
        <v>95</v>
      </c>
      <c r="AV2" s="98" t="s">
        <v>140</v>
      </c>
      <c r="AW2" s="96" t="s">
        <v>17</v>
      </c>
      <c r="AX2" s="96" t="s">
        <v>141</v>
      </c>
      <c r="AY2" s="96" t="s">
        <v>95</v>
      </c>
      <c r="AZ2" s="98" t="s">
        <v>140</v>
      </c>
      <c r="BA2" s="96" t="s">
        <v>17</v>
      </c>
      <c r="BB2" s="96" t="s">
        <v>141</v>
      </c>
      <c r="BC2" s="96" t="s">
        <v>95</v>
      </c>
      <c r="BD2" s="98" t="s">
        <v>140</v>
      </c>
      <c r="BE2" s="96" t="s">
        <v>17</v>
      </c>
      <c r="BF2" s="96" t="s">
        <v>141</v>
      </c>
      <c r="BG2" s="96" t="s">
        <v>95</v>
      </c>
      <c r="BH2" s="98" t="s">
        <v>140</v>
      </c>
      <c r="BI2" s="96" t="s">
        <v>17</v>
      </c>
      <c r="BJ2" s="96" t="s">
        <v>141</v>
      </c>
      <c r="BK2" s="96" t="s">
        <v>95</v>
      </c>
      <c r="BL2" s="98" t="s">
        <v>140</v>
      </c>
      <c r="BM2" s="96" t="s">
        <v>17</v>
      </c>
      <c r="BN2" s="96" t="s">
        <v>141</v>
      </c>
      <c r="BO2" s="96" t="s">
        <v>95</v>
      </c>
      <c r="BP2" s="98" t="s">
        <v>140</v>
      </c>
      <c r="BQ2" s="96" t="s">
        <v>17</v>
      </c>
      <c r="BR2" s="96" t="s">
        <v>141</v>
      </c>
      <c r="BS2" s="96" t="s">
        <v>95</v>
      </c>
      <c r="BT2" s="98" t="s">
        <v>140</v>
      </c>
      <c r="BU2" s="96" t="s">
        <v>17</v>
      </c>
      <c r="BV2" s="96" t="s">
        <v>141</v>
      </c>
      <c r="BW2" s="96" t="s">
        <v>95</v>
      </c>
      <c r="BX2" s="98" t="s">
        <v>140</v>
      </c>
      <c r="BY2" s="96" t="s">
        <v>17</v>
      </c>
      <c r="BZ2" s="96" t="s">
        <v>141</v>
      </c>
      <c r="CA2" s="96" t="s">
        <v>95</v>
      </c>
      <c r="CB2" s="98" t="s">
        <v>140</v>
      </c>
      <c r="CC2" s="96" t="s">
        <v>17</v>
      </c>
      <c r="CD2" s="96" t="s">
        <v>141</v>
      </c>
      <c r="CE2" s="96" t="s">
        <v>95</v>
      </c>
      <c r="CF2" s="98" t="s">
        <v>140</v>
      </c>
      <c r="CG2" s="96" t="s">
        <v>17</v>
      </c>
      <c r="CH2" s="96" t="s">
        <v>141</v>
      </c>
      <c r="CI2" s="96" t="s">
        <v>95</v>
      </c>
      <c r="CJ2" s="475"/>
      <c r="CK2" s="98" t="s">
        <v>140</v>
      </c>
      <c r="CL2" s="96" t="s">
        <v>17</v>
      </c>
      <c r="CM2" s="99" t="s">
        <v>141</v>
      </c>
      <c r="CN2" s="10"/>
      <c r="IS2" s="10"/>
      <c r="IT2" s="10"/>
      <c r="IU2" s="10"/>
      <c r="IV2" s="10"/>
    </row>
    <row r="3" spans="1:256" s="10" customFormat="1" ht="17.25" customHeight="1">
      <c r="A3" s="100" t="s">
        <v>26</v>
      </c>
      <c r="B3" s="101">
        <f>'Value of Sales'!C6</f>
        <v>43920</v>
      </c>
      <c r="C3" s="342"/>
      <c r="D3" s="326"/>
      <c r="E3" s="343"/>
      <c r="F3" s="102" t="str">
        <f>IF(ISERROR('Daily &amp; Weekly Totals'!M5),"",('Daily &amp; Weekly Totals'!M5))</f>
        <v/>
      </c>
      <c r="G3" s="325"/>
      <c r="H3" s="326"/>
      <c r="I3" s="326"/>
      <c r="J3" s="327"/>
      <c r="K3" s="340"/>
      <c r="L3" s="326"/>
      <c r="M3" s="326"/>
      <c r="N3" s="327"/>
      <c r="O3" s="340"/>
      <c r="P3" s="330"/>
      <c r="Q3" s="330"/>
      <c r="R3" s="327"/>
      <c r="S3" s="340"/>
      <c r="T3" s="326"/>
      <c r="U3" s="326"/>
      <c r="V3" s="329"/>
      <c r="W3" s="340"/>
      <c r="X3" s="326"/>
      <c r="Y3" s="326"/>
      <c r="Z3" s="328"/>
      <c r="AA3" s="340"/>
      <c r="AB3" s="330"/>
      <c r="AC3" s="330"/>
      <c r="AD3" s="328"/>
      <c r="AE3" s="340"/>
      <c r="AF3" s="330"/>
      <c r="AG3" s="330"/>
      <c r="AH3" s="329"/>
      <c r="AI3" s="340"/>
      <c r="AJ3" s="330"/>
      <c r="AK3" s="330"/>
      <c r="AL3" s="329"/>
      <c r="AM3" s="340"/>
      <c r="AN3" s="330"/>
      <c r="AO3" s="330"/>
      <c r="AP3" s="329"/>
      <c r="AQ3" s="340"/>
      <c r="AR3" s="330"/>
      <c r="AS3" s="330"/>
      <c r="AT3" s="329"/>
      <c r="AU3" s="340"/>
      <c r="AV3" s="330"/>
      <c r="AW3" s="330"/>
      <c r="AX3" s="329"/>
      <c r="AY3" s="340"/>
      <c r="AZ3" s="330"/>
      <c r="BA3" s="330"/>
      <c r="BB3" s="329"/>
      <c r="BC3" s="340"/>
      <c r="BD3" s="330"/>
      <c r="BE3" s="330"/>
      <c r="BF3" s="329"/>
      <c r="BG3" s="340"/>
      <c r="BH3" s="330"/>
      <c r="BI3" s="330"/>
      <c r="BJ3" s="329"/>
      <c r="BK3" s="340"/>
      <c r="BL3" s="330"/>
      <c r="BM3" s="330"/>
      <c r="BN3" s="329"/>
      <c r="BO3" s="340"/>
      <c r="BP3" s="330"/>
      <c r="BQ3" s="330"/>
      <c r="BR3" s="329"/>
      <c r="BS3" s="340"/>
      <c r="BT3" s="330"/>
      <c r="BU3" s="330"/>
      <c r="BV3" s="329"/>
      <c r="BW3" s="340"/>
      <c r="BX3" s="330"/>
      <c r="BY3" s="330"/>
      <c r="BZ3" s="329"/>
      <c r="CA3" s="340"/>
      <c r="CB3" s="330"/>
      <c r="CC3" s="330"/>
      <c r="CD3" s="329"/>
      <c r="CE3" s="340"/>
      <c r="CF3" s="330"/>
      <c r="CG3" s="330"/>
      <c r="CH3" s="329"/>
      <c r="CI3" s="340"/>
      <c r="CJ3" s="103"/>
      <c r="CK3" s="104"/>
      <c r="CL3" s="105"/>
      <c r="CM3" s="106"/>
      <c r="CN3"/>
      <c r="IU3"/>
      <c r="IV3"/>
    </row>
    <row r="4" spans="1:256" s="10" customFormat="1" ht="17.25" customHeight="1">
      <c r="A4" s="100" t="s">
        <v>27</v>
      </c>
      <c r="B4" s="101">
        <f>'Value of Sales'!C7</f>
        <v>43921</v>
      </c>
      <c r="C4" s="342"/>
      <c r="D4" s="326"/>
      <c r="E4" s="343"/>
      <c r="F4" s="102" t="str">
        <f>IF(ISERROR('Daily &amp; Weekly Totals'!M6),"",('Daily &amp; Weekly Totals'!M6))</f>
        <v/>
      </c>
      <c r="G4" s="325"/>
      <c r="H4" s="326"/>
      <c r="I4" s="326"/>
      <c r="J4" s="327"/>
      <c r="K4" s="340"/>
      <c r="L4" s="326"/>
      <c r="M4" s="326"/>
      <c r="N4" s="327"/>
      <c r="O4" s="340"/>
      <c r="P4" s="326"/>
      <c r="Q4" s="326"/>
      <c r="R4" s="327"/>
      <c r="S4" s="340"/>
      <c r="T4" s="326"/>
      <c r="U4" s="326"/>
      <c r="V4" s="329"/>
      <c r="W4" s="340"/>
      <c r="X4" s="326"/>
      <c r="Y4" s="326"/>
      <c r="Z4" s="328"/>
      <c r="AA4" s="340"/>
      <c r="AB4" s="330"/>
      <c r="AC4" s="330"/>
      <c r="AD4" s="328"/>
      <c r="AE4" s="340"/>
      <c r="AF4" s="330"/>
      <c r="AG4" s="330"/>
      <c r="AH4" s="329"/>
      <c r="AI4" s="340"/>
      <c r="AJ4" s="330"/>
      <c r="AK4" s="330"/>
      <c r="AL4" s="329"/>
      <c r="AM4" s="340"/>
      <c r="AN4" s="330"/>
      <c r="AO4" s="330"/>
      <c r="AP4" s="329"/>
      <c r="AQ4" s="340"/>
      <c r="AR4" s="330"/>
      <c r="AS4" s="330"/>
      <c r="AT4" s="329"/>
      <c r="AU4" s="340"/>
      <c r="AV4" s="330"/>
      <c r="AW4" s="330"/>
      <c r="AX4" s="329"/>
      <c r="AY4" s="340"/>
      <c r="AZ4" s="330"/>
      <c r="BA4" s="330"/>
      <c r="BB4" s="329"/>
      <c r="BC4" s="340"/>
      <c r="BD4" s="330"/>
      <c r="BE4" s="330"/>
      <c r="BF4" s="329"/>
      <c r="BG4" s="340"/>
      <c r="BH4" s="330"/>
      <c r="BI4" s="330"/>
      <c r="BJ4" s="329"/>
      <c r="BK4" s="340"/>
      <c r="BL4" s="330"/>
      <c r="BM4" s="330"/>
      <c r="BN4" s="329"/>
      <c r="BO4" s="340"/>
      <c r="BP4" s="330"/>
      <c r="BQ4" s="330"/>
      <c r="BR4" s="329"/>
      <c r="BS4" s="340"/>
      <c r="BT4" s="330"/>
      <c r="BU4" s="330"/>
      <c r="BV4" s="329"/>
      <c r="BW4" s="340"/>
      <c r="BX4" s="330"/>
      <c r="BY4" s="330"/>
      <c r="BZ4" s="329"/>
      <c r="CA4" s="340"/>
      <c r="CB4" s="330"/>
      <c r="CC4" s="330"/>
      <c r="CD4" s="329"/>
      <c r="CE4" s="340"/>
      <c r="CF4" s="330"/>
      <c r="CG4" s="330"/>
      <c r="CH4" s="329"/>
      <c r="CI4" s="340"/>
      <c r="CJ4" s="107"/>
      <c r="CK4" s="108"/>
      <c r="CL4" s="109"/>
      <c r="CM4" s="110"/>
      <c r="CN4"/>
      <c r="IU4"/>
      <c r="IV4"/>
    </row>
    <row r="5" spans="1:256" s="10" customFormat="1" ht="17.25" customHeight="1">
      <c r="A5" s="100" t="s">
        <v>28</v>
      </c>
      <c r="B5" s="101">
        <f>'Value of Sales'!C8</f>
        <v>43922</v>
      </c>
      <c r="C5" s="342"/>
      <c r="D5" s="326"/>
      <c r="E5" s="343"/>
      <c r="F5" s="102" t="str">
        <f>IF(ISERROR('Daily &amp; Weekly Totals'!M7),"",('Daily &amp; Weekly Totals'!M7))</f>
        <v/>
      </c>
      <c r="G5" s="325"/>
      <c r="H5" s="326"/>
      <c r="I5" s="326"/>
      <c r="J5" s="327"/>
      <c r="K5" s="340"/>
      <c r="L5" s="326"/>
      <c r="M5" s="326"/>
      <c r="N5" s="327"/>
      <c r="O5" s="340"/>
      <c r="P5" s="326"/>
      <c r="Q5" s="326"/>
      <c r="R5" s="327"/>
      <c r="S5" s="340"/>
      <c r="T5" s="326"/>
      <c r="U5" s="326"/>
      <c r="V5" s="329"/>
      <c r="W5" s="340"/>
      <c r="X5" s="326"/>
      <c r="Y5" s="326"/>
      <c r="Z5" s="328"/>
      <c r="AA5" s="340"/>
      <c r="AB5" s="330"/>
      <c r="AC5" s="330"/>
      <c r="AD5" s="328"/>
      <c r="AE5" s="340"/>
      <c r="AF5" s="330"/>
      <c r="AG5" s="330"/>
      <c r="AH5" s="329"/>
      <c r="AI5" s="340"/>
      <c r="AJ5" s="330"/>
      <c r="AK5" s="330"/>
      <c r="AL5" s="329"/>
      <c r="AM5" s="340"/>
      <c r="AN5" s="330"/>
      <c r="AO5" s="330"/>
      <c r="AP5" s="329"/>
      <c r="AQ5" s="340"/>
      <c r="AR5" s="330"/>
      <c r="AS5" s="330"/>
      <c r="AT5" s="329"/>
      <c r="AU5" s="340"/>
      <c r="AV5" s="330"/>
      <c r="AW5" s="330"/>
      <c r="AX5" s="329"/>
      <c r="AY5" s="340"/>
      <c r="AZ5" s="330"/>
      <c r="BA5" s="330"/>
      <c r="BB5" s="329"/>
      <c r="BC5" s="340"/>
      <c r="BD5" s="330"/>
      <c r="BE5" s="330"/>
      <c r="BF5" s="329"/>
      <c r="BG5" s="340"/>
      <c r="BH5" s="330"/>
      <c r="BI5" s="330"/>
      <c r="BJ5" s="329"/>
      <c r="BK5" s="340"/>
      <c r="BL5" s="330"/>
      <c r="BM5" s="330"/>
      <c r="BN5" s="329"/>
      <c r="BO5" s="340"/>
      <c r="BP5" s="330"/>
      <c r="BQ5" s="330"/>
      <c r="BR5" s="329"/>
      <c r="BS5" s="340"/>
      <c r="BT5" s="330"/>
      <c r="BU5" s="330"/>
      <c r="BV5" s="329"/>
      <c r="BW5" s="340"/>
      <c r="BX5" s="330"/>
      <c r="BY5" s="330"/>
      <c r="BZ5" s="329"/>
      <c r="CA5" s="340"/>
      <c r="CB5" s="330"/>
      <c r="CC5" s="330"/>
      <c r="CD5" s="329"/>
      <c r="CE5" s="340"/>
      <c r="CF5" s="330"/>
      <c r="CG5" s="330"/>
      <c r="CH5" s="329"/>
      <c r="CI5" s="340"/>
      <c r="CJ5" s="107"/>
      <c r="CK5" s="108"/>
      <c r="CL5" s="109"/>
      <c r="CM5" s="110"/>
      <c r="CN5"/>
      <c r="IU5"/>
      <c r="IV5"/>
    </row>
    <row r="6" spans="1:256" s="10" customFormat="1" ht="17.25" customHeight="1">
      <c r="A6" s="100" t="s">
        <v>29</v>
      </c>
      <c r="B6" s="101">
        <f>'Value of Sales'!C9</f>
        <v>43923</v>
      </c>
      <c r="C6" s="342"/>
      <c r="D6" s="326"/>
      <c r="E6" s="343"/>
      <c r="F6" s="102" t="str">
        <f>IF(ISERROR('Daily &amp; Weekly Totals'!M8),"",('Daily &amp; Weekly Totals'!M8))</f>
        <v/>
      </c>
      <c r="G6" s="325"/>
      <c r="H6" s="326"/>
      <c r="I6" s="326"/>
      <c r="J6" s="327"/>
      <c r="K6" s="340"/>
      <c r="L6" s="326"/>
      <c r="M6" s="326"/>
      <c r="N6" s="327"/>
      <c r="O6" s="340"/>
      <c r="P6" s="326"/>
      <c r="Q6" s="326"/>
      <c r="R6" s="327"/>
      <c r="S6" s="340"/>
      <c r="T6" s="326"/>
      <c r="U6" s="326"/>
      <c r="V6" s="329"/>
      <c r="W6" s="340"/>
      <c r="X6" s="326"/>
      <c r="Y6" s="326"/>
      <c r="Z6" s="328"/>
      <c r="AA6" s="340"/>
      <c r="AB6" s="330"/>
      <c r="AC6" s="330"/>
      <c r="AD6" s="328"/>
      <c r="AE6" s="340"/>
      <c r="AF6" s="330"/>
      <c r="AG6" s="330"/>
      <c r="AH6" s="329"/>
      <c r="AI6" s="340"/>
      <c r="AJ6" s="330"/>
      <c r="AK6" s="330"/>
      <c r="AL6" s="329"/>
      <c r="AM6" s="340"/>
      <c r="AN6" s="330"/>
      <c r="AO6" s="330"/>
      <c r="AP6" s="329"/>
      <c r="AQ6" s="340"/>
      <c r="AR6" s="330"/>
      <c r="AS6" s="330"/>
      <c r="AT6" s="329"/>
      <c r="AU6" s="340"/>
      <c r="AV6" s="330"/>
      <c r="AW6" s="330"/>
      <c r="AX6" s="329"/>
      <c r="AY6" s="340"/>
      <c r="AZ6" s="330"/>
      <c r="BA6" s="330"/>
      <c r="BB6" s="329"/>
      <c r="BC6" s="340"/>
      <c r="BD6" s="330"/>
      <c r="BE6" s="330"/>
      <c r="BF6" s="329"/>
      <c r="BG6" s="340"/>
      <c r="BH6" s="330"/>
      <c r="BI6" s="330"/>
      <c r="BJ6" s="329"/>
      <c r="BK6" s="340"/>
      <c r="BL6" s="330"/>
      <c r="BM6" s="330"/>
      <c r="BN6" s="329"/>
      <c r="BO6" s="340"/>
      <c r="BP6" s="330"/>
      <c r="BQ6" s="330"/>
      <c r="BR6" s="329"/>
      <c r="BS6" s="340"/>
      <c r="BT6" s="330"/>
      <c r="BU6" s="330"/>
      <c r="BV6" s="329"/>
      <c r="BW6" s="340"/>
      <c r="BX6" s="330"/>
      <c r="BY6" s="330"/>
      <c r="BZ6" s="329"/>
      <c r="CA6" s="340"/>
      <c r="CB6" s="330"/>
      <c r="CC6" s="330"/>
      <c r="CD6" s="329"/>
      <c r="CE6" s="340"/>
      <c r="CF6" s="330"/>
      <c r="CG6" s="330"/>
      <c r="CH6" s="329"/>
      <c r="CI6" s="340"/>
      <c r="CJ6" s="107"/>
      <c r="CK6" s="108"/>
      <c r="CL6" s="109"/>
      <c r="CM6" s="110"/>
      <c r="CN6"/>
      <c r="IU6"/>
      <c r="IV6"/>
    </row>
    <row r="7" spans="1:256" s="10" customFormat="1" ht="17.25" customHeight="1">
      <c r="A7" s="100" t="s">
        <v>30</v>
      </c>
      <c r="B7" s="101">
        <f>'Value of Sales'!C10</f>
        <v>43924</v>
      </c>
      <c r="C7" s="342"/>
      <c r="D7" s="326"/>
      <c r="E7" s="343"/>
      <c r="F7" s="102" t="str">
        <f>IF(ISERROR('Daily &amp; Weekly Totals'!M9),"",('Daily &amp; Weekly Totals'!M9))</f>
        <v/>
      </c>
      <c r="G7" s="325"/>
      <c r="H7" s="326"/>
      <c r="I7" s="326"/>
      <c r="J7" s="327"/>
      <c r="K7" s="340"/>
      <c r="L7" s="326"/>
      <c r="M7" s="326"/>
      <c r="N7" s="327"/>
      <c r="O7" s="340"/>
      <c r="P7" s="330"/>
      <c r="Q7" s="330"/>
      <c r="R7" s="327"/>
      <c r="S7" s="340"/>
      <c r="T7" s="326"/>
      <c r="U7" s="326"/>
      <c r="V7" s="328"/>
      <c r="W7" s="340"/>
      <c r="X7" s="326"/>
      <c r="Y7" s="326"/>
      <c r="Z7" s="328"/>
      <c r="AA7" s="340"/>
      <c r="AB7" s="330"/>
      <c r="AC7" s="330"/>
      <c r="AD7" s="328"/>
      <c r="AE7" s="340"/>
      <c r="AF7" s="330"/>
      <c r="AG7" s="330"/>
      <c r="AH7" s="329"/>
      <c r="AI7" s="340"/>
      <c r="AJ7" s="330"/>
      <c r="AK7" s="330"/>
      <c r="AL7" s="329"/>
      <c r="AM7" s="340"/>
      <c r="AN7" s="427"/>
      <c r="AO7" s="427"/>
      <c r="AP7" s="428"/>
      <c r="AQ7" s="429"/>
      <c r="AR7" s="427"/>
      <c r="AS7" s="427"/>
      <c r="AT7" s="428"/>
      <c r="AU7" s="429"/>
      <c r="AV7" s="330"/>
      <c r="AW7" s="330"/>
      <c r="AX7" s="329"/>
      <c r="AY7" s="340"/>
      <c r="AZ7" s="330"/>
      <c r="BA7" s="330"/>
      <c r="BB7" s="329"/>
      <c r="BC7" s="340"/>
      <c r="BD7" s="330"/>
      <c r="BE7" s="330"/>
      <c r="BF7" s="329"/>
      <c r="BG7" s="340"/>
      <c r="BH7" s="330"/>
      <c r="BI7" s="330"/>
      <c r="BJ7" s="329"/>
      <c r="BK7" s="340"/>
      <c r="BL7" s="330"/>
      <c r="BM7" s="330"/>
      <c r="BN7" s="329"/>
      <c r="BO7" s="340"/>
      <c r="BP7" s="330"/>
      <c r="BQ7" s="330"/>
      <c r="BR7" s="329"/>
      <c r="BS7" s="340"/>
      <c r="BT7" s="330"/>
      <c r="BU7" s="330"/>
      <c r="BV7" s="329"/>
      <c r="BW7" s="340"/>
      <c r="BX7" s="330"/>
      <c r="BY7" s="330"/>
      <c r="BZ7" s="329"/>
      <c r="CA7" s="340"/>
      <c r="CB7" s="330"/>
      <c r="CC7" s="330"/>
      <c r="CD7" s="329"/>
      <c r="CE7" s="340"/>
      <c r="CF7" s="330"/>
      <c r="CG7" s="330"/>
      <c r="CH7" s="329"/>
      <c r="CI7" s="340"/>
      <c r="CJ7" s="107"/>
      <c r="CK7" s="108"/>
      <c r="CL7" s="109"/>
      <c r="CM7" s="110"/>
      <c r="CN7"/>
      <c r="IU7"/>
      <c r="IV7"/>
    </row>
    <row r="8" spans="1:256" s="10" customFormat="1" ht="17.25" customHeight="1">
      <c r="A8" s="100" t="s">
        <v>31</v>
      </c>
      <c r="B8" s="101">
        <f>'Value of Sales'!C11</f>
        <v>43925</v>
      </c>
      <c r="C8" s="342"/>
      <c r="D8" s="326"/>
      <c r="E8" s="343"/>
      <c r="F8" s="102" t="str">
        <f>IF(ISERROR('Daily &amp; Weekly Totals'!M10),"",('Daily &amp; Weekly Totals'!M10))</f>
        <v/>
      </c>
      <c r="G8" s="325"/>
      <c r="H8" s="326"/>
      <c r="I8" s="326"/>
      <c r="J8" s="327"/>
      <c r="K8" s="340"/>
      <c r="L8" s="326"/>
      <c r="M8" s="326"/>
      <c r="N8" s="328"/>
      <c r="O8" s="340"/>
      <c r="P8" s="330"/>
      <c r="Q8" s="330"/>
      <c r="R8" s="330"/>
      <c r="S8" s="340"/>
      <c r="T8" s="326"/>
      <c r="U8" s="326"/>
      <c r="V8" s="328"/>
      <c r="W8" s="340"/>
      <c r="X8" s="326"/>
      <c r="Y8" s="326"/>
      <c r="Z8" s="328"/>
      <c r="AA8" s="340"/>
      <c r="AB8" s="330"/>
      <c r="AC8" s="330"/>
      <c r="AD8" s="329"/>
      <c r="AE8" s="340"/>
      <c r="AF8" s="330"/>
      <c r="AG8" s="330"/>
      <c r="AH8" s="329"/>
      <c r="AI8" s="340"/>
      <c r="AJ8" s="330"/>
      <c r="AK8" s="330"/>
      <c r="AL8" s="329"/>
      <c r="AM8" s="340"/>
      <c r="AN8" s="427"/>
      <c r="AO8" s="427"/>
      <c r="AP8" s="428"/>
      <c r="AQ8" s="429"/>
      <c r="AR8" s="427"/>
      <c r="AS8" s="427"/>
      <c r="AT8" s="428"/>
      <c r="AU8" s="429"/>
      <c r="AV8" s="330"/>
      <c r="AW8" s="330"/>
      <c r="AX8" s="329"/>
      <c r="AY8" s="340"/>
      <c r="AZ8" s="330"/>
      <c r="BA8" s="330"/>
      <c r="BB8" s="329"/>
      <c r="BC8" s="340"/>
      <c r="BD8" s="330"/>
      <c r="BE8" s="330"/>
      <c r="BF8" s="329"/>
      <c r="BG8" s="340"/>
      <c r="BH8" s="330"/>
      <c r="BI8" s="330"/>
      <c r="BJ8" s="329"/>
      <c r="BK8" s="340"/>
      <c r="BL8" s="330"/>
      <c r="BM8" s="330"/>
      <c r="BN8" s="329"/>
      <c r="BO8" s="340"/>
      <c r="BP8" s="330"/>
      <c r="BQ8" s="330"/>
      <c r="BR8" s="329"/>
      <c r="BS8" s="340"/>
      <c r="BT8" s="330"/>
      <c r="BU8" s="330"/>
      <c r="BV8" s="329"/>
      <c r="BW8" s="340"/>
      <c r="BX8" s="330"/>
      <c r="BY8" s="330"/>
      <c r="BZ8" s="329"/>
      <c r="CA8" s="340"/>
      <c r="CB8" s="330"/>
      <c r="CC8" s="330"/>
      <c r="CD8" s="329"/>
      <c r="CE8" s="340"/>
      <c r="CF8" s="330"/>
      <c r="CG8" s="330"/>
      <c r="CH8" s="329"/>
      <c r="CI8" s="340"/>
      <c r="CJ8" s="107"/>
      <c r="CK8" s="108"/>
      <c r="CL8" s="109"/>
      <c r="CM8" s="110"/>
      <c r="CN8"/>
      <c r="IU8"/>
      <c r="IV8"/>
    </row>
    <row r="9" spans="1:256" s="10" customFormat="1" ht="17.25" customHeight="1" thickBot="1">
      <c r="A9" s="111" t="s">
        <v>32</v>
      </c>
      <c r="B9" s="112">
        <f>'Value of Sales'!C12</f>
        <v>43926</v>
      </c>
      <c r="C9" s="344"/>
      <c r="D9" s="345"/>
      <c r="E9" s="346"/>
      <c r="F9" s="113" t="str">
        <f>IF(ISERROR('Daily &amp; Weekly Totals'!M11),"",('Daily &amp; Weekly Totals'!M11))</f>
        <v/>
      </c>
      <c r="G9" s="331"/>
      <c r="H9" s="345"/>
      <c r="I9" s="345"/>
      <c r="J9" s="332"/>
      <c r="K9" s="333"/>
      <c r="L9" s="345"/>
      <c r="M9" s="345"/>
      <c r="N9" s="334"/>
      <c r="O9" s="333"/>
      <c r="P9" s="345"/>
      <c r="Q9" s="345"/>
      <c r="R9" s="334"/>
      <c r="S9" s="333"/>
      <c r="T9" s="335"/>
      <c r="U9" s="345"/>
      <c r="V9" s="334"/>
      <c r="W9" s="333"/>
      <c r="X9" s="345"/>
      <c r="Y9" s="345"/>
      <c r="Z9" s="334"/>
      <c r="AA9" s="333"/>
      <c r="AB9" s="335"/>
      <c r="AC9" s="345"/>
      <c r="AD9" s="334"/>
      <c r="AE9" s="333"/>
      <c r="AF9" s="335"/>
      <c r="AG9" s="335"/>
      <c r="AH9" s="336"/>
      <c r="AI9" s="333"/>
      <c r="AJ9" s="335"/>
      <c r="AK9" s="335"/>
      <c r="AL9" s="336"/>
      <c r="AM9" s="333"/>
      <c r="AN9" s="430"/>
      <c r="AO9" s="430"/>
      <c r="AP9" s="431"/>
      <c r="AQ9" s="432"/>
      <c r="AR9" s="430"/>
      <c r="AS9" s="430"/>
      <c r="AT9" s="431"/>
      <c r="AU9" s="432"/>
      <c r="AV9" s="335"/>
      <c r="AW9" s="335"/>
      <c r="AX9" s="336"/>
      <c r="AY9" s="333"/>
      <c r="AZ9" s="335"/>
      <c r="BA9" s="335"/>
      <c r="BB9" s="336"/>
      <c r="BC9" s="333"/>
      <c r="BD9" s="335"/>
      <c r="BE9" s="335"/>
      <c r="BF9" s="336"/>
      <c r="BG9" s="333"/>
      <c r="BH9" s="335"/>
      <c r="BI9" s="335"/>
      <c r="BJ9" s="336"/>
      <c r="BK9" s="333"/>
      <c r="BL9" s="335"/>
      <c r="BM9" s="335"/>
      <c r="BN9" s="336"/>
      <c r="BO9" s="333"/>
      <c r="BP9" s="335"/>
      <c r="BQ9" s="335"/>
      <c r="BR9" s="336"/>
      <c r="BS9" s="333"/>
      <c r="BT9" s="335"/>
      <c r="BU9" s="335"/>
      <c r="BV9" s="336"/>
      <c r="BW9" s="333"/>
      <c r="BX9" s="335"/>
      <c r="BY9" s="335"/>
      <c r="BZ9" s="336"/>
      <c r="CA9" s="333"/>
      <c r="CB9" s="335"/>
      <c r="CC9" s="335"/>
      <c r="CD9" s="336"/>
      <c r="CE9" s="333"/>
      <c r="CF9" s="335"/>
      <c r="CG9" s="335"/>
      <c r="CH9" s="336"/>
      <c r="CI9" s="333"/>
      <c r="CJ9" s="114">
        <f>SUM(J3:J9)+SUM(N3:N9)+SUM(R3:R9)+SUM(V3:V9)+SUM(Z3:Z9)+SUM(AD3:AD9)+SUM(AH3:AH9)+SUM(AL3:AL9)+SUM(AP3:AP9)+SUM(AT3:AT9)+SUM(AX3:AX9)+SUM(BB3:BB9)+SUM(BF3:BF9)+SUM(BJ3:BJ9)+SUM(BN3:BN9)+SUM(BR3:BR9)+SUM(BV3:BV9)+SUM(BZ3:BZ9)+SUM(CD3:CD9)+SUM(CH3:CH9)</f>
        <v>0</v>
      </c>
      <c r="CK9" s="108"/>
      <c r="CL9" s="330"/>
      <c r="CM9" s="110"/>
      <c r="CN9"/>
      <c r="IU9"/>
      <c r="IV9"/>
    </row>
    <row r="10" spans="1:256" s="10" customFormat="1" ht="17.25" customHeight="1">
      <c r="A10" s="100" t="s">
        <v>26</v>
      </c>
      <c r="B10" s="101">
        <f>'Value of Sales'!C13</f>
        <v>43927</v>
      </c>
      <c r="C10" s="342"/>
      <c r="D10" s="326"/>
      <c r="E10" s="343"/>
      <c r="F10" s="102" t="str">
        <f>IF(ISERROR('Daily &amp; Weekly Totals'!M15),"",('Daily &amp; Weekly Totals'!M15))</f>
        <v/>
      </c>
      <c r="G10" s="341"/>
      <c r="H10" s="326"/>
      <c r="I10" s="326"/>
      <c r="J10" s="327"/>
      <c r="K10" s="340"/>
      <c r="L10" s="326"/>
      <c r="M10" s="326"/>
      <c r="N10" s="328"/>
      <c r="O10" s="340"/>
      <c r="P10" s="326"/>
      <c r="Q10" s="326"/>
      <c r="R10" s="328"/>
      <c r="S10" s="340"/>
      <c r="T10" s="330"/>
      <c r="U10" s="330"/>
      <c r="V10" s="329"/>
      <c r="W10" s="340"/>
      <c r="X10" s="330"/>
      <c r="Y10" s="330"/>
      <c r="Z10" s="328"/>
      <c r="AA10" s="340"/>
      <c r="AB10" s="330"/>
      <c r="AC10" s="330"/>
      <c r="AD10" s="328"/>
      <c r="AE10" s="340"/>
      <c r="AF10" s="326"/>
      <c r="AG10" s="326"/>
      <c r="AH10" s="337"/>
      <c r="AI10" s="340"/>
      <c r="AJ10" s="330"/>
      <c r="AK10" s="330"/>
      <c r="AL10" s="329"/>
      <c r="AM10" s="340"/>
      <c r="AN10" s="330"/>
      <c r="AO10" s="330"/>
      <c r="AP10" s="329"/>
      <c r="AQ10" s="340"/>
      <c r="AR10" s="330"/>
      <c r="AS10" s="330"/>
      <c r="AT10" s="329"/>
      <c r="AU10" s="340"/>
      <c r="AV10" s="330"/>
      <c r="AW10" s="330"/>
      <c r="AX10" s="329"/>
      <c r="AY10" s="340"/>
      <c r="AZ10" s="330"/>
      <c r="BA10" s="330"/>
      <c r="BB10" s="329"/>
      <c r="BC10" s="340"/>
      <c r="BD10" s="330"/>
      <c r="BE10" s="330"/>
      <c r="BF10" s="329"/>
      <c r="BG10" s="340"/>
      <c r="BH10" s="330"/>
      <c r="BI10" s="330"/>
      <c r="BJ10" s="329"/>
      <c r="BK10" s="340"/>
      <c r="BL10" s="330"/>
      <c r="BM10" s="330"/>
      <c r="BN10" s="329"/>
      <c r="BO10" s="340"/>
      <c r="BP10" s="330"/>
      <c r="BQ10" s="330"/>
      <c r="BR10" s="329"/>
      <c r="BS10" s="340"/>
      <c r="BT10" s="330"/>
      <c r="BU10" s="330"/>
      <c r="BV10" s="329"/>
      <c r="BW10" s="340"/>
      <c r="BX10" s="330"/>
      <c r="BY10" s="330"/>
      <c r="BZ10" s="329"/>
      <c r="CA10" s="340"/>
      <c r="CB10" s="330"/>
      <c r="CC10" s="330"/>
      <c r="CD10" s="329"/>
      <c r="CE10" s="340"/>
      <c r="CF10" s="330"/>
      <c r="CG10" s="330"/>
      <c r="CH10" s="329"/>
      <c r="CI10" s="340"/>
      <c r="CJ10" s="107"/>
      <c r="CK10" s="108"/>
      <c r="CL10" s="109"/>
      <c r="CM10" s="110"/>
      <c r="CN10"/>
      <c r="IU10"/>
      <c r="IV10"/>
    </row>
    <row r="11" spans="1:256" s="10" customFormat="1" ht="17.25" customHeight="1">
      <c r="A11" s="100" t="s">
        <v>27</v>
      </c>
      <c r="B11" s="101">
        <f>'Value of Sales'!C14</f>
        <v>43928</v>
      </c>
      <c r="C11" s="342"/>
      <c r="D11" s="326"/>
      <c r="E11" s="343"/>
      <c r="F11" s="102" t="str">
        <f>IF(ISERROR('Daily &amp; Weekly Totals'!M16),"",('Daily &amp; Weekly Totals'!M16))</f>
        <v/>
      </c>
      <c r="G11" s="325"/>
      <c r="H11" s="326"/>
      <c r="I11" s="326"/>
      <c r="J11" s="327"/>
      <c r="K11" s="340"/>
      <c r="L11" s="326"/>
      <c r="M11" s="326"/>
      <c r="N11" s="328"/>
      <c r="O11" s="340"/>
      <c r="P11" s="326"/>
      <c r="Q11" s="326"/>
      <c r="R11" s="328"/>
      <c r="S11" s="340"/>
      <c r="T11" s="330"/>
      <c r="U11" s="330"/>
      <c r="V11" s="329"/>
      <c r="W11" s="340"/>
      <c r="X11" s="330"/>
      <c r="Y11" s="330"/>
      <c r="Z11" s="328"/>
      <c r="AA11" s="340"/>
      <c r="AB11" s="330"/>
      <c r="AC11" s="330"/>
      <c r="AD11" s="328"/>
      <c r="AE11" s="340"/>
      <c r="AF11" s="326"/>
      <c r="AG11" s="326"/>
      <c r="AH11" s="326"/>
      <c r="AI11" s="340"/>
      <c r="AJ11" s="330"/>
      <c r="AK11" s="330"/>
      <c r="AL11" s="329"/>
      <c r="AM11" s="340"/>
      <c r="AN11" s="330"/>
      <c r="AO11" s="330"/>
      <c r="AP11" s="329"/>
      <c r="AQ11" s="340"/>
      <c r="AR11" s="330"/>
      <c r="AS11" s="330"/>
      <c r="AT11" s="329"/>
      <c r="AU11" s="340"/>
      <c r="AV11" s="330"/>
      <c r="AW11" s="330"/>
      <c r="AX11" s="329"/>
      <c r="AY11" s="340"/>
      <c r="AZ11" s="330"/>
      <c r="BA11" s="330"/>
      <c r="BB11" s="329"/>
      <c r="BC11" s="340"/>
      <c r="BD11" s="330"/>
      <c r="BE11" s="330"/>
      <c r="BF11" s="329"/>
      <c r="BG11" s="340"/>
      <c r="BH11" s="330"/>
      <c r="BI11" s="330"/>
      <c r="BJ11" s="329"/>
      <c r="BK11" s="340"/>
      <c r="BL11" s="330"/>
      <c r="BM11" s="330"/>
      <c r="BN11" s="329"/>
      <c r="BO11" s="340"/>
      <c r="BP11" s="330"/>
      <c r="BQ11" s="330"/>
      <c r="BR11" s="329"/>
      <c r="BS11" s="340"/>
      <c r="BT11" s="330"/>
      <c r="BU11" s="330"/>
      <c r="BV11" s="329"/>
      <c r="BW11" s="340"/>
      <c r="BX11" s="330"/>
      <c r="BY11" s="330"/>
      <c r="BZ11" s="329"/>
      <c r="CA11" s="340"/>
      <c r="CB11" s="330"/>
      <c r="CC11" s="330"/>
      <c r="CD11" s="329"/>
      <c r="CE11" s="340"/>
      <c r="CF11" s="330"/>
      <c r="CG11" s="330"/>
      <c r="CH11" s="329"/>
      <c r="CI11" s="340"/>
      <c r="CJ11" s="107"/>
      <c r="CK11" s="108"/>
      <c r="CL11" s="109"/>
      <c r="CM11" s="110"/>
      <c r="CN11"/>
      <c r="IU11"/>
      <c r="IV11"/>
    </row>
    <row r="12" spans="1:256" s="10" customFormat="1" ht="17.25" customHeight="1">
      <c r="A12" s="100" t="s">
        <v>28</v>
      </c>
      <c r="B12" s="101">
        <f>'Value of Sales'!C15</f>
        <v>43929</v>
      </c>
      <c r="C12" s="342"/>
      <c r="D12" s="326"/>
      <c r="E12" s="343"/>
      <c r="F12" s="102" t="str">
        <f>IF(ISERROR('Daily &amp; Weekly Totals'!M17),"",('Daily &amp; Weekly Totals'!M17))</f>
        <v/>
      </c>
      <c r="G12" s="325"/>
      <c r="H12" s="326"/>
      <c r="I12" s="326"/>
      <c r="J12" s="327"/>
      <c r="K12" s="340"/>
      <c r="L12" s="326"/>
      <c r="M12" s="326"/>
      <c r="N12" s="328"/>
      <c r="O12" s="340"/>
      <c r="P12" s="326"/>
      <c r="Q12" s="326"/>
      <c r="R12" s="328"/>
      <c r="S12" s="340"/>
      <c r="T12" s="330"/>
      <c r="U12" s="330"/>
      <c r="V12" s="329"/>
      <c r="W12" s="340"/>
      <c r="X12" s="330"/>
      <c r="Y12" s="330"/>
      <c r="Z12" s="328"/>
      <c r="AA12" s="340"/>
      <c r="AB12" s="330"/>
      <c r="AC12" s="330"/>
      <c r="AD12" s="328"/>
      <c r="AE12" s="340"/>
      <c r="AF12" s="326"/>
      <c r="AG12" s="326"/>
      <c r="AH12" s="337"/>
      <c r="AI12" s="340"/>
      <c r="AJ12" s="330"/>
      <c r="AK12" s="330"/>
      <c r="AL12" s="329"/>
      <c r="AM12" s="340"/>
      <c r="AN12" s="330"/>
      <c r="AO12" s="330"/>
      <c r="AP12" s="329"/>
      <c r="AQ12" s="340"/>
      <c r="AR12" s="330"/>
      <c r="AS12" s="330"/>
      <c r="AT12" s="329"/>
      <c r="AU12" s="340"/>
      <c r="AV12" s="330"/>
      <c r="AW12" s="330"/>
      <c r="AX12" s="329"/>
      <c r="AY12" s="340"/>
      <c r="AZ12" s="330"/>
      <c r="BA12" s="330"/>
      <c r="BB12" s="329"/>
      <c r="BC12" s="340"/>
      <c r="BD12" s="330"/>
      <c r="BE12" s="330"/>
      <c r="BF12" s="329"/>
      <c r="BG12" s="340"/>
      <c r="BH12" s="330"/>
      <c r="BI12" s="330"/>
      <c r="BJ12" s="329"/>
      <c r="BK12" s="340"/>
      <c r="BL12" s="330"/>
      <c r="BM12" s="330"/>
      <c r="BN12" s="329"/>
      <c r="BO12" s="340"/>
      <c r="BP12" s="330"/>
      <c r="BQ12" s="330"/>
      <c r="BR12" s="329"/>
      <c r="BS12" s="340"/>
      <c r="BT12" s="330"/>
      <c r="BU12" s="330"/>
      <c r="BV12" s="329"/>
      <c r="BW12" s="340"/>
      <c r="BX12" s="330"/>
      <c r="BY12" s="330"/>
      <c r="BZ12" s="329"/>
      <c r="CA12" s="340"/>
      <c r="CB12" s="330"/>
      <c r="CC12" s="330"/>
      <c r="CD12" s="329"/>
      <c r="CE12" s="340"/>
      <c r="CF12" s="330"/>
      <c r="CG12" s="330"/>
      <c r="CH12" s="329"/>
      <c r="CI12" s="340"/>
      <c r="CJ12" s="107"/>
      <c r="CK12" s="108"/>
      <c r="CL12" s="109"/>
      <c r="CM12" s="110"/>
      <c r="CN12"/>
      <c r="IU12"/>
      <c r="IV12"/>
    </row>
    <row r="13" spans="1:256" s="10" customFormat="1" ht="17.25" customHeight="1">
      <c r="A13" s="100" t="s">
        <v>29</v>
      </c>
      <c r="B13" s="101">
        <f>'Value of Sales'!C16</f>
        <v>43930</v>
      </c>
      <c r="C13" s="342"/>
      <c r="D13" s="326"/>
      <c r="E13" s="343"/>
      <c r="F13" s="102" t="str">
        <f>IF(ISERROR('Daily &amp; Weekly Totals'!M18),"",('Daily &amp; Weekly Totals'!M18))</f>
        <v/>
      </c>
      <c r="G13" s="325"/>
      <c r="H13" s="326"/>
      <c r="I13" s="326"/>
      <c r="J13" s="327"/>
      <c r="K13" s="340"/>
      <c r="L13" s="326"/>
      <c r="M13" s="326"/>
      <c r="N13" s="328"/>
      <c r="O13" s="340"/>
      <c r="P13" s="326"/>
      <c r="Q13" s="326"/>
      <c r="R13" s="328"/>
      <c r="S13" s="340"/>
      <c r="T13" s="330"/>
      <c r="U13" s="330"/>
      <c r="V13" s="329"/>
      <c r="W13" s="340"/>
      <c r="X13" s="330"/>
      <c r="Y13" s="330"/>
      <c r="Z13" s="328"/>
      <c r="AA13" s="340"/>
      <c r="AB13" s="330"/>
      <c r="AC13" s="330"/>
      <c r="AD13" s="328"/>
      <c r="AE13" s="340"/>
      <c r="AF13" s="326"/>
      <c r="AG13" s="326"/>
      <c r="AH13" s="328"/>
      <c r="AI13" s="340"/>
      <c r="AJ13" s="330"/>
      <c r="AK13" s="330"/>
      <c r="AL13" s="329"/>
      <c r="AM13" s="340"/>
      <c r="AN13" s="330"/>
      <c r="AO13" s="330"/>
      <c r="AP13" s="329"/>
      <c r="AQ13" s="340"/>
      <c r="AR13" s="330"/>
      <c r="AS13" s="330"/>
      <c r="AT13" s="329"/>
      <c r="AU13" s="340"/>
      <c r="AV13" s="330"/>
      <c r="AW13" s="330"/>
      <c r="AX13" s="329"/>
      <c r="AY13" s="340"/>
      <c r="AZ13" s="330"/>
      <c r="BA13" s="330"/>
      <c r="BB13" s="329"/>
      <c r="BC13" s="340"/>
      <c r="BD13" s="330"/>
      <c r="BE13" s="330"/>
      <c r="BF13" s="329"/>
      <c r="BG13" s="340"/>
      <c r="BH13" s="330"/>
      <c r="BI13" s="330"/>
      <c r="BJ13" s="329"/>
      <c r="BK13" s="340"/>
      <c r="BL13" s="330"/>
      <c r="BM13" s="330"/>
      <c r="BN13" s="329"/>
      <c r="BO13" s="340"/>
      <c r="BP13" s="330"/>
      <c r="BQ13" s="330"/>
      <c r="BR13" s="329"/>
      <c r="BS13" s="340"/>
      <c r="BT13" s="330"/>
      <c r="BU13" s="330"/>
      <c r="BV13" s="329"/>
      <c r="BW13" s="340"/>
      <c r="BX13" s="330"/>
      <c r="BY13" s="330"/>
      <c r="BZ13" s="329"/>
      <c r="CA13" s="340"/>
      <c r="CB13" s="330"/>
      <c r="CC13" s="330"/>
      <c r="CD13" s="329"/>
      <c r="CE13" s="340"/>
      <c r="CF13" s="330"/>
      <c r="CG13" s="330"/>
      <c r="CH13" s="329"/>
      <c r="CI13" s="340"/>
      <c r="CJ13" s="107"/>
      <c r="CK13" s="108"/>
      <c r="CL13" s="109"/>
      <c r="CM13" s="110"/>
      <c r="CN13"/>
      <c r="IU13"/>
      <c r="IV13"/>
    </row>
    <row r="14" spans="1:256" s="10" customFormat="1" ht="17.25" customHeight="1">
      <c r="A14" s="100" t="s">
        <v>30</v>
      </c>
      <c r="B14" s="101">
        <f>'Value of Sales'!C17</f>
        <v>43931</v>
      </c>
      <c r="C14" s="342"/>
      <c r="D14" s="326"/>
      <c r="E14" s="343"/>
      <c r="F14" s="102" t="str">
        <f>IF(ISERROR('Daily &amp; Weekly Totals'!M19),"",('Daily &amp; Weekly Totals'!M19))</f>
        <v/>
      </c>
      <c r="G14" s="325"/>
      <c r="H14" s="326"/>
      <c r="I14" s="326"/>
      <c r="J14" s="327"/>
      <c r="K14" s="340"/>
      <c r="L14" s="326"/>
      <c r="M14" s="326"/>
      <c r="N14" s="328"/>
      <c r="O14" s="340"/>
      <c r="P14" s="326"/>
      <c r="Q14" s="326"/>
      <c r="R14" s="328"/>
      <c r="S14" s="340"/>
      <c r="T14" s="326"/>
      <c r="U14" s="326"/>
      <c r="V14" s="328"/>
      <c r="W14" s="340"/>
      <c r="X14" s="326"/>
      <c r="Y14" s="326"/>
      <c r="Z14" s="328"/>
      <c r="AA14" s="340"/>
      <c r="AB14" s="330"/>
      <c r="AC14" s="330"/>
      <c r="AD14" s="328"/>
      <c r="AE14" s="340"/>
      <c r="AF14" s="330"/>
      <c r="AG14" s="330"/>
      <c r="AH14" s="329"/>
      <c r="AI14" s="340"/>
      <c r="AJ14" s="330"/>
      <c r="AK14" s="330"/>
      <c r="AL14" s="329"/>
      <c r="AM14" s="340"/>
      <c r="AN14" s="330"/>
      <c r="AO14" s="330"/>
      <c r="AP14" s="329"/>
      <c r="AQ14" s="340"/>
      <c r="AR14" s="330"/>
      <c r="AS14" s="330"/>
      <c r="AT14" s="329"/>
      <c r="AU14" s="340"/>
      <c r="AV14" s="330"/>
      <c r="AW14" s="330"/>
      <c r="AX14" s="329"/>
      <c r="AY14" s="340"/>
      <c r="AZ14" s="330"/>
      <c r="BA14" s="330"/>
      <c r="BB14" s="329"/>
      <c r="BC14" s="340"/>
      <c r="BD14" s="330"/>
      <c r="BE14" s="330"/>
      <c r="BF14" s="329"/>
      <c r="BG14" s="340"/>
      <c r="BH14" s="330"/>
      <c r="BI14" s="330"/>
      <c r="BJ14" s="329"/>
      <c r="BK14" s="340"/>
      <c r="BL14" s="330"/>
      <c r="BM14" s="330"/>
      <c r="BN14" s="329"/>
      <c r="BO14" s="340"/>
      <c r="BP14" s="330"/>
      <c r="BQ14" s="330"/>
      <c r="BR14" s="329"/>
      <c r="BS14" s="340"/>
      <c r="BT14" s="330"/>
      <c r="BU14" s="330"/>
      <c r="BV14" s="329"/>
      <c r="BW14" s="340"/>
      <c r="BX14" s="330"/>
      <c r="BY14" s="330"/>
      <c r="BZ14" s="329"/>
      <c r="CA14" s="340"/>
      <c r="CB14" s="330"/>
      <c r="CC14" s="330"/>
      <c r="CD14" s="329"/>
      <c r="CE14" s="340"/>
      <c r="CF14" s="330"/>
      <c r="CG14" s="330"/>
      <c r="CH14" s="329"/>
      <c r="CI14" s="340"/>
      <c r="CJ14" s="107"/>
      <c r="CK14" s="108"/>
      <c r="CL14" s="109"/>
      <c r="CM14" s="110"/>
      <c r="CN14"/>
      <c r="IU14"/>
      <c r="IV14"/>
    </row>
    <row r="15" spans="1:256" s="10" customFormat="1" ht="17.25" customHeight="1">
      <c r="A15" s="100" t="s">
        <v>31</v>
      </c>
      <c r="B15" s="101">
        <f>'Value of Sales'!C18</f>
        <v>43932</v>
      </c>
      <c r="C15" s="342"/>
      <c r="D15" s="326"/>
      <c r="E15" s="343"/>
      <c r="F15" s="102" t="str">
        <f>IF(ISERROR('Daily &amp; Weekly Totals'!M20),"",('Daily &amp; Weekly Totals'!M20))</f>
        <v/>
      </c>
      <c r="G15" s="325"/>
      <c r="H15" s="326"/>
      <c r="I15" s="326"/>
      <c r="J15" s="327"/>
      <c r="K15" s="340"/>
      <c r="L15" s="326"/>
      <c r="M15" s="326"/>
      <c r="N15" s="328"/>
      <c r="O15" s="340"/>
      <c r="P15" s="326"/>
      <c r="Q15" s="326"/>
      <c r="R15" s="328"/>
      <c r="S15" s="340"/>
      <c r="T15" s="330"/>
      <c r="U15" s="330"/>
      <c r="V15" s="329"/>
      <c r="W15" s="340"/>
      <c r="X15" s="330"/>
      <c r="Y15" s="330"/>
      <c r="Z15" s="329"/>
      <c r="AA15" s="340"/>
      <c r="AB15" s="330"/>
      <c r="AC15" s="330"/>
      <c r="AD15" s="329"/>
      <c r="AE15" s="340"/>
      <c r="AF15" s="330"/>
      <c r="AG15" s="330"/>
      <c r="AH15" s="329"/>
      <c r="AI15" s="340"/>
      <c r="AJ15" s="330"/>
      <c r="AK15" s="330"/>
      <c r="AL15" s="329"/>
      <c r="AM15" s="340"/>
      <c r="AN15" s="330"/>
      <c r="AO15" s="330"/>
      <c r="AP15" s="329"/>
      <c r="AQ15" s="340"/>
      <c r="AR15" s="330"/>
      <c r="AS15" s="330"/>
      <c r="AT15" s="329"/>
      <c r="AU15" s="340"/>
      <c r="AV15" s="330"/>
      <c r="AW15" s="330"/>
      <c r="AX15" s="329"/>
      <c r="AY15" s="340"/>
      <c r="AZ15" s="330"/>
      <c r="BA15" s="330"/>
      <c r="BB15" s="329"/>
      <c r="BC15" s="340"/>
      <c r="BD15" s="330"/>
      <c r="BE15" s="330"/>
      <c r="BF15" s="329"/>
      <c r="BG15" s="340"/>
      <c r="BH15" s="330"/>
      <c r="BI15" s="330"/>
      <c r="BJ15" s="329"/>
      <c r="BK15" s="340"/>
      <c r="BL15" s="330"/>
      <c r="BM15" s="330"/>
      <c r="BN15" s="329"/>
      <c r="BO15" s="340"/>
      <c r="BP15" s="330"/>
      <c r="BQ15" s="330"/>
      <c r="BR15" s="329"/>
      <c r="BS15" s="340"/>
      <c r="BT15" s="330"/>
      <c r="BU15" s="330"/>
      <c r="BV15" s="329"/>
      <c r="BW15" s="340"/>
      <c r="BX15" s="330"/>
      <c r="BY15" s="330"/>
      <c r="BZ15" s="329"/>
      <c r="CA15" s="340"/>
      <c r="CB15" s="330"/>
      <c r="CC15" s="330"/>
      <c r="CD15" s="329"/>
      <c r="CE15" s="340"/>
      <c r="CF15" s="330"/>
      <c r="CG15" s="330"/>
      <c r="CH15" s="329"/>
      <c r="CI15" s="340"/>
      <c r="CJ15" s="115"/>
      <c r="CK15" s="108"/>
      <c r="CL15" s="109"/>
      <c r="CM15" s="110"/>
      <c r="CN15"/>
      <c r="IU15"/>
      <c r="IV15"/>
    </row>
    <row r="16" spans="1:256" s="10" customFormat="1" ht="17.25" customHeight="1" thickBot="1">
      <c r="A16" s="111" t="s">
        <v>32</v>
      </c>
      <c r="B16" s="101">
        <f>'Value of Sales'!C19</f>
        <v>43933</v>
      </c>
      <c r="C16" s="344"/>
      <c r="D16" s="345"/>
      <c r="E16" s="346"/>
      <c r="F16" s="113" t="str">
        <f>IF(ISERROR('Daily &amp; Weekly Totals'!M21),"",('Daily &amp; Weekly Totals'!M21))</f>
        <v/>
      </c>
      <c r="G16" s="331"/>
      <c r="H16" s="335"/>
      <c r="I16" s="345"/>
      <c r="J16" s="332"/>
      <c r="K16" s="333"/>
      <c r="L16" s="345"/>
      <c r="M16" s="345"/>
      <c r="N16" s="345"/>
      <c r="O16" s="333"/>
      <c r="P16" s="345"/>
      <c r="Q16" s="345"/>
      <c r="R16" s="334"/>
      <c r="S16" s="333"/>
      <c r="T16" s="335"/>
      <c r="U16" s="345"/>
      <c r="V16" s="334"/>
      <c r="W16" s="333"/>
      <c r="X16" s="335"/>
      <c r="Y16" s="345"/>
      <c r="Z16" s="334"/>
      <c r="AA16" s="333"/>
      <c r="AB16" s="335"/>
      <c r="AC16" s="345"/>
      <c r="AD16" s="334"/>
      <c r="AE16" s="333"/>
      <c r="AF16" s="335"/>
      <c r="AG16" s="345"/>
      <c r="AH16" s="334"/>
      <c r="AI16" s="333"/>
      <c r="AJ16" s="335"/>
      <c r="AK16" s="335"/>
      <c r="AL16" s="336"/>
      <c r="AM16" s="333"/>
      <c r="AN16" s="335"/>
      <c r="AO16" s="335"/>
      <c r="AP16" s="336"/>
      <c r="AQ16" s="333"/>
      <c r="AR16" s="335"/>
      <c r="AS16" s="335"/>
      <c r="AT16" s="336"/>
      <c r="AU16" s="333"/>
      <c r="AV16" s="335"/>
      <c r="AW16" s="335"/>
      <c r="AX16" s="336"/>
      <c r="AY16" s="333"/>
      <c r="AZ16" s="335"/>
      <c r="BA16" s="335"/>
      <c r="BB16" s="336"/>
      <c r="BC16" s="333"/>
      <c r="BD16" s="335"/>
      <c r="BE16" s="335"/>
      <c r="BF16" s="336"/>
      <c r="BG16" s="333"/>
      <c r="BH16" s="335"/>
      <c r="BI16" s="335"/>
      <c r="BJ16" s="336"/>
      <c r="BK16" s="333"/>
      <c r="BL16" s="335"/>
      <c r="BM16" s="335"/>
      <c r="BN16" s="336"/>
      <c r="BO16" s="333"/>
      <c r="BP16" s="335"/>
      <c r="BQ16" s="335"/>
      <c r="BR16" s="336"/>
      <c r="BS16" s="333"/>
      <c r="BT16" s="335"/>
      <c r="BU16" s="335"/>
      <c r="BV16" s="336"/>
      <c r="BW16" s="333"/>
      <c r="BX16" s="335"/>
      <c r="BY16" s="335"/>
      <c r="BZ16" s="336"/>
      <c r="CA16" s="333"/>
      <c r="CB16" s="335"/>
      <c r="CC16" s="335"/>
      <c r="CD16" s="336"/>
      <c r="CE16" s="333"/>
      <c r="CF16" s="335"/>
      <c r="CG16" s="335"/>
      <c r="CH16" s="336"/>
      <c r="CI16" s="333"/>
      <c r="CJ16" s="114">
        <f>SUM(J10:J16)+SUM(N10:N16)+SUM(R10:R16)+SUM(V10:V16)+SUM(Z10:Z16)+SUM(AD10:AD16)+SUM(AH10:AH16)+SUM(AL10:AL16)+SUM(AP10:AP16)+SUM(AT10:AT16)+SUM(AX10:AX16)+SUM(BB10:BB16)+SUM(BF10:BF16)+SUM(BJ10:BJ16)+SUM(BN10:BN16)+SUM(BR10:BR16)+SUM(BV10:BV16)+SUM(BZ10:BZ16)+SUM(CD10:CD16)+SUM(CH10:CH16)</f>
        <v>0</v>
      </c>
      <c r="CK16" s="116">
        <f>SUM(CK3:CK15)</f>
        <v>0</v>
      </c>
      <c r="CL16" s="117">
        <f>SUM(CL3:CL15)</f>
        <v>0</v>
      </c>
      <c r="CM16" s="118">
        <f>SUM(CM3:CM15)</f>
        <v>0</v>
      </c>
      <c r="IU16"/>
      <c r="IV16"/>
    </row>
    <row r="17" spans="1:256" s="10" customFormat="1" ht="17.25" customHeight="1" thickBot="1">
      <c r="A17" s="100" t="s">
        <v>26</v>
      </c>
      <c r="B17" s="119">
        <f>'Value of Sales'!C20</f>
        <v>43934</v>
      </c>
      <c r="C17" s="342"/>
      <c r="D17" s="326"/>
      <c r="E17" s="343"/>
      <c r="F17" s="102" t="str">
        <f>IF(ISERROR('Daily &amp; Weekly Totals'!M25),"",('Daily &amp; Weekly Totals'!M25))</f>
        <v/>
      </c>
      <c r="G17" s="325"/>
      <c r="H17" s="326"/>
      <c r="I17" s="326"/>
      <c r="J17" s="327"/>
      <c r="K17" s="340"/>
      <c r="L17" s="326"/>
      <c r="M17" s="326"/>
      <c r="N17" s="328"/>
      <c r="O17" s="340"/>
      <c r="P17" s="326"/>
      <c r="Q17" s="326"/>
      <c r="R17" s="328"/>
      <c r="S17" s="340"/>
      <c r="T17" s="326"/>
      <c r="U17" s="326"/>
      <c r="V17" s="329"/>
      <c r="W17" s="340"/>
      <c r="X17" s="326"/>
      <c r="Y17" s="326"/>
      <c r="Z17" s="328"/>
      <c r="AA17" s="340"/>
      <c r="AB17" s="330"/>
      <c r="AC17" s="330"/>
      <c r="AD17" s="329"/>
      <c r="AE17" s="340"/>
      <c r="AF17" s="330"/>
      <c r="AG17" s="330"/>
      <c r="AH17" s="329"/>
      <c r="AI17" s="340"/>
      <c r="AJ17" s="330"/>
      <c r="AK17" s="330"/>
      <c r="AL17" s="329"/>
      <c r="AM17" s="340"/>
      <c r="AN17" s="330"/>
      <c r="AO17" s="330"/>
      <c r="AP17" s="329"/>
      <c r="AQ17" s="340"/>
      <c r="AR17" s="330"/>
      <c r="AS17" s="330"/>
      <c r="AT17" s="329"/>
      <c r="AU17" s="340"/>
      <c r="AV17" s="330"/>
      <c r="AW17" s="330"/>
      <c r="AX17" s="329"/>
      <c r="AY17" s="340"/>
      <c r="AZ17" s="330"/>
      <c r="BA17" s="330"/>
      <c r="BB17" s="329"/>
      <c r="BC17" s="340"/>
      <c r="BD17" s="330"/>
      <c r="BE17" s="330"/>
      <c r="BF17" s="329"/>
      <c r="BG17" s="340"/>
      <c r="BH17" s="330"/>
      <c r="BI17" s="330"/>
      <c r="BJ17" s="329"/>
      <c r="BK17" s="340"/>
      <c r="BL17" s="330"/>
      <c r="BM17" s="330"/>
      <c r="BN17" s="329"/>
      <c r="BO17" s="340"/>
      <c r="BP17" s="330"/>
      <c r="BQ17" s="330"/>
      <c r="BR17" s="329"/>
      <c r="BS17" s="340"/>
      <c r="BT17" s="330"/>
      <c r="BU17" s="330"/>
      <c r="BV17" s="329"/>
      <c r="BW17" s="340"/>
      <c r="BX17" s="330"/>
      <c r="BY17" s="330"/>
      <c r="BZ17" s="329"/>
      <c r="CA17" s="340"/>
      <c r="CB17" s="330"/>
      <c r="CC17" s="330"/>
      <c r="CD17" s="329"/>
      <c r="CE17" s="340"/>
      <c r="CF17" s="330"/>
      <c r="CG17" s="330"/>
      <c r="CH17" s="329"/>
      <c r="CI17" s="340"/>
      <c r="CJ17" s="107"/>
      <c r="CK17" s="120"/>
      <c r="CL17" s="121"/>
      <c r="CM17" s="122"/>
      <c r="IU17"/>
      <c r="IV17"/>
    </row>
    <row r="18" spans="1:256" s="10" customFormat="1" ht="17.25" customHeight="1" thickBot="1">
      <c r="A18" s="100" t="s">
        <v>27</v>
      </c>
      <c r="B18" s="101">
        <f>'Value of Sales'!C21</f>
        <v>43935</v>
      </c>
      <c r="C18" s="342"/>
      <c r="D18" s="326"/>
      <c r="E18" s="343"/>
      <c r="F18" s="102" t="str">
        <f>IF(ISERROR('Daily &amp; Weekly Totals'!M26),"",('Daily &amp; Weekly Totals'!M26))</f>
        <v/>
      </c>
      <c r="G18" s="325"/>
      <c r="H18" s="326"/>
      <c r="I18" s="326"/>
      <c r="J18" s="327"/>
      <c r="K18" s="340"/>
      <c r="L18" s="326"/>
      <c r="M18" s="326"/>
      <c r="N18" s="328"/>
      <c r="O18" s="340"/>
      <c r="P18" s="326"/>
      <c r="Q18" s="326"/>
      <c r="R18" s="328"/>
      <c r="S18" s="340"/>
      <c r="T18" s="326"/>
      <c r="U18" s="326"/>
      <c r="V18" s="329"/>
      <c r="W18" s="340"/>
      <c r="X18" s="326"/>
      <c r="Y18" s="326"/>
      <c r="Z18" s="328"/>
      <c r="AA18" s="340"/>
      <c r="AB18" s="330"/>
      <c r="AC18" s="330"/>
      <c r="AD18" s="328"/>
      <c r="AE18" s="340"/>
      <c r="AF18" s="330"/>
      <c r="AG18" s="330"/>
      <c r="AH18" s="329"/>
      <c r="AI18" s="340"/>
      <c r="AJ18" s="330"/>
      <c r="AK18" s="330"/>
      <c r="AL18" s="329"/>
      <c r="AM18" s="340"/>
      <c r="AN18" s="330"/>
      <c r="AO18" s="330"/>
      <c r="AP18" s="329"/>
      <c r="AQ18" s="340"/>
      <c r="AR18" s="330"/>
      <c r="AS18" s="330"/>
      <c r="AT18" s="329"/>
      <c r="AU18" s="340"/>
      <c r="AV18" s="330"/>
      <c r="AW18" s="330"/>
      <c r="AX18" s="329"/>
      <c r="AY18" s="340"/>
      <c r="AZ18" s="330"/>
      <c r="BA18" s="330"/>
      <c r="BB18" s="329"/>
      <c r="BC18" s="340"/>
      <c r="BD18" s="330"/>
      <c r="BE18" s="330"/>
      <c r="BF18" s="329"/>
      <c r="BG18" s="340"/>
      <c r="BH18" s="330"/>
      <c r="BI18" s="330"/>
      <c r="BJ18" s="329"/>
      <c r="BK18" s="340"/>
      <c r="BL18" s="330"/>
      <c r="BM18" s="330"/>
      <c r="BN18" s="329"/>
      <c r="BO18" s="340"/>
      <c r="BP18" s="330"/>
      <c r="BQ18" s="330"/>
      <c r="BR18" s="329"/>
      <c r="BS18" s="340"/>
      <c r="BT18" s="330"/>
      <c r="BU18" s="330"/>
      <c r="BV18" s="329"/>
      <c r="BW18" s="340"/>
      <c r="BX18" s="330"/>
      <c r="BY18" s="330"/>
      <c r="BZ18" s="329"/>
      <c r="CA18" s="340"/>
      <c r="CB18" s="330"/>
      <c r="CC18" s="330"/>
      <c r="CD18" s="329"/>
      <c r="CE18" s="340"/>
      <c r="CF18" s="330"/>
      <c r="CG18" s="330"/>
      <c r="CH18" s="329"/>
      <c r="CI18" s="340"/>
      <c r="CJ18" s="107"/>
      <c r="CK18" s="123"/>
      <c r="CL18" s="124"/>
      <c r="CM18" s="125"/>
      <c r="IU18"/>
      <c r="IV18"/>
    </row>
    <row r="19" spans="1:256" s="10" customFormat="1" ht="17.25" customHeight="1" thickBot="1">
      <c r="A19" s="100" t="s">
        <v>28</v>
      </c>
      <c r="B19" s="101">
        <f>'Value of Sales'!C22</f>
        <v>43936</v>
      </c>
      <c r="C19" s="342"/>
      <c r="D19" s="326"/>
      <c r="E19" s="343"/>
      <c r="F19" s="102" t="str">
        <f>IF(ISERROR('Daily &amp; Weekly Totals'!M27),"",('Daily &amp; Weekly Totals'!M27))</f>
        <v/>
      </c>
      <c r="G19" s="325"/>
      <c r="H19" s="326"/>
      <c r="I19" s="326"/>
      <c r="J19" s="327"/>
      <c r="K19" s="340"/>
      <c r="L19" s="326"/>
      <c r="M19" s="326"/>
      <c r="N19" s="328"/>
      <c r="O19" s="340"/>
      <c r="P19" s="326"/>
      <c r="Q19" s="326"/>
      <c r="R19" s="328"/>
      <c r="S19" s="340"/>
      <c r="T19" s="326"/>
      <c r="U19" s="326"/>
      <c r="V19" s="329"/>
      <c r="W19" s="340"/>
      <c r="X19" s="326"/>
      <c r="Y19" s="326"/>
      <c r="Z19" s="328"/>
      <c r="AA19" s="340"/>
      <c r="AB19" s="330"/>
      <c r="AC19" s="330"/>
      <c r="AD19" s="328"/>
      <c r="AE19" s="340"/>
      <c r="AF19" s="330"/>
      <c r="AG19" s="330"/>
      <c r="AH19" s="329"/>
      <c r="AI19" s="340"/>
      <c r="AJ19" s="330"/>
      <c r="AK19" s="330"/>
      <c r="AL19" s="329"/>
      <c r="AM19" s="340"/>
      <c r="AN19" s="330"/>
      <c r="AO19" s="330"/>
      <c r="AP19" s="329"/>
      <c r="AQ19" s="340"/>
      <c r="AR19" s="330"/>
      <c r="AS19" s="330"/>
      <c r="AT19" s="329"/>
      <c r="AU19" s="340"/>
      <c r="AV19" s="330"/>
      <c r="AW19" s="330"/>
      <c r="AX19" s="329"/>
      <c r="AY19" s="340"/>
      <c r="AZ19" s="330"/>
      <c r="BA19" s="330"/>
      <c r="BB19" s="329"/>
      <c r="BC19" s="340"/>
      <c r="BD19" s="330"/>
      <c r="BE19" s="330"/>
      <c r="BF19" s="329"/>
      <c r="BG19" s="340"/>
      <c r="BH19" s="330"/>
      <c r="BI19" s="330"/>
      <c r="BJ19" s="329"/>
      <c r="BK19" s="340"/>
      <c r="BL19" s="330"/>
      <c r="BM19" s="330"/>
      <c r="BN19" s="329"/>
      <c r="BO19" s="340"/>
      <c r="BP19" s="330"/>
      <c r="BQ19" s="330"/>
      <c r="BR19" s="329"/>
      <c r="BS19" s="340"/>
      <c r="BT19" s="330"/>
      <c r="BU19" s="330"/>
      <c r="BV19" s="329"/>
      <c r="BW19" s="340"/>
      <c r="BX19" s="330"/>
      <c r="BY19" s="330"/>
      <c r="BZ19" s="329"/>
      <c r="CA19" s="340"/>
      <c r="CB19" s="330"/>
      <c r="CC19" s="330"/>
      <c r="CD19" s="329"/>
      <c r="CE19" s="340"/>
      <c r="CF19" s="330"/>
      <c r="CG19" s="330"/>
      <c r="CH19" s="329"/>
      <c r="CI19" s="340"/>
      <c r="CJ19" s="107"/>
      <c r="CK19" s="123"/>
      <c r="CL19" s="124"/>
      <c r="CM19" s="125"/>
      <c r="IU19"/>
      <c r="IV19"/>
    </row>
    <row r="20" spans="1:256" s="10" customFormat="1" ht="17.25" customHeight="1" thickBot="1">
      <c r="A20" s="100" t="s">
        <v>29</v>
      </c>
      <c r="B20" s="101">
        <f>'Value of Sales'!C23</f>
        <v>43937</v>
      </c>
      <c r="C20" s="342"/>
      <c r="D20" s="326"/>
      <c r="E20" s="343"/>
      <c r="F20" s="102" t="str">
        <f>IF(ISERROR('Daily &amp; Weekly Totals'!M28),"",('Daily &amp; Weekly Totals'!M28))</f>
        <v/>
      </c>
      <c r="G20" s="325"/>
      <c r="H20" s="326"/>
      <c r="I20" s="326"/>
      <c r="J20" s="327"/>
      <c r="K20" s="340"/>
      <c r="L20" s="326"/>
      <c r="M20" s="326"/>
      <c r="N20" s="328"/>
      <c r="O20" s="340"/>
      <c r="P20" s="326"/>
      <c r="Q20" s="326"/>
      <c r="R20" s="328"/>
      <c r="S20" s="340"/>
      <c r="T20" s="326"/>
      <c r="U20" s="326"/>
      <c r="V20" s="329"/>
      <c r="W20" s="340"/>
      <c r="X20" s="326"/>
      <c r="Y20" s="326"/>
      <c r="Z20" s="328"/>
      <c r="AA20" s="340"/>
      <c r="AB20" s="330"/>
      <c r="AC20" s="330"/>
      <c r="AD20" s="328"/>
      <c r="AE20" s="340"/>
      <c r="AF20" s="330"/>
      <c r="AG20" s="330"/>
      <c r="AH20" s="329"/>
      <c r="AI20" s="340"/>
      <c r="AJ20" s="330"/>
      <c r="AK20" s="330"/>
      <c r="AL20" s="329"/>
      <c r="AM20" s="340"/>
      <c r="AN20" s="330"/>
      <c r="AO20" s="330"/>
      <c r="AP20" s="329"/>
      <c r="AQ20" s="340"/>
      <c r="AR20" s="330"/>
      <c r="AS20" s="330"/>
      <c r="AT20" s="329"/>
      <c r="AU20" s="340"/>
      <c r="AV20" s="330"/>
      <c r="AW20" s="330"/>
      <c r="AX20" s="329"/>
      <c r="AY20" s="340"/>
      <c r="AZ20" s="330"/>
      <c r="BA20" s="330"/>
      <c r="BB20" s="329"/>
      <c r="BC20" s="340"/>
      <c r="BD20" s="330"/>
      <c r="BE20" s="330"/>
      <c r="BF20" s="329"/>
      <c r="BG20" s="340"/>
      <c r="BH20" s="330"/>
      <c r="BI20" s="330"/>
      <c r="BJ20" s="329"/>
      <c r="BK20" s="340"/>
      <c r="BL20" s="330"/>
      <c r="BM20" s="330"/>
      <c r="BN20" s="329"/>
      <c r="BO20" s="340"/>
      <c r="BP20" s="330"/>
      <c r="BQ20" s="330"/>
      <c r="BR20" s="329"/>
      <c r="BS20" s="340"/>
      <c r="BT20" s="330"/>
      <c r="BU20" s="330"/>
      <c r="BV20" s="329"/>
      <c r="BW20" s="340"/>
      <c r="BX20" s="330"/>
      <c r="BY20" s="330"/>
      <c r="BZ20" s="329"/>
      <c r="CA20" s="340"/>
      <c r="CB20" s="330"/>
      <c r="CC20" s="330"/>
      <c r="CD20" s="329"/>
      <c r="CE20" s="340"/>
      <c r="CF20" s="330"/>
      <c r="CG20" s="330"/>
      <c r="CH20" s="329"/>
      <c r="CI20" s="340"/>
      <c r="CJ20" s="107"/>
      <c r="CK20" s="123"/>
      <c r="CL20" s="124"/>
      <c r="CM20" s="125"/>
      <c r="IU20"/>
      <c r="IV20"/>
    </row>
    <row r="21" spans="1:256" s="10" customFormat="1" ht="17.25" customHeight="1" thickBot="1">
      <c r="A21" s="100" t="s">
        <v>30</v>
      </c>
      <c r="B21" s="101">
        <f>'Value of Sales'!C24</f>
        <v>43938</v>
      </c>
      <c r="C21" s="342"/>
      <c r="D21" s="326"/>
      <c r="E21" s="343"/>
      <c r="F21" s="102" t="str">
        <f>IF(ISERROR('Daily &amp; Weekly Totals'!M29),"",('Daily &amp; Weekly Totals'!M29))</f>
        <v/>
      </c>
      <c r="G21" s="325"/>
      <c r="H21" s="326"/>
      <c r="I21" s="326"/>
      <c r="J21" s="327"/>
      <c r="K21" s="340"/>
      <c r="L21" s="326"/>
      <c r="M21" s="326"/>
      <c r="N21" s="328"/>
      <c r="O21" s="340"/>
      <c r="P21" s="326"/>
      <c r="Q21" s="326"/>
      <c r="R21" s="328"/>
      <c r="S21" s="340"/>
      <c r="T21" s="326"/>
      <c r="U21" s="326"/>
      <c r="V21" s="328"/>
      <c r="W21" s="340"/>
      <c r="X21" s="326"/>
      <c r="Y21" s="326"/>
      <c r="Z21" s="328"/>
      <c r="AA21" s="340"/>
      <c r="AB21" s="330"/>
      <c r="AC21" s="330"/>
      <c r="AD21" s="328"/>
      <c r="AE21" s="340"/>
      <c r="AF21" s="330"/>
      <c r="AG21" s="330"/>
      <c r="AH21" s="329"/>
      <c r="AI21" s="340"/>
      <c r="AJ21" s="330"/>
      <c r="AK21" s="330"/>
      <c r="AL21" s="329"/>
      <c r="AM21" s="340"/>
      <c r="AN21" s="330"/>
      <c r="AO21" s="330"/>
      <c r="AP21" s="329"/>
      <c r="AQ21" s="340"/>
      <c r="AR21" s="330"/>
      <c r="AS21" s="330"/>
      <c r="AT21" s="329"/>
      <c r="AU21" s="340"/>
      <c r="AV21" s="330"/>
      <c r="AW21" s="330"/>
      <c r="AX21" s="329"/>
      <c r="AY21" s="340"/>
      <c r="AZ21" s="330"/>
      <c r="BA21" s="330"/>
      <c r="BB21" s="329"/>
      <c r="BC21" s="340"/>
      <c r="BD21" s="330"/>
      <c r="BE21" s="330"/>
      <c r="BF21" s="329"/>
      <c r="BG21" s="340"/>
      <c r="BH21" s="330"/>
      <c r="BI21" s="330"/>
      <c r="BJ21" s="329"/>
      <c r="BK21" s="340"/>
      <c r="BL21" s="330"/>
      <c r="BM21" s="330"/>
      <c r="BN21" s="329"/>
      <c r="BO21" s="340"/>
      <c r="BP21" s="330"/>
      <c r="BQ21" s="330"/>
      <c r="BR21" s="329"/>
      <c r="BS21" s="340"/>
      <c r="BT21" s="330"/>
      <c r="BU21" s="330"/>
      <c r="BV21" s="329"/>
      <c r="BW21" s="340"/>
      <c r="BX21" s="330"/>
      <c r="BY21" s="330"/>
      <c r="BZ21" s="329"/>
      <c r="CA21" s="340"/>
      <c r="CB21" s="330"/>
      <c r="CC21" s="330"/>
      <c r="CD21" s="329"/>
      <c r="CE21" s="340"/>
      <c r="CF21" s="330"/>
      <c r="CG21" s="330"/>
      <c r="CH21" s="329"/>
      <c r="CI21" s="340"/>
      <c r="CJ21" s="107"/>
      <c r="CK21" s="123"/>
      <c r="CL21" s="124"/>
      <c r="CM21" s="125"/>
      <c r="IU21"/>
      <c r="IV21"/>
    </row>
    <row r="22" spans="1:256" s="10" customFormat="1" ht="17.25" customHeight="1" thickBot="1">
      <c r="A22" s="100" t="s">
        <v>31</v>
      </c>
      <c r="B22" s="101">
        <f>'Value of Sales'!C25</f>
        <v>43939</v>
      </c>
      <c r="C22" s="342"/>
      <c r="D22" s="326"/>
      <c r="E22" s="343"/>
      <c r="F22" s="102" t="str">
        <f>IF(ISERROR('Daily &amp; Weekly Totals'!M30),"",('Daily &amp; Weekly Totals'!M30))</f>
        <v/>
      </c>
      <c r="G22" s="325"/>
      <c r="H22" s="326"/>
      <c r="I22" s="326"/>
      <c r="J22" s="327"/>
      <c r="K22" s="340"/>
      <c r="L22" s="326"/>
      <c r="M22" s="326"/>
      <c r="N22" s="328"/>
      <c r="O22" s="340"/>
      <c r="P22" s="326"/>
      <c r="Q22" s="326"/>
      <c r="R22" s="328"/>
      <c r="S22" s="340"/>
      <c r="T22" s="326"/>
      <c r="U22" s="326"/>
      <c r="V22" s="328"/>
      <c r="W22" s="340"/>
      <c r="X22" s="330"/>
      <c r="Y22" s="330"/>
      <c r="Z22" s="328"/>
      <c r="AA22" s="340"/>
      <c r="AB22" s="330"/>
      <c r="AC22" s="330"/>
      <c r="AD22" s="328"/>
      <c r="AE22" s="340"/>
      <c r="AF22" s="330"/>
      <c r="AG22" s="330"/>
      <c r="AH22" s="329"/>
      <c r="AI22" s="340"/>
      <c r="AJ22" s="330"/>
      <c r="AK22" s="330"/>
      <c r="AL22" s="329"/>
      <c r="AM22" s="340"/>
      <c r="AN22" s="330"/>
      <c r="AO22" s="330"/>
      <c r="AP22" s="329"/>
      <c r="AQ22" s="340"/>
      <c r="AR22" s="330"/>
      <c r="AS22" s="330"/>
      <c r="AT22" s="329"/>
      <c r="AU22" s="340"/>
      <c r="AV22" s="330"/>
      <c r="AW22" s="330"/>
      <c r="AX22" s="329"/>
      <c r="AY22" s="340"/>
      <c r="AZ22" s="330"/>
      <c r="BA22" s="330"/>
      <c r="BB22" s="329"/>
      <c r="BC22" s="340"/>
      <c r="BD22" s="330"/>
      <c r="BE22" s="330"/>
      <c r="BF22" s="329"/>
      <c r="BG22" s="340"/>
      <c r="BH22" s="330"/>
      <c r="BI22" s="330"/>
      <c r="BJ22" s="329"/>
      <c r="BK22" s="340"/>
      <c r="BL22" s="330"/>
      <c r="BM22" s="330"/>
      <c r="BN22" s="329"/>
      <c r="BO22" s="340"/>
      <c r="BP22" s="330"/>
      <c r="BQ22" s="330"/>
      <c r="BR22" s="329"/>
      <c r="BS22" s="340"/>
      <c r="BT22" s="330"/>
      <c r="BU22" s="330"/>
      <c r="BV22" s="329"/>
      <c r="BW22" s="340"/>
      <c r="BX22" s="330"/>
      <c r="BY22" s="330"/>
      <c r="BZ22" s="329"/>
      <c r="CA22" s="340"/>
      <c r="CB22" s="330"/>
      <c r="CC22" s="330"/>
      <c r="CD22" s="329"/>
      <c r="CE22" s="340"/>
      <c r="CF22" s="330"/>
      <c r="CG22" s="330"/>
      <c r="CH22" s="329"/>
      <c r="CI22" s="340"/>
      <c r="CJ22" s="107"/>
      <c r="CK22" s="123"/>
      <c r="CL22" s="124"/>
      <c r="CM22" s="125"/>
      <c r="CN22"/>
      <c r="IU22"/>
      <c r="IV22"/>
    </row>
    <row r="23" spans="1:256" s="10" customFormat="1" ht="17.25" customHeight="1" thickBot="1">
      <c r="A23" s="111" t="s">
        <v>32</v>
      </c>
      <c r="B23" s="112">
        <f>'Value of Sales'!C26</f>
        <v>43940</v>
      </c>
      <c r="C23" s="344"/>
      <c r="D23" s="345"/>
      <c r="E23" s="346"/>
      <c r="F23" s="113" t="str">
        <f>IF(ISERROR('Daily &amp; Weekly Totals'!M31),"",('Daily &amp; Weekly Totals'!M31))</f>
        <v/>
      </c>
      <c r="G23" s="331"/>
      <c r="H23" s="345"/>
      <c r="I23" s="345"/>
      <c r="J23" s="332"/>
      <c r="K23" s="333"/>
      <c r="L23" s="345"/>
      <c r="M23" s="345"/>
      <c r="N23" s="334"/>
      <c r="O23" s="333"/>
      <c r="P23" s="345"/>
      <c r="Q23" s="345"/>
      <c r="R23" s="334"/>
      <c r="S23" s="333"/>
      <c r="T23" s="335"/>
      <c r="U23" s="345"/>
      <c r="V23" s="334"/>
      <c r="W23" s="333"/>
      <c r="X23" s="345"/>
      <c r="Y23" s="345"/>
      <c r="Z23" s="334"/>
      <c r="AA23" s="333"/>
      <c r="AB23" s="335"/>
      <c r="AC23" s="345"/>
      <c r="AD23" s="334"/>
      <c r="AE23" s="333"/>
      <c r="AF23" s="335"/>
      <c r="AG23" s="335"/>
      <c r="AH23" s="336"/>
      <c r="AI23" s="333"/>
      <c r="AJ23" s="335"/>
      <c r="AK23" s="335"/>
      <c r="AL23" s="336"/>
      <c r="AM23" s="333"/>
      <c r="AN23" s="335"/>
      <c r="AO23" s="335"/>
      <c r="AP23" s="336"/>
      <c r="AQ23" s="333"/>
      <c r="AR23" s="335"/>
      <c r="AS23" s="335"/>
      <c r="AT23" s="336"/>
      <c r="AU23" s="333"/>
      <c r="AV23" s="335"/>
      <c r="AW23" s="335"/>
      <c r="AX23" s="336"/>
      <c r="AY23" s="333"/>
      <c r="AZ23" s="335"/>
      <c r="BA23" s="335"/>
      <c r="BB23" s="336"/>
      <c r="BC23" s="333"/>
      <c r="BD23" s="335"/>
      <c r="BE23" s="335"/>
      <c r="BF23" s="336"/>
      <c r="BG23" s="333"/>
      <c r="BH23" s="335"/>
      <c r="BI23" s="335"/>
      <c r="BJ23" s="336"/>
      <c r="BK23" s="333"/>
      <c r="BL23" s="335"/>
      <c r="BM23" s="335"/>
      <c r="BN23" s="336"/>
      <c r="BO23" s="333"/>
      <c r="BP23" s="335"/>
      <c r="BQ23" s="335"/>
      <c r="BR23" s="336"/>
      <c r="BS23" s="333"/>
      <c r="BT23" s="335"/>
      <c r="BU23" s="335"/>
      <c r="BV23" s="336"/>
      <c r="BW23" s="333"/>
      <c r="BX23" s="335"/>
      <c r="BY23" s="335"/>
      <c r="BZ23" s="336"/>
      <c r="CA23" s="333"/>
      <c r="CB23" s="335"/>
      <c r="CC23" s="335"/>
      <c r="CD23" s="336"/>
      <c r="CE23" s="333"/>
      <c r="CF23" s="335"/>
      <c r="CG23" s="335"/>
      <c r="CH23" s="336"/>
      <c r="CI23" s="333"/>
      <c r="CJ23" s="114">
        <f>SUM(J17:J23)+SUM(N17:N23)+SUM(R17:R23)+SUM(V17:V23)+SUM(Z17:Z23)+SUM(AD17:AD23)+SUM(AH17:AH23)+SUM(AL17:AL23)+SUM(AP17:AP23)+SUM(AT17:AT23)+SUM(AX17:AX23)+SUM(BB17:BB23)+SUM(BF17:BF23)+SUM(BJ17:BJ23)+SUM(BN17:BN23)+SUM(BR17:BR23)+SUM(BV17:BV23)+SUM(BZ17:BZ23)+SUM(CD17:CD23)+SUM(CH17:CH23)</f>
        <v>0</v>
      </c>
      <c r="CK23" s="123"/>
      <c r="CL23" s="124"/>
      <c r="CM23" s="125"/>
      <c r="IU23"/>
      <c r="IV23"/>
    </row>
    <row r="24" spans="1:256" s="10" customFormat="1" ht="17.25" customHeight="1" thickBot="1">
      <c r="A24" s="100" t="s">
        <v>26</v>
      </c>
      <c r="B24" s="101">
        <f>'Value of Sales'!C27</f>
        <v>43941</v>
      </c>
      <c r="C24" s="342"/>
      <c r="D24" s="326"/>
      <c r="E24" s="343"/>
      <c r="F24" s="102" t="str">
        <f>IF(ISERROR('Daily &amp; Weekly Totals'!M35),"",('Daily &amp; Weekly Totals'!M35))</f>
        <v/>
      </c>
      <c r="G24" s="325"/>
      <c r="H24" s="326"/>
      <c r="I24" s="326"/>
      <c r="J24" s="327"/>
      <c r="K24" s="340"/>
      <c r="L24" s="326"/>
      <c r="M24" s="326"/>
      <c r="N24" s="328"/>
      <c r="O24" s="340"/>
      <c r="P24" s="330"/>
      <c r="Q24" s="330"/>
      <c r="R24" s="329"/>
      <c r="S24" s="340"/>
      <c r="T24" s="326"/>
      <c r="U24" s="326"/>
      <c r="V24" s="329"/>
      <c r="W24" s="340"/>
      <c r="X24" s="326"/>
      <c r="Y24" s="326"/>
      <c r="Z24" s="328"/>
      <c r="AA24" s="340"/>
      <c r="AB24" s="330"/>
      <c r="AC24" s="330"/>
      <c r="AD24" s="328"/>
      <c r="AE24" s="340"/>
      <c r="AF24" s="330"/>
      <c r="AG24" s="330"/>
      <c r="AH24" s="329"/>
      <c r="AI24" s="340"/>
      <c r="AJ24" s="330"/>
      <c r="AK24" s="330"/>
      <c r="AL24" s="329"/>
      <c r="AM24" s="340"/>
      <c r="AN24" s="330"/>
      <c r="AO24" s="330"/>
      <c r="AP24" s="329"/>
      <c r="AQ24" s="340"/>
      <c r="AR24" s="330"/>
      <c r="AS24" s="330"/>
      <c r="AT24" s="329"/>
      <c r="AU24" s="340"/>
      <c r="AV24" s="330"/>
      <c r="AW24" s="330"/>
      <c r="AX24" s="329"/>
      <c r="AY24" s="340"/>
      <c r="AZ24" s="330"/>
      <c r="BA24" s="330"/>
      <c r="BB24" s="329"/>
      <c r="BC24" s="340"/>
      <c r="BD24" s="330"/>
      <c r="BE24" s="330"/>
      <c r="BF24" s="329"/>
      <c r="BG24" s="340"/>
      <c r="BH24" s="330"/>
      <c r="BI24" s="330"/>
      <c r="BJ24" s="329"/>
      <c r="BK24" s="340"/>
      <c r="BL24" s="330"/>
      <c r="BM24" s="330"/>
      <c r="BN24" s="329"/>
      <c r="BO24" s="340"/>
      <c r="BP24" s="330"/>
      <c r="BQ24" s="330"/>
      <c r="BR24" s="329"/>
      <c r="BS24" s="340"/>
      <c r="BT24" s="330"/>
      <c r="BU24" s="330"/>
      <c r="BV24" s="329"/>
      <c r="BW24" s="340"/>
      <c r="BX24" s="330"/>
      <c r="BY24" s="330"/>
      <c r="BZ24" s="329"/>
      <c r="CA24" s="340"/>
      <c r="CB24" s="330"/>
      <c r="CC24" s="330"/>
      <c r="CD24" s="329"/>
      <c r="CE24" s="340"/>
      <c r="CF24" s="330"/>
      <c r="CG24" s="330"/>
      <c r="CH24" s="329"/>
      <c r="CI24" s="340"/>
      <c r="CJ24" s="107"/>
      <c r="CK24" s="123"/>
      <c r="CL24" s="124"/>
      <c r="CM24" s="125"/>
      <c r="IU24"/>
      <c r="IV24"/>
    </row>
    <row r="25" spans="1:256" s="10" customFormat="1" ht="17.25" customHeight="1" thickBot="1">
      <c r="A25" s="100" t="s">
        <v>27</v>
      </c>
      <c r="B25" s="101">
        <f>'Value of Sales'!C28</f>
        <v>43942</v>
      </c>
      <c r="C25" s="342"/>
      <c r="D25" s="326"/>
      <c r="E25" s="343"/>
      <c r="F25" s="102" t="str">
        <f>IF(ISERROR('Daily &amp; Weekly Totals'!M36),"",('Daily &amp; Weekly Totals'!M36))</f>
        <v/>
      </c>
      <c r="G25" s="325"/>
      <c r="H25" s="326"/>
      <c r="I25" s="326"/>
      <c r="J25" s="327"/>
      <c r="K25" s="340"/>
      <c r="L25" s="326"/>
      <c r="M25" s="326"/>
      <c r="N25" s="328"/>
      <c r="O25" s="340"/>
      <c r="P25" s="326"/>
      <c r="Q25" s="326"/>
      <c r="R25" s="328"/>
      <c r="S25" s="340"/>
      <c r="T25" s="326"/>
      <c r="U25" s="326"/>
      <c r="V25" s="329"/>
      <c r="W25" s="340"/>
      <c r="X25" s="326"/>
      <c r="Y25" s="326"/>
      <c r="Z25" s="328"/>
      <c r="AA25" s="340"/>
      <c r="AB25" s="330"/>
      <c r="AC25" s="330"/>
      <c r="AD25" s="328"/>
      <c r="AE25" s="340"/>
      <c r="AF25" s="330"/>
      <c r="AG25" s="330"/>
      <c r="AH25" s="329"/>
      <c r="AI25" s="340"/>
      <c r="AJ25" s="330"/>
      <c r="AK25" s="330"/>
      <c r="AL25" s="329"/>
      <c r="AM25" s="340"/>
      <c r="AN25" s="330"/>
      <c r="AO25" s="330"/>
      <c r="AP25" s="329"/>
      <c r="AQ25" s="340"/>
      <c r="AR25" s="330"/>
      <c r="AS25" s="330"/>
      <c r="AT25" s="329"/>
      <c r="AU25" s="340"/>
      <c r="AV25" s="330"/>
      <c r="AW25" s="330"/>
      <c r="AX25" s="329"/>
      <c r="AY25" s="340"/>
      <c r="AZ25" s="330"/>
      <c r="BA25" s="330"/>
      <c r="BB25" s="329"/>
      <c r="BC25" s="340"/>
      <c r="BD25" s="330"/>
      <c r="BE25" s="330"/>
      <c r="BF25" s="329"/>
      <c r="BG25" s="340"/>
      <c r="BH25" s="330"/>
      <c r="BI25" s="330"/>
      <c r="BJ25" s="329"/>
      <c r="BK25" s="340"/>
      <c r="BL25" s="330"/>
      <c r="BM25" s="330"/>
      <c r="BN25" s="329"/>
      <c r="BO25" s="340"/>
      <c r="BP25" s="330"/>
      <c r="BQ25" s="330"/>
      <c r="BR25" s="329"/>
      <c r="BS25" s="340"/>
      <c r="BT25" s="330"/>
      <c r="BU25" s="330"/>
      <c r="BV25" s="329"/>
      <c r="BW25" s="340"/>
      <c r="BX25" s="330"/>
      <c r="BY25" s="330"/>
      <c r="BZ25" s="329"/>
      <c r="CA25" s="340"/>
      <c r="CB25" s="330"/>
      <c r="CC25" s="330"/>
      <c r="CD25" s="329"/>
      <c r="CE25" s="340"/>
      <c r="CF25" s="330"/>
      <c r="CG25" s="330"/>
      <c r="CH25" s="329"/>
      <c r="CI25" s="340"/>
      <c r="CJ25" s="107"/>
      <c r="CK25" s="123"/>
      <c r="CL25" s="124"/>
      <c r="CM25" s="125"/>
      <c r="IU25"/>
      <c r="IV25"/>
    </row>
    <row r="26" spans="1:256" s="10" customFormat="1" ht="17.25" customHeight="1" thickBot="1">
      <c r="A26" s="100" t="s">
        <v>28</v>
      </c>
      <c r="B26" s="101">
        <f>'Value of Sales'!C29</f>
        <v>43943</v>
      </c>
      <c r="C26" s="342"/>
      <c r="D26" s="326"/>
      <c r="E26" s="343"/>
      <c r="F26" s="102" t="str">
        <f>IF(ISERROR('Daily &amp; Weekly Totals'!M37),"",('Daily &amp; Weekly Totals'!M37))</f>
        <v/>
      </c>
      <c r="G26" s="325"/>
      <c r="H26" s="326"/>
      <c r="I26" s="326"/>
      <c r="J26" s="327"/>
      <c r="K26" s="340"/>
      <c r="L26" s="326"/>
      <c r="M26" s="326"/>
      <c r="N26" s="328"/>
      <c r="O26" s="340"/>
      <c r="P26" s="326"/>
      <c r="Q26" s="326"/>
      <c r="R26" s="328"/>
      <c r="S26" s="340"/>
      <c r="T26" s="326"/>
      <c r="U26" s="326"/>
      <c r="V26" s="329"/>
      <c r="W26" s="340"/>
      <c r="X26" s="326"/>
      <c r="Y26" s="326"/>
      <c r="Z26" s="328"/>
      <c r="AA26" s="340"/>
      <c r="AB26" s="330"/>
      <c r="AC26" s="330"/>
      <c r="AD26" s="328"/>
      <c r="AE26" s="340"/>
      <c r="AF26" s="330"/>
      <c r="AG26" s="330"/>
      <c r="AH26" s="329"/>
      <c r="AI26" s="340"/>
      <c r="AJ26" s="330"/>
      <c r="AK26" s="330"/>
      <c r="AL26" s="329"/>
      <c r="AM26" s="340"/>
      <c r="AN26" s="330"/>
      <c r="AO26" s="330"/>
      <c r="AP26" s="329"/>
      <c r="AQ26" s="340"/>
      <c r="AR26" s="330"/>
      <c r="AS26" s="330"/>
      <c r="AT26" s="329"/>
      <c r="AU26" s="340"/>
      <c r="AV26" s="330"/>
      <c r="AW26" s="330"/>
      <c r="AX26" s="329"/>
      <c r="AY26" s="340"/>
      <c r="AZ26" s="330"/>
      <c r="BA26" s="330"/>
      <c r="BB26" s="329"/>
      <c r="BC26" s="340"/>
      <c r="BD26" s="330"/>
      <c r="BE26" s="330"/>
      <c r="BF26" s="329"/>
      <c r="BG26" s="340"/>
      <c r="BH26" s="330"/>
      <c r="BI26" s="330"/>
      <c r="BJ26" s="329"/>
      <c r="BK26" s="340"/>
      <c r="BL26" s="330"/>
      <c r="BM26" s="330"/>
      <c r="BN26" s="329"/>
      <c r="BO26" s="340"/>
      <c r="BP26" s="330"/>
      <c r="BQ26" s="330"/>
      <c r="BR26" s="329"/>
      <c r="BS26" s="340"/>
      <c r="BT26" s="330"/>
      <c r="BU26" s="330"/>
      <c r="BV26" s="329"/>
      <c r="BW26" s="340"/>
      <c r="BX26" s="330"/>
      <c r="BY26" s="330"/>
      <c r="BZ26" s="329"/>
      <c r="CA26" s="340"/>
      <c r="CB26" s="330"/>
      <c r="CC26" s="330"/>
      <c r="CD26" s="329"/>
      <c r="CE26" s="340"/>
      <c r="CF26" s="330"/>
      <c r="CG26" s="330"/>
      <c r="CH26" s="329"/>
      <c r="CI26" s="340"/>
      <c r="CJ26" s="107"/>
      <c r="CK26" s="123"/>
      <c r="CL26" s="124"/>
      <c r="CM26" s="125"/>
      <c r="IU26"/>
      <c r="IV26"/>
    </row>
    <row r="27" spans="1:256" s="10" customFormat="1" ht="17.25" customHeight="1" thickBot="1">
      <c r="A27" s="100" t="s">
        <v>29</v>
      </c>
      <c r="B27" s="101">
        <f>'Value of Sales'!C30</f>
        <v>43944</v>
      </c>
      <c r="C27" s="342"/>
      <c r="D27" s="326"/>
      <c r="E27" s="343"/>
      <c r="F27" s="102" t="str">
        <f>IF(ISERROR('Daily &amp; Weekly Totals'!M38),"",('Daily &amp; Weekly Totals'!M38))</f>
        <v/>
      </c>
      <c r="G27" s="325"/>
      <c r="H27" s="326"/>
      <c r="I27" s="326"/>
      <c r="J27" s="327"/>
      <c r="K27" s="340"/>
      <c r="L27" s="326"/>
      <c r="M27" s="326"/>
      <c r="N27" s="328"/>
      <c r="O27" s="340"/>
      <c r="P27" s="326"/>
      <c r="Q27" s="326"/>
      <c r="R27" s="328"/>
      <c r="S27" s="340"/>
      <c r="T27" s="326"/>
      <c r="U27" s="326"/>
      <c r="V27" s="329"/>
      <c r="W27" s="340"/>
      <c r="X27" s="326"/>
      <c r="Y27" s="326"/>
      <c r="Z27" s="328"/>
      <c r="AA27" s="340"/>
      <c r="AB27" s="330"/>
      <c r="AC27" s="330"/>
      <c r="AD27" s="328"/>
      <c r="AE27" s="340"/>
      <c r="AF27" s="330"/>
      <c r="AG27" s="330"/>
      <c r="AH27" s="329"/>
      <c r="AI27" s="340"/>
      <c r="AJ27" s="330"/>
      <c r="AK27" s="330"/>
      <c r="AL27" s="329"/>
      <c r="AM27" s="340"/>
      <c r="AN27" s="330"/>
      <c r="AO27" s="330"/>
      <c r="AP27" s="329"/>
      <c r="AQ27" s="340"/>
      <c r="AR27" s="330"/>
      <c r="AS27" s="330"/>
      <c r="AT27" s="329"/>
      <c r="AU27" s="340"/>
      <c r="AV27" s="330"/>
      <c r="AW27" s="330"/>
      <c r="AX27" s="329"/>
      <c r="AY27" s="340"/>
      <c r="AZ27" s="330"/>
      <c r="BA27" s="330"/>
      <c r="BB27" s="329"/>
      <c r="BC27" s="340"/>
      <c r="BD27" s="330"/>
      <c r="BE27" s="330"/>
      <c r="BF27" s="329"/>
      <c r="BG27" s="340"/>
      <c r="BH27" s="330"/>
      <c r="BI27" s="330"/>
      <c r="BJ27" s="329"/>
      <c r="BK27" s="340"/>
      <c r="BL27" s="330"/>
      <c r="BM27" s="330"/>
      <c r="BN27" s="329"/>
      <c r="BO27" s="340"/>
      <c r="BP27" s="330"/>
      <c r="BQ27" s="330"/>
      <c r="BR27" s="329"/>
      <c r="BS27" s="340"/>
      <c r="BT27" s="330"/>
      <c r="BU27" s="330"/>
      <c r="BV27" s="329"/>
      <c r="BW27" s="340"/>
      <c r="BX27" s="330"/>
      <c r="BY27" s="330"/>
      <c r="BZ27" s="329"/>
      <c r="CA27" s="340"/>
      <c r="CB27" s="330"/>
      <c r="CC27" s="330"/>
      <c r="CD27" s="329"/>
      <c r="CE27" s="340"/>
      <c r="CF27" s="330"/>
      <c r="CG27" s="330"/>
      <c r="CH27" s="329"/>
      <c r="CI27" s="340"/>
      <c r="CJ27" s="107"/>
      <c r="CK27" s="123"/>
      <c r="CL27" s="124"/>
      <c r="CM27" s="125"/>
      <c r="IU27"/>
      <c r="IV27"/>
    </row>
    <row r="28" spans="1:256" s="10" customFormat="1" ht="17.25" customHeight="1" thickBot="1">
      <c r="A28" s="100" t="s">
        <v>30</v>
      </c>
      <c r="B28" s="101">
        <f>'Value of Sales'!C31</f>
        <v>43945</v>
      </c>
      <c r="C28" s="342"/>
      <c r="D28" s="326"/>
      <c r="E28" s="343"/>
      <c r="F28" s="102" t="str">
        <f>IF(ISERROR('Daily &amp; Weekly Totals'!M39),"",('Daily &amp; Weekly Totals'!M39))</f>
        <v/>
      </c>
      <c r="G28" s="325"/>
      <c r="H28" s="326"/>
      <c r="I28" s="326"/>
      <c r="J28" s="327"/>
      <c r="K28" s="340"/>
      <c r="L28" s="326"/>
      <c r="M28" s="326"/>
      <c r="N28" s="328"/>
      <c r="O28" s="340"/>
      <c r="P28" s="330"/>
      <c r="Q28" s="330"/>
      <c r="R28" s="329"/>
      <c r="S28" s="340"/>
      <c r="T28" s="326"/>
      <c r="U28" s="326"/>
      <c r="V28" s="328"/>
      <c r="W28" s="340"/>
      <c r="X28" s="326"/>
      <c r="Y28" s="326"/>
      <c r="Z28" s="328"/>
      <c r="AA28" s="340"/>
      <c r="AB28" s="330"/>
      <c r="AC28" s="330"/>
      <c r="AD28" s="328"/>
      <c r="AE28" s="340"/>
      <c r="AF28" s="330"/>
      <c r="AG28" s="330"/>
      <c r="AH28" s="329"/>
      <c r="AI28" s="340"/>
      <c r="AJ28" s="330"/>
      <c r="AK28" s="330"/>
      <c r="AL28" s="329"/>
      <c r="AM28" s="340"/>
      <c r="AN28" s="330"/>
      <c r="AO28" s="330"/>
      <c r="AP28" s="329"/>
      <c r="AQ28" s="340"/>
      <c r="AR28" s="330"/>
      <c r="AS28" s="330"/>
      <c r="AT28" s="329"/>
      <c r="AU28" s="340"/>
      <c r="AV28" s="330"/>
      <c r="AW28" s="330"/>
      <c r="AX28" s="329"/>
      <c r="AY28" s="340"/>
      <c r="AZ28" s="330"/>
      <c r="BA28" s="330"/>
      <c r="BB28" s="329"/>
      <c r="BC28" s="340"/>
      <c r="BD28" s="330"/>
      <c r="BE28" s="330"/>
      <c r="BF28" s="329"/>
      <c r="BG28" s="340"/>
      <c r="BH28" s="330"/>
      <c r="BI28" s="330"/>
      <c r="BJ28" s="329"/>
      <c r="BK28" s="340"/>
      <c r="BL28" s="330"/>
      <c r="BM28" s="330"/>
      <c r="BN28" s="329"/>
      <c r="BO28" s="340"/>
      <c r="BP28" s="330"/>
      <c r="BQ28" s="330"/>
      <c r="BR28" s="329"/>
      <c r="BS28" s="340"/>
      <c r="BT28" s="330"/>
      <c r="BU28" s="330"/>
      <c r="BV28" s="329"/>
      <c r="BW28" s="340"/>
      <c r="BX28" s="330"/>
      <c r="BY28" s="330"/>
      <c r="BZ28" s="329"/>
      <c r="CA28" s="340"/>
      <c r="CB28" s="330"/>
      <c r="CC28" s="330"/>
      <c r="CD28" s="329"/>
      <c r="CE28" s="340"/>
      <c r="CF28" s="330"/>
      <c r="CG28" s="330"/>
      <c r="CH28" s="329"/>
      <c r="CI28" s="340"/>
      <c r="CJ28" s="107"/>
      <c r="CK28" s="123"/>
      <c r="CL28" s="124"/>
      <c r="CM28" s="125"/>
      <c r="IU28"/>
      <c r="IV28"/>
    </row>
    <row r="29" spans="1:256" s="10" customFormat="1" ht="17.25" customHeight="1" thickBot="1">
      <c r="A29" s="100" t="s">
        <v>31</v>
      </c>
      <c r="B29" s="101">
        <f>'Value of Sales'!C32</f>
        <v>43946</v>
      </c>
      <c r="C29" s="342"/>
      <c r="D29" s="326"/>
      <c r="E29" s="343"/>
      <c r="F29" s="102" t="str">
        <f>IF(ISERROR('Daily &amp; Weekly Totals'!M40),"",('Daily &amp; Weekly Totals'!M40))</f>
        <v/>
      </c>
      <c r="G29" s="325"/>
      <c r="H29" s="326"/>
      <c r="I29" s="326"/>
      <c r="J29" s="327"/>
      <c r="K29" s="340"/>
      <c r="L29" s="326"/>
      <c r="M29" s="326"/>
      <c r="N29" s="328"/>
      <c r="O29" s="340"/>
      <c r="P29" s="330"/>
      <c r="Q29" s="330"/>
      <c r="R29" s="330"/>
      <c r="S29" s="340"/>
      <c r="T29" s="326"/>
      <c r="U29" s="326"/>
      <c r="V29" s="328"/>
      <c r="W29" s="340"/>
      <c r="X29" s="326"/>
      <c r="Y29" s="326"/>
      <c r="Z29" s="328"/>
      <c r="AA29" s="340"/>
      <c r="AB29" s="330"/>
      <c r="AC29" s="330"/>
      <c r="AD29" s="329"/>
      <c r="AE29" s="340"/>
      <c r="AF29" s="330"/>
      <c r="AG29" s="330"/>
      <c r="AH29" s="329"/>
      <c r="AI29" s="340"/>
      <c r="AJ29" s="330"/>
      <c r="AK29" s="330"/>
      <c r="AL29" s="329"/>
      <c r="AM29" s="340"/>
      <c r="AN29" s="330"/>
      <c r="AO29" s="330"/>
      <c r="AP29" s="329"/>
      <c r="AQ29" s="340"/>
      <c r="AR29" s="330"/>
      <c r="AS29" s="330"/>
      <c r="AT29" s="329"/>
      <c r="AU29" s="340"/>
      <c r="AV29" s="330"/>
      <c r="AW29" s="330"/>
      <c r="AX29" s="329"/>
      <c r="AY29" s="340"/>
      <c r="AZ29" s="330"/>
      <c r="BA29" s="330"/>
      <c r="BB29" s="329"/>
      <c r="BC29" s="340"/>
      <c r="BD29" s="330"/>
      <c r="BE29" s="330"/>
      <c r="BF29" s="329"/>
      <c r="BG29" s="340"/>
      <c r="BH29" s="330"/>
      <c r="BI29" s="330"/>
      <c r="BJ29" s="329"/>
      <c r="BK29" s="340"/>
      <c r="BL29" s="330"/>
      <c r="BM29" s="330"/>
      <c r="BN29" s="329"/>
      <c r="BO29" s="340"/>
      <c r="BP29" s="330"/>
      <c r="BQ29" s="330"/>
      <c r="BR29" s="329"/>
      <c r="BS29" s="340"/>
      <c r="BT29" s="330"/>
      <c r="BU29" s="330"/>
      <c r="BV29" s="329"/>
      <c r="BW29" s="340"/>
      <c r="BX29" s="330"/>
      <c r="BY29" s="330"/>
      <c r="BZ29" s="329"/>
      <c r="CA29" s="340"/>
      <c r="CB29" s="330"/>
      <c r="CC29" s="330"/>
      <c r="CD29" s="329"/>
      <c r="CE29" s="340"/>
      <c r="CF29" s="330"/>
      <c r="CG29" s="330"/>
      <c r="CH29" s="329"/>
      <c r="CI29" s="340"/>
      <c r="CJ29" s="107"/>
      <c r="CK29" s="123"/>
      <c r="CL29" s="124"/>
      <c r="CM29" s="125"/>
      <c r="IU29"/>
      <c r="IV29"/>
    </row>
    <row r="30" spans="1:256" s="10" customFormat="1" ht="17.25" customHeight="1" thickBot="1">
      <c r="A30" s="111" t="s">
        <v>32</v>
      </c>
      <c r="B30" s="112">
        <f>'Value of Sales'!C33</f>
        <v>43947</v>
      </c>
      <c r="C30" s="344"/>
      <c r="D30" s="345"/>
      <c r="E30" s="346"/>
      <c r="F30" s="113" t="str">
        <f>IF(ISERROR('Daily &amp; Weekly Totals'!M41),"",('Daily &amp; Weekly Totals'!M41))</f>
        <v/>
      </c>
      <c r="G30" s="331"/>
      <c r="H30" s="345"/>
      <c r="I30" s="345"/>
      <c r="J30" s="332"/>
      <c r="K30" s="333"/>
      <c r="L30" s="345"/>
      <c r="M30" s="345"/>
      <c r="N30" s="334"/>
      <c r="O30" s="333"/>
      <c r="P30" s="345"/>
      <c r="Q30" s="345"/>
      <c r="R30" s="334"/>
      <c r="S30" s="333"/>
      <c r="T30" s="335"/>
      <c r="U30" s="345"/>
      <c r="V30" s="334"/>
      <c r="W30" s="333"/>
      <c r="X30" s="345"/>
      <c r="Y30" s="345"/>
      <c r="Z30" s="334"/>
      <c r="AA30" s="333"/>
      <c r="AB30" s="335"/>
      <c r="AC30" s="345"/>
      <c r="AD30" s="334"/>
      <c r="AE30" s="333"/>
      <c r="AF30" s="335"/>
      <c r="AG30" s="335"/>
      <c r="AH30" s="336"/>
      <c r="AI30" s="333"/>
      <c r="AJ30" s="335"/>
      <c r="AK30" s="335"/>
      <c r="AL30" s="336"/>
      <c r="AM30" s="333"/>
      <c r="AN30" s="335"/>
      <c r="AO30" s="335"/>
      <c r="AP30" s="336"/>
      <c r="AQ30" s="333"/>
      <c r="AR30" s="335"/>
      <c r="AS30" s="335"/>
      <c r="AT30" s="336"/>
      <c r="AU30" s="333"/>
      <c r="AV30" s="335"/>
      <c r="AW30" s="335"/>
      <c r="AX30" s="336"/>
      <c r="AY30" s="333"/>
      <c r="AZ30" s="335"/>
      <c r="BA30" s="335"/>
      <c r="BB30" s="336"/>
      <c r="BC30" s="333"/>
      <c r="BD30" s="335"/>
      <c r="BE30" s="335"/>
      <c r="BF30" s="336"/>
      <c r="BG30" s="333"/>
      <c r="BH30" s="335"/>
      <c r="BI30" s="335"/>
      <c r="BJ30" s="336"/>
      <c r="BK30" s="333"/>
      <c r="BL30" s="335"/>
      <c r="BM30" s="335"/>
      <c r="BN30" s="336"/>
      <c r="BO30" s="333"/>
      <c r="BP30" s="335"/>
      <c r="BQ30" s="335"/>
      <c r="BR30" s="336"/>
      <c r="BS30" s="333"/>
      <c r="BT30" s="335"/>
      <c r="BU30" s="335"/>
      <c r="BV30" s="336"/>
      <c r="BW30" s="333"/>
      <c r="BX30" s="335"/>
      <c r="BY30" s="335"/>
      <c r="BZ30" s="336"/>
      <c r="CA30" s="333"/>
      <c r="CB30" s="335"/>
      <c r="CC30" s="335"/>
      <c r="CD30" s="336"/>
      <c r="CE30" s="333"/>
      <c r="CF30" s="335"/>
      <c r="CG30" s="335"/>
      <c r="CH30" s="336"/>
      <c r="CI30" s="333"/>
      <c r="CJ30" s="114">
        <f>SUM(J24:J30)+SUM(N24:N30)+SUM(R24:R30)+SUM(V24:V30)+SUM(Z24:Z30)+SUM(AD24:AD30)+SUM(AH24:AH30)+SUM(AL24:AL30)+SUM(AP24:AP30)+SUM(AT24:AT30)+SUM(AX24:AX30)+SUM(BB24:BB30)+SUM(BF24:BF30)+SUM(BJ24:BJ30)+SUM(BN24:BN30)+SUM(BR24:BR30)+SUM(BV24:BV30)+SUM(BZ24:BZ30)+SUM(CD24:CD30)+SUM(CH24:CH30)</f>
        <v>0</v>
      </c>
      <c r="CK30" s="123"/>
      <c r="CL30" s="124"/>
      <c r="CM30" s="125"/>
      <c r="IU30"/>
      <c r="IV30"/>
    </row>
    <row r="31" spans="1:256" s="10" customFormat="1" ht="17.25" customHeight="1" thickBot="1">
      <c r="A31" s="100" t="s">
        <v>26</v>
      </c>
      <c r="B31" s="101">
        <f>'Value of Sales'!C34</f>
        <v>43948</v>
      </c>
      <c r="C31" s="342"/>
      <c r="D31" s="326"/>
      <c r="E31" s="343"/>
      <c r="F31" s="102" t="str">
        <f>IF(ISERROR('Daily &amp; Weekly Totals'!M45),"",('Daily &amp; Weekly Totals'!M45))</f>
        <v/>
      </c>
      <c r="G31" s="325"/>
      <c r="H31" s="326"/>
      <c r="I31" s="326"/>
      <c r="J31" s="327"/>
      <c r="K31" s="340"/>
      <c r="L31" s="326"/>
      <c r="M31" s="326"/>
      <c r="N31" s="327"/>
      <c r="O31" s="340"/>
      <c r="P31" s="330"/>
      <c r="Q31" s="330"/>
      <c r="R31" s="327"/>
      <c r="S31" s="340"/>
      <c r="T31" s="326"/>
      <c r="U31" s="326"/>
      <c r="V31" s="329"/>
      <c r="W31" s="340"/>
      <c r="X31" s="326"/>
      <c r="Y31" s="326"/>
      <c r="Z31" s="328"/>
      <c r="AA31" s="340"/>
      <c r="AB31" s="330"/>
      <c r="AC31" s="330"/>
      <c r="AD31" s="328"/>
      <c r="AE31" s="340"/>
      <c r="AF31" s="330"/>
      <c r="AG31" s="330"/>
      <c r="AH31" s="329"/>
      <c r="AI31" s="340"/>
      <c r="AJ31" s="330"/>
      <c r="AK31" s="330"/>
      <c r="AL31" s="329"/>
      <c r="AM31" s="340"/>
      <c r="AN31" s="330"/>
      <c r="AO31" s="330"/>
      <c r="AP31" s="329"/>
      <c r="AQ31" s="340"/>
      <c r="AR31" s="330"/>
      <c r="AS31" s="330"/>
      <c r="AT31" s="329"/>
      <c r="AU31" s="340"/>
      <c r="AV31" s="330"/>
      <c r="AW31" s="330"/>
      <c r="AX31" s="329"/>
      <c r="AY31" s="340"/>
      <c r="AZ31" s="330"/>
      <c r="BA31" s="330"/>
      <c r="BB31" s="329"/>
      <c r="BC31" s="340"/>
      <c r="BD31" s="330"/>
      <c r="BE31" s="330"/>
      <c r="BF31" s="329"/>
      <c r="BG31" s="340"/>
      <c r="BH31" s="330"/>
      <c r="BI31" s="330"/>
      <c r="BJ31" s="329"/>
      <c r="BK31" s="340"/>
      <c r="BL31" s="330"/>
      <c r="BM31" s="330"/>
      <c r="BN31" s="329"/>
      <c r="BO31" s="340"/>
      <c r="BP31" s="330"/>
      <c r="BQ31" s="330"/>
      <c r="BR31" s="329"/>
      <c r="BS31" s="340"/>
      <c r="BT31" s="330"/>
      <c r="BU31" s="330"/>
      <c r="BV31" s="329"/>
      <c r="BW31" s="340"/>
      <c r="BX31" s="330"/>
      <c r="BY31" s="330"/>
      <c r="BZ31" s="329"/>
      <c r="CA31" s="340"/>
      <c r="CB31" s="330"/>
      <c r="CC31" s="330"/>
      <c r="CD31" s="329"/>
      <c r="CE31" s="340"/>
      <c r="CF31" s="330"/>
      <c r="CG31" s="330"/>
      <c r="CH31" s="329"/>
      <c r="CI31" s="340"/>
      <c r="CJ31" s="107"/>
      <c r="CK31" s="123"/>
      <c r="CL31" s="124"/>
      <c r="CM31" s="125"/>
      <c r="IU31"/>
      <c r="IV31"/>
    </row>
    <row r="32" spans="1:256" s="10" customFormat="1" ht="17.25" customHeight="1" thickBot="1">
      <c r="A32" s="100" t="s">
        <v>27</v>
      </c>
      <c r="B32" s="101">
        <f>'Value of Sales'!C35</f>
        <v>43949</v>
      </c>
      <c r="C32" s="342"/>
      <c r="D32" s="326"/>
      <c r="E32" s="343"/>
      <c r="F32" s="102" t="str">
        <f>IF(ISERROR('Daily &amp; Weekly Totals'!M46),"",('Daily &amp; Weekly Totals'!M46))</f>
        <v/>
      </c>
      <c r="G32" s="325"/>
      <c r="H32" s="326"/>
      <c r="I32" s="326"/>
      <c r="J32" s="327"/>
      <c r="K32" s="340"/>
      <c r="L32" s="326"/>
      <c r="M32" s="326"/>
      <c r="N32" s="327"/>
      <c r="O32" s="340"/>
      <c r="P32" s="326"/>
      <c r="Q32" s="326"/>
      <c r="R32" s="327"/>
      <c r="S32" s="340"/>
      <c r="T32" s="326"/>
      <c r="U32" s="326"/>
      <c r="V32" s="329"/>
      <c r="W32" s="340"/>
      <c r="X32" s="326"/>
      <c r="Y32" s="326"/>
      <c r="Z32" s="328"/>
      <c r="AA32" s="340"/>
      <c r="AB32" s="330"/>
      <c r="AC32" s="330"/>
      <c r="AD32" s="328"/>
      <c r="AE32" s="340"/>
      <c r="AF32" s="330"/>
      <c r="AG32" s="330"/>
      <c r="AH32" s="329"/>
      <c r="AI32" s="340"/>
      <c r="AJ32" s="330"/>
      <c r="AK32" s="330"/>
      <c r="AL32" s="329"/>
      <c r="AM32" s="340"/>
      <c r="AN32" s="330"/>
      <c r="AO32" s="330"/>
      <c r="AP32" s="329"/>
      <c r="AQ32" s="340"/>
      <c r="AR32" s="330"/>
      <c r="AS32" s="330"/>
      <c r="AT32" s="329"/>
      <c r="AU32" s="340"/>
      <c r="AV32" s="330"/>
      <c r="AW32" s="330"/>
      <c r="AX32" s="329"/>
      <c r="AY32" s="340"/>
      <c r="AZ32" s="330"/>
      <c r="BA32" s="330"/>
      <c r="BB32" s="329"/>
      <c r="BC32" s="340"/>
      <c r="BD32" s="330"/>
      <c r="BE32" s="330"/>
      <c r="BF32" s="330"/>
      <c r="BG32" s="340"/>
      <c r="BH32" s="330"/>
      <c r="BI32" s="330"/>
      <c r="BJ32" s="329"/>
      <c r="BK32" s="340"/>
      <c r="BL32" s="330"/>
      <c r="BM32" s="330"/>
      <c r="BN32" s="329"/>
      <c r="BO32" s="340"/>
      <c r="BP32" s="330"/>
      <c r="BQ32" s="330"/>
      <c r="BR32" s="329"/>
      <c r="BS32" s="340"/>
      <c r="BT32" s="330"/>
      <c r="BU32" s="330"/>
      <c r="BV32" s="329"/>
      <c r="BW32" s="340"/>
      <c r="BX32" s="330"/>
      <c r="BY32" s="330"/>
      <c r="BZ32" s="329"/>
      <c r="CA32" s="340"/>
      <c r="CB32" s="330"/>
      <c r="CC32" s="330"/>
      <c r="CD32" s="329"/>
      <c r="CE32" s="340"/>
      <c r="CF32" s="330"/>
      <c r="CG32" s="330"/>
      <c r="CH32" s="329"/>
      <c r="CI32" s="340"/>
      <c r="CJ32" s="107"/>
      <c r="CK32" s="123"/>
      <c r="CL32" s="124"/>
      <c r="CM32" s="125"/>
      <c r="IU32"/>
      <c r="IV32"/>
    </row>
    <row r="33" spans="1:256" s="10" customFormat="1" ht="17.25" customHeight="1" thickBot="1">
      <c r="A33" s="100" t="s">
        <v>28</v>
      </c>
      <c r="B33" s="101">
        <f>'Value of Sales'!C36</f>
        <v>43950</v>
      </c>
      <c r="C33" s="342"/>
      <c r="D33" s="326"/>
      <c r="E33" s="343"/>
      <c r="F33" s="102" t="str">
        <f>IF(ISERROR('Daily &amp; Weekly Totals'!M47),"",('Daily &amp; Weekly Totals'!M47))</f>
        <v/>
      </c>
      <c r="G33" s="325"/>
      <c r="H33" s="326"/>
      <c r="I33" s="326"/>
      <c r="J33" s="327"/>
      <c r="K33" s="340"/>
      <c r="L33" s="326"/>
      <c r="M33" s="326"/>
      <c r="N33" s="327"/>
      <c r="O33" s="340"/>
      <c r="P33" s="326"/>
      <c r="Q33" s="326"/>
      <c r="R33" s="327"/>
      <c r="S33" s="340"/>
      <c r="T33" s="326"/>
      <c r="U33" s="326"/>
      <c r="V33" s="329"/>
      <c r="W33" s="340"/>
      <c r="X33" s="326"/>
      <c r="Y33" s="326"/>
      <c r="Z33" s="328"/>
      <c r="AA33" s="340"/>
      <c r="AB33" s="330"/>
      <c r="AC33" s="330"/>
      <c r="AD33" s="328"/>
      <c r="AE33" s="340"/>
      <c r="AF33" s="330"/>
      <c r="AG33" s="330"/>
      <c r="AH33" s="329"/>
      <c r="AI33" s="340"/>
      <c r="AJ33" s="330"/>
      <c r="AK33" s="330"/>
      <c r="AL33" s="329"/>
      <c r="AM33" s="340"/>
      <c r="AN33" s="330"/>
      <c r="AO33" s="330"/>
      <c r="AP33" s="329"/>
      <c r="AQ33" s="340"/>
      <c r="AR33" s="330"/>
      <c r="AS33" s="330"/>
      <c r="AT33" s="329"/>
      <c r="AU33" s="340"/>
      <c r="AV33" s="330"/>
      <c r="AW33" s="330"/>
      <c r="AX33" s="329"/>
      <c r="AY33" s="340"/>
      <c r="AZ33" s="330"/>
      <c r="BA33" s="330"/>
      <c r="BB33" s="329"/>
      <c r="BC33" s="340"/>
      <c r="BD33" s="330"/>
      <c r="BE33" s="330"/>
      <c r="BF33" s="329"/>
      <c r="BG33" s="340"/>
      <c r="BH33" s="330"/>
      <c r="BI33" s="330"/>
      <c r="BJ33" s="329"/>
      <c r="BK33" s="340"/>
      <c r="BL33" s="330"/>
      <c r="BM33" s="330"/>
      <c r="BN33" s="329"/>
      <c r="BO33" s="340"/>
      <c r="BP33" s="330"/>
      <c r="BQ33" s="330"/>
      <c r="BR33" s="329"/>
      <c r="BS33" s="340"/>
      <c r="BT33" s="330"/>
      <c r="BU33" s="330"/>
      <c r="BV33" s="329"/>
      <c r="BW33" s="340"/>
      <c r="BX33" s="330"/>
      <c r="BY33" s="330"/>
      <c r="BZ33" s="329"/>
      <c r="CA33" s="340"/>
      <c r="CB33" s="330"/>
      <c r="CC33" s="330"/>
      <c r="CD33" s="329"/>
      <c r="CE33" s="340"/>
      <c r="CF33" s="330"/>
      <c r="CG33" s="330"/>
      <c r="CH33" s="329"/>
      <c r="CI33" s="340"/>
      <c r="CJ33" s="107"/>
      <c r="CK33" s="123"/>
      <c r="CL33" s="124"/>
      <c r="CM33" s="125"/>
      <c r="IU33"/>
      <c r="IV33"/>
    </row>
    <row r="34" spans="1:256" s="10" customFormat="1" ht="17.25" customHeight="1" thickBot="1">
      <c r="A34" s="100" t="s">
        <v>29</v>
      </c>
      <c r="B34" s="101">
        <f>'Value of Sales'!C37</f>
        <v>43951</v>
      </c>
      <c r="C34" s="342"/>
      <c r="D34" s="326"/>
      <c r="E34" s="343"/>
      <c r="F34" s="102" t="str">
        <f>IF(ISERROR('Daily &amp; Weekly Totals'!M48),"",('Daily &amp; Weekly Totals'!M48))</f>
        <v/>
      </c>
      <c r="G34" s="325"/>
      <c r="H34" s="326"/>
      <c r="I34" s="326"/>
      <c r="J34" s="327"/>
      <c r="K34" s="340"/>
      <c r="L34" s="326"/>
      <c r="M34" s="326"/>
      <c r="N34" s="327"/>
      <c r="O34" s="340"/>
      <c r="P34" s="326"/>
      <c r="Q34" s="326"/>
      <c r="R34" s="327"/>
      <c r="S34" s="340"/>
      <c r="T34" s="326"/>
      <c r="U34" s="326"/>
      <c r="V34" s="329"/>
      <c r="W34" s="340"/>
      <c r="X34" s="326"/>
      <c r="Y34" s="326"/>
      <c r="Z34" s="328"/>
      <c r="AA34" s="340"/>
      <c r="AB34" s="330"/>
      <c r="AC34" s="330"/>
      <c r="AD34" s="328"/>
      <c r="AE34" s="340"/>
      <c r="AF34" s="330"/>
      <c r="AG34" s="330"/>
      <c r="AH34" s="329"/>
      <c r="AI34" s="340"/>
      <c r="AJ34" s="330"/>
      <c r="AK34" s="330"/>
      <c r="AL34" s="329"/>
      <c r="AM34" s="340"/>
      <c r="AN34" s="330"/>
      <c r="AO34" s="330"/>
      <c r="AP34" s="329"/>
      <c r="AQ34" s="340"/>
      <c r="AR34" s="330"/>
      <c r="AS34" s="330"/>
      <c r="AT34" s="329"/>
      <c r="AU34" s="340"/>
      <c r="AV34" s="330"/>
      <c r="AW34" s="330"/>
      <c r="AX34" s="329"/>
      <c r="AY34" s="340"/>
      <c r="AZ34" s="330"/>
      <c r="BA34" s="330"/>
      <c r="BB34" s="329"/>
      <c r="BC34" s="340"/>
      <c r="BD34" s="330"/>
      <c r="BE34" s="330"/>
      <c r="BF34" s="329"/>
      <c r="BG34" s="340"/>
      <c r="BH34" s="330"/>
      <c r="BI34" s="330"/>
      <c r="BJ34" s="329"/>
      <c r="BK34" s="340"/>
      <c r="BL34" s="330"/>
      <c r="BM34" s="330"/>
      <c r="BN34" s="329"/>
      <c r="BO34" s="340"/>
      <c r="BP34" s="330"/>
      <c r="BQ34" s="330"/>
      <c r="BR34" s="329"/>
      <c r="BS34" s="340"/>
      <c r="BT34" s="330"/>
      <c r="BU34" s="330"/>
      <c r="BV34" s="329"/>
      <c r="BW34" s="340"/>
      <c r="BX34" s="330"/>
      <c r="BY34" s="330"/>
      <c r="BZ34" s="329"/>
      <c r="CA34" s="340"/>
      <c r="CB34" s="330"/>
      <c r="CC34" s="330"/>
      <c r="CD34" s="329"/>
      <c r="CE34" s="340"/>
      <c r="CF34" s="330"/>
      <c r="CG34" s="330"/>
      <c r="CH34" s="329"/>
      <c r="CI34" s="340"/>
      <c r="CJ34" s="107"/>
      <c r="CK34" s="123"/>
      <c r="CL34" s="124"/>
      <c r="CM34" s="125"/>
      <c r="IU34"/>
      <c r="IV34"/>
    </row>
    <row r="35" spans="1:256" s="10" customFormat="1" ht="17.25" customHeight="1" thickBot="1">
      <c r="A35" s="100" t="s">
        <v>30</v>
      </c>
      <c r="B35" s="101">
        <f>'Value of Sales'!C38</f>
        <v>43952</v>
      </c>
      <c r="C35" s="342"/>
      <c r="D35" s="326"/>
      <c r="E35" s="343"/>
      <c r="F35" s="102" t="str">
        <f>IF(ISERROR('Daily &amp; Weekly Totals'!M49),"",('Daily &amp; Weekly Totals'!M49))</f>
        <v/>
      </c>
      <c r="G35" s="325"/>
      <c r="H35" s="326"/>
      <c r="I35" s="326"/>
      <c r="J35" s="327"/>
      <c r="K35" s="340"/>
      <c r="L35" s="326"/>
      <c r="M35" s="326"/>
      <c r="N35" s="327"/>
      <c r="O35" s="340"/>
      <c r="P35" s="330"/>
      <c r="Q35" s="330"/>
      <c r="R35" s="327"/>
      <c r="S35" s="340"/>
      <c r="T35" s="326"/>
      <c r="U35" s="326"/>
      <c r="V35" s="328"/>
      <c r="W35" s="340"/>
      <c r="X35" s="326"/>
      <c r="Y35" s="326"/>
      <c r="Z35" s="328"/>
      <c r="AA35" s="340"/>
      <c r="AB35" s="330"/>
      <c r="AC35" s="330"/>
      <c r="AD35" s="328"/>
      <c r="AE35" s="340"/>
      <c r="AF35" s="330"/>
      <c r="AG35" s="330"/>
      <c r="AH35" s="329"/>
      <c r="AI35" s="340"/>
      <c r="AJ35" s="330"/>
      <c r="AK35" s="330"/>
      <c r="AL35" s="329"/>
      <c r="AM35" s="340"/>
      <c r="AN35" s="330"/>
      <c r="AO35" s="330"/>
      <c r="AP35" s="329"/>
      <c r="AQ35" s="340"/>
      <c r="AR35" s="330"/>
      <c r="AS35" s="330"/>
      <c r="AT35" s="329"/>
      <c r="AU35" s="340"/>
      <c r="AV35" s="330"/>
      <c r="AW35" s="330"/>
      <c r="AX35" s="329"/>
      <c r="AY35" s="340"/>
      <c r="AZ35" s="330"/>
      <c r="BA35" s="330"/>
      <c r="BB35" s="329"/>
      <c r="BC35" s="340"/>
      <c r="BD35" s="330"/>
      <c r="BE35" s="330"/>
      <c r="BF35" s="329"/>
      <c r="BG35" s="340"/>
      <c r="BH35" s="330"/>
      <c r="BI35" s="330"/>
      <c r="BJ35" s="329"/>
      <c r="BK35" s="340"/>
      <c r="BL35" s="330"/>
      <c r="BM35" s="330"/>
      <c r="BN35" s="329"/>
      <c r="BO35" s="340"/>
      <c r="BP35" s="330"/>
      <c r="BQ35" s="330"/>
      <c r="BR35" s="329"/>
      <c r="BS35" s="340"/>
      <c r="BT35" s="330"/>
      <c r="BU35" s="330"/>
      <c r="BV35" s="329"/>
      <c r="BW35" s="340"/>
      <c r="BX35" s="330"/>
      <c r="BY35" s="330"/>
      <c r="BZ35" s="329"/>
      <c r="CA35" s="340"/>
      <c r="CB35" s="330"/>
      <c r="CC35" s="330"/>
      <c r="CD35" s="329"/>
      <c r="CE35" s="340"/>
      <c r="CF35" s="330"/>
      <c r="CG35" s="330"/>
      <c r="CH35" s="329"/>
      <c r="CI35" s="340"/>
      <c r="CJ35" s="107"/>
      <c r="CK35" s="123"/>
      <c r="CL35" s="124"/>
      <c r="CM35" s="125"/>
      <c r="IU35"/>
      <c r="IV35"/>
    </row>
    <row r="36" spans="1:256" s="10" customFormat="1" ht="17.25" customHeight="1" thickBot="1">
      <c r="A36" s="100" t="s">
        <v>31</v>
      </c>
      <c r="B36" s="101">
        <f>'Value of Sales'!C39</f>
        <v>43953</v>
      </c>
      <c r="C36" s="342"/>
      <c r="D36" s="326"/>
      <c r="E36" s="343"/>
      <c r="F36" s="102" t="str">
        <f>IF(ISERROR('Daily &amp; Weekly Totals'!M50),"",('Daily &amp; Weekly Totals'!M50))</f>
        <v/>
      </c>
      <c r="G36" s="325"/>
      <c r="H36" s="326"/>
      <c r="I36" s="326"/>
      <c r="J36" s="327"/>
      <c r="K36" s="340"/>
      <c r="L36" s="326"/>
      <c r="M36" s="326"/>
      <c r="N36" s="328"/>
      <c r="O36" s="340"/>
      <c r="P36" s="330"/>
      <c r="Q36" s="330"/>
      <c r="R36" s="330"/>
      <c r="S36" s="340"/>
      <c r="T36" s="326"/>
      <c r="U36" s="326"/>
      <c r="V36" s="328"/>
      <c r="W36" s="340"/>
      <c r="X36" s="326"/>
      <c r="Y36" s="326"/>
      <c r="Z36" s="328"/>
      <c r="AA36" s="340"/>
      <c r="AB36" s="330"/>
      <c r="AC36" s="330"/>
      <c r="AD36" s="329"/>
      <c r="AE36" s="340"/>
      <c r="AF36" s="330"/>
      <c r="AG36" s="330"/>
      <c r="AH36" s="329"/>
      <c r="AI36" s="340"/>
      <c r="AJ36" s="330"/>
      <c r="AK36" s="330"/>
      <c r="AL36" s="329"/>
      <c r="AM36" s="340"/>
      <c r="AN36" s="330"/>
      <c r="AO36" s="330"/>
      <c r="AP36" s="329"/>
      <c r="AQ36" s="340"/>
      <c r="AR36" s="330"/>
      <c r="AS36" s="330"/>
      <c r="AT36" s="329"/>
      <c r="AU36" s="340"/>
      <c r="AV36" s="330"/>
      <c r="AW36" s="330"/>
      <c r="AX36" s="329"/>
      <c r="AY36" s="340"/>
      <c r="AZ36" s="330"/>
      <c r="BA36" s="330"/>
      <c r="BB36" s="329"/>
      <c r="BC36" s="340"/>
      <c r="BD36" s="330"/>
      <c r="BE36" s="330"/>
      <c r="BF36" s="329"/>
      <c r="BG36" s="340"/>
      <c r="BH36" s="330"/>
      <c r="BI36" s="330"/>
      <c r="BJ36" s="329"/>
      <c r="BK36" s="340"/>
      <c r="BL36" s="330"/>
      <c r="BM36" s="330"/>
      <c r="BN36" s="329"/>
      <c r="BO36" s="340"/>
      <c r="BP36" s="330"/>
      <c r="BQ36" s="330"/>
      <c r="BR36" s="329"/>
      <c r="BS36" s="340"/>
      <c r="BT36" s="330"/>
      <c r="BU36" s="330"/>
      <c r="BV36" s="329"/>
      <c r="BW36" s="340"/>
      <c r="BX36" s="330"/>
      <c r="BY36" s="330"/>
      <c r="BZ36" s="329"/>
      <c r="CA36" s="340"/>
      <c r="CB36" s="330"/>
      <c r="CC36" s="330"/>
      <c r="CD36" s="329"/>
      <c r="CE36" s="340"/>
      <c r="CF36" s="330"/>
      <c r="CG36" s="330"/>
      <c r="CH36" s="329"/>
      <c r="CI36" s="340"/>
      <c r="CJ36" s="107"/>
      <c r="CK36" s="123"/>
      <c r="CL36" s="124"/>
      <c r="CM36" s="125"/>
      <c r="IU36"/>
      <c r="IV36"/>
    </row>
    <row r="37" spans="1:256" s="10" customFormat="1" ht="17.25" customHeight="1" thickBot="1">
      <c r="A37" s="111" t="s">
        <v>32</v>
      </c>
      <c r="B37" s="112">
        <f>'Value of Sales'!C40</f>
        <v>43954</v>
      </c>
      <c r="C37" s="344"/>
      <c r="D37" s="345"/>
      <c r="E37" s="346"/>
      <c r="F37" s="113" t="str">
        <f>IF(ISERROR('Daily &amp; Weekly Totals'!M51),"",('Daily &amp; Weekly Totals'!M51))</f>
        <v/>
      </c>
      <c r="G37" s="331"/>
      <c r="H37" s="345"/>
      <c r="I37" s="345"/>
      <c r="J37" s="332"/>
      <c r="K37" s="333"/>
      <c r="L37" s="345"/>
      <c r="M37" s="345"/>
      <c r="N37" s="334"/>
      <c r="O37" s="333"/>
      <c r="P37" s="345"/>
      <c r="Q37" s="345"/>
      <c r="R37" s="334"/>
      <c r="S37" s="333"/>
      <c r="T37" s="335"/>
      <c r="U37" s="345"/>
      <c r="V37" s="334"/>
      <c r="W37" s="333"/>
      <c r="X37" s="345"/>
      <c r="Y37" s="345"/>
      <c r="Z37" s="334"/>
      <c r="AA37" s="333"/>
      <c r="AB37" s="335"/>
      <c r="AC37" s="345"/>
      <c r="AD37" s="334"/>
      <c r="AE37" s="333"/>
      <c r="AF37" s="335"/>
      <c r="AG37" s="335"/>
      <c r="AH37" s="336"/>
      <c r="AI37" s="333"/>
      <c r="AJ37" s="335"/>
      <c r="AK37" s="335"/>
      <c r="AL37" s="336"/>
      <c r="AM37" s="333"/>
      <c r="AN37" s="335"/>
      <c r="AO37" s="335"/>
      <c r="AP37" s="336"/>
      <c r="AQ37" s="333"/>
      <c r="AR37" s="335"/>
      <c r="AS37" s="335"/>
      <c r="AT37" s="336"/>
      <c r="AU37" s="333"/>
      <c r="AV37" s="335"/>
      <c r="AW37" s="335"/>
      <c r="AX37" s="336"/>
      <c r="AY37" s="333"/>
      <c r="AZ37" s="335"/>
      <c r="BA37" s="335"/>
      <c r="BB37" s="336"/>
      <c r="BC37" s="333"/>
      <c r="BD37" s="335"/>
      <c r="BE37" s="335"/>
      <c r="BF37" s="336"/>
      <c r="BG37" s="333"/>
      <c r="BH37" s="335"/>
      <c r="BI37" s="335"/>
      <c r="BJ37" s="336"/>
      <c r="BK37" s="333"/>
      <c r="BL37" s="335"/>
      <c r="BM37" s="335"/>
      <c r="BN37" s="336"/>
      <c r="BO37" s="333"/>
      <c r="BP37" s="335"/>
      <c r="BQ37" s="335"/>
      <c r="BR37" s="336"/>
      <c r="BS37" s="333"/>
      <c r="BT37" s="335"/>
      <c r="BU37" s="335"/>
      <c r="BV37" s="336"/>
      <c r="BW37" s="333"/>
      <c r="BX37" s="335"/>
      <c r="BY37" s="335"/>
      <c r="BZ37" s="336"/>
      <c r="CA37" s="333"/>
      <c r="CB37" s="335"/>
      <c r="CC37" s="335"/>
      <c r="CD37" s="336"/>
      <c r="CE37" s="333"/>
      <c r="CF37" s="335"/>
      <c r="CG37" s="335"/>
      <c r="CH37" s="336"/>
      <c r="CI37" s="333"/>
      <c r="CJ37" s="114">
        <f>SUM(J31:J37)+SUM(N31:N37)+SUM(R31:R37)+SUM(V31:V37)+SUM(Z31:Z37)+SUM(AD31:AD37)+SUM(AH31:AH37)+SUM(AL31:AL37)+SUM(AP31:AP37)+SUM(AT31:AT37)+SUM(AX31:AX37)+SUM(BB31:BB37)+SUM(BF31:BF37)+SUM(BJ31:BJ37)+SUM(BN31:BN37)+SUM(BR31:BR37)+SUM(BV31:BV37)+SUM(BZ31:BZ37)+SUM(CD31:CD37)+SUM(CH31:CH37)</f>
        <v>0</v>
      </c>
      <c r="CK37" s="123"/>
      <c r="CL37" s="124"/>
      <c r="CM37" s="125"/>
      <c r="IU37"/>
      <c r="IV37"/>
    </row>
    <row r="38" spans="1:256" s="10" customFormat="1" ht="17.25" customHeight="1" thickBot="1">
      <c r="A38" s="100" t="s">
        <v>26</v>
      </c>
      <c r="B38" s="101">
        <f>'Value of Sales'!C41</f>
        <v>43955</v>
      </c>
      <c r="C38" s="342"/>
      <c r="D38" s="326"/>
      <c r="E38" s="343"/>
      <c r="F38" s="102" t="str">
        <f>IF(ISERROR('Daily &amp; Weekly Totals'!M55),"",('Daily &amp; Weekly Totals'!M55))</f>
        <v/>
      </c>
      <c r="G38" s="341"/>
      <c r="H38" s="326"/>
      <c r="I38" s="326"/>
      <c r="J38" s="327"/>
      <c r="K38" s="340"/>
      <c r="L38" s="326"/>
      <c r="M38" s="326"/>
      <c r="N38" s="327"/>
      <c r="O38" s="340"/>
      <c r="P38" s="326"/>
      <c r="Q38" s="326"/>
      <c r="R38" s="327"/>
      <c r="S38" s="340"/>
      <c r="T38" s="326"/>
      <c r="U38" s="326"/>
      <c r="V38" s="329"/>
      <c r="W38" s="340"/>
      <c r="X38" s="330"/>
      <c r="Y38" s="330"/>
      <c r="Z38" s="328"/>
      <c r="AA38" s="340"/>
      <c r="AB38" s="330"/>
      <c r="AC38" s="330"/>
      <c r="AD38" s="328"/>
      <c r="AE38" s="340"/>
      <c r="AF38" s="330"/>
      <c r="AG38" s="330"/>
      <c r="AH38" s="329"/>
      <c r="AI38" s="340"/>
      <c r="AJ38" s="330"/>
      <c r="AK38" s="330"/>
      <c r="AL38" s="329"/>
      <c r="AM38" s="340"/>
      <c r="AN38" s="330"/>
      <c r="AO38" s="330"/>
      <c r="AP38" s="329"/>
      <c r="AQ38" s="340"/>
      <c r="AR38" s="330"/>
      <c r="AS38" s="330"/>
      <c r="AT38" s="329"/>
      <c r="AU38" s="340"/>
      <c r="AV38" s="330"/>
      <c r="AW38" s="330"/>
      <c r="AX38" s="329"/>
      <c r="AY38" s="340"/>
      <c r="AZ38" s="330"/>
      <c r="BA38" s="330"/>
      <c r="BB38" s="329"/>
      <c r="BC38" s="340"/>
      <c r="BD38" s="330"/>
      <c r="BE38" s="330"/>
      <c r="BF38" s="329"/>
      <c r="BG38" s="340"/>
      <c r="BH38" s="330"/>
      <c r="BI38" s="330"/>
      <c r="BJ38" s="329"/>
      <c r="BK38" s="340"/>
      <c r="BL38" s="330"/>
      <c r="BM38" s="330"/>
      <c r="BN38" s="329"/>
      <c r="BO38" s="340"/>
      <c r="BP38" s="330"/>
      <c r="BQ38" s="330"/>
      <c r="BR38" s="329"/>
      <c r="BS38" s="340"/>
      <c r="BT38" s="330"/>
      <c r="BU38" s="330"/>
      <c r="BV38" s="329"/>
      <c r="BW38" s="340"/>
      <c r="BX38" s="330"/>
      <c r="BY38" s="330"/>
      <c r="BZ38" s="329"/>
      <c r="CA38" s="340"/>
      <c r="CB38" s="330"/>
      <c r="CC38" s="330"/>
      <c r="CD38" s="329"/>
      <c r="CE38" s="340"/>
      <c r="CF38" s="330"/>
      <c r="CG38" s="330"/>
      <c r="CH38" s="329"/>
      <c r="CI38" s="340"/>
      <c r="CJ38" s="107"/>
      <c r="CK38" s="123"/>
      <c r="CL38" s="124"/>
      <c r="CM38" s="125"/>
      <c r="IU38"/>
      <c r="IV38"/>
    </row>
    <row r="39" spans="1:256" s="10" customFormat="1" ht="17.25" customHeight="1" thickBot="1">
      <c r="A39" s="100" t="s">
        <v>27</v>
      </c>
      <c r="B39" s="101">
        <f>'Value of Sales'!C42</f>
        <v>43956</v>
      </c>
      <c r="C39" s="342"/>
      <c r="D39" s="326"/>
      <c r="E39" s="343"/>
      <c r="F39" s="102" t="str">
        <f>IF(ISERROR('Daily &amp; Weekly Totals'!M56),"",('Daily &amp; Weekly Totals'!M56))</f>
        <v/>
      </c>
      <c r="G39" s="325"/>
      <c r="H39" s="326"/>
      <c r="I39" s="326"/>
      <c r="J39" s="327"/>
      <c r="K39" s="340"/>
      <c r="L39" s="326"/>
      <c r="M39" s="326"/>
      <c r="N39" s="327"/>
      <c r="O39" s="340"/>
      <c r="P39" s="326"/>
      <c r="Q39" s="326"/>
      <c r="R39" s="327"/>
      <c r="S39" s="340"/>
      <c r="T39" s="326"/>
      <c r="U39" s="326"/>
      <c r="V39" s="329"/>
      <c r="W39" s="340"/>
      <c r="X39" s="330"/>
      <c r="Y39" s="330"/>
      <c r="Z39" s="328"/>
      <c r="AA39" s="340"/>
      <c r="AB39" s="330"/>
      <c r="AC39" s="330"/>
      <c r="AD39" s="328"/>
      <c r="AE39" s="340"/>
      <c r="AF39" s="330"/>
      <c r="AG39" s="330"/>
      <c r="AH39" s="329"/>
      <c r="AI39" s="340"/>
      <c r="AJ39" s="330"/>
      <c r="AK39" s="330"/>
      <c r="AL39" s="329"/>
      <c r="AM39" s="340"/>
      <c r="AN39" s="330"/>
      <c r="AO39" s="330"/>
      <c r="AP39" s="329"/>
      <c r="AQ39" s="340"/>
      <c r="AR39" s="330"/>
      <c r="AS39" s="330"/>
      <c r="AT39" s="329"/>
      <c r="AU39" s="340"/>
      <c r="AV39" s="330"/>
      <c r="AW39" s="330"/>
      <c r="AX39" s="329"/>
      <c r="AY39" s="340"/>
      <c r="AZ39" s="330"/>
      <c r="BA39" s="330"/>
      <c r="BB39" s="329"/>
      <c r="BC39" s="340"/>
      <c r="BD39" s="330"/>
      <c r="BE39" s="330"/>
      <c r="BF39" s="329"/>
      <c r="BG39" s="340"/>
      <c r="BH39" s="330"/>
      <c r="BI39" s="330"/>
      <c r="BJ39" s="329"/>
      <c r="BK39" s="340"/>
      <c r="BL39" s="330"/>
      <c r="BM39" s="330"/>
      <c r="BN39" s="329"/>
      <c r="BO39" s="340"/>
      <c r="BP39" s="330"/>
      <c r="BQ39" s="330"/>
      <c r="BR39" s="329"/>
      <c r="BS39" s="340"/>
      <c r="BT39" s="330"/>
      <c r="BU39" s="330"/>
      <c r="BV39" s="329"/>
      <c r="BW39" s="340"/>
      <c r="BX39" s="330"/>
      <c r="BY39" s="330"/>
      <c r="BZ39" s="329"/>
      <c r="CA39" s="340"/>
      <c r="CB39" s="330"/>
      <c r="CC39" s="330"/>
      <c r="CD39" s="329"/>
      <c r="CE39" s="340"/>
      <c r="CF39" s="330"/>
      <c r="CG39" s="330"/>
      <c r="CH39" s="329"/>
      <c r="CI39" s="340"/>
      <c r="CJ39" s="107"/>
      <c r="CK39" s="123"/>
      <c r="CL39" s="124"/>
      <c r="CM39" s="125"/>
      <c r="IU39"/>
      <c r="IV39"/>
    </row>
    <row r="40" spans="1:256" s="10" customFormat="1" ht="17.25" customHeight="1" thickBot="1">
      <c r="A40" s="100" t="s">
        <v>28</v>
      </c>
      <c r="B40" s="101">
        <f>'Value of Sales'!C43</f>
        <v>43957</v>
      </c>
      <c r="C40" s="342"/>
      <c r="D40" s="326"/>
      <c r="E40" s="343"/>
      <c r="F40" s="102" t="str">
        <f>IF(ISERROR('Daily &amp; Weekly Totals'!M57),"",('Daily &amp; Weekly Totals'!M57))</f>
        <v/>
      </c>
      <c r="G40" s="325"/>
      <c r="H40" s="326"/>
      <c r="I40" s="326"/>
      <c r="J40" s="327"/>
      <c r="K40" s="340"/>
      <c r="L40" s="326"/>
      <c r="M40" s="326"/>
      <c r="N40" s="327"/>
      <c r="O40" s="340"/>
      <c r="P40" s="326"/>
      <c r="Q40" s="326"/>
      <c r="R40" s="327"/>
      <c r="S40" s="340"/>
      <c r="T40" s="326"/>
      <c r="U40" s="326"/>
      <c r="V40" s="329"/>
      <c r="W40" s="340"/>
      <c r="X40" s="330"/>
      <c r="Y40" s="330"/>
      <c r="Z40" s="328"/>
      <c r="AA40" s="340"/>
      <c r="AB40" s="330"/>
      <c r="AC40" s="330"/>
      <c r="AD40" s="328"/>
      <c r="AE40" s="340"/>
      <c r="AF40" s="330"/>
      <c r="AG40" s="330"/>
      <c r="AH40" s="329"/>
      <c r="AI40" s="340"/>
      <c r="AJ40" s="330"/>
      <c r="AK40" s="330"/>
      <c r="AL40" s="329"/>
      <c r="AM40" s="340"/>
      <c r="AN40" s="330"/>
      <c r="AO40" s="330"/>
      <c r="AP40" s="329"/>
      <c r="AQ40" s="340"/>
      <c r="AR40" s="330"/>
      <c r="AS40" s="330"/>
      <c r="AT40" s="329"/>
      <c r="AU40" s="340"/>
      <c r="AV40" s="330"/>
      <c r="AW40" s="330"/>
      <c r="AX40" s="329"/>
      <c r="AY40" s="340"/>
      <c r="AZ40" s="330"/>
      <c r="BA40" s="330"/>
      <c r="BB40" s="329"/>
      <c r="BC40" s="340"/>
      <c r="BD40" s="330"/>
      <c r="BE40" s="330"/>
      <c r="BF40" s="329"/>
      <c r="BG40" s="340"/>
      <c r="BH40" s="330"/>
      <c r="BI40" s="330"/>
      <c r="BJ40" s="329"/>
      <c r="BK40" s="340"/>
      <c r="BL40" s="330"/>
      <c r="BM40" s="330"/>
      <c r="BN40" s="329"/>
      <c r="BO40" s="340"/>
      <c r="BP40" s="330"/>
      <c r="BQ40" s="330"/>
      <c r="BR40" s="329"/>
      <c r="BS40" s="340"/>
      <c r="BT40" s="330"/>
      <c r="BU40" s="330"/>
      <c r="BV40" s="329"/>
      <c r="BW40" s="340"/>
      <c r="BX40" s="330"/>
      <c r="BY40" s="330"/>
      <c r="BZ40" s="329"/>
      <c r="CA40" s="340"/>
      <c r="CB40" s="330"/>
      <c r="CC40" s="330"/>
      <c r="CD40" s="329"/>
      <c r="CE40" s="340"/>
      <c r="CF40" s="330"/>
      <c r="CG40" s="330"/>
      <c r="CH40" s="329"/>
      <c r="CI40" s="340"/>
      <c r="CJ40" s="107"/>
      <c r="CK40" s="123"/>
      <c r="CL40" s="124"/>
      <c r="CM40" s="125"/>
      <c r="IU40"/>
      <c r="IV40"/>
    </row>
    <row r="41" spans="1:256" s="10" customFormat="1" ht="17.25" customHeight="1" thickBot="1">
      <c r="A41" s="100" t="s">
        <v>29</v>
      </c>
      <c r="B41" s="101">
        <f>'Value of Sales'!C44</f>
        <v>43958</v>
      </c>
      <c r="C41" s="342"/>
      <c r="D41" s="326"/>
      <c r="E41" s="343"/>
      <c r="F41" s="102" t="str">
        <f>IF(ISERROR('Daily &amp; Weekly Totals'!M58),"",('Daily &amp; Weekly Totals'!M58))</f>
        <v/>
      </c>
      <c r="G41" s="325"/>
      <c r="H41" s="326"/>
      <c r="I41" s="326"/>
      <c r="J41" s="327"/>
      <c r="K41" s="340"/>
      <c r="L41" s="326"/>
      <c r="M41" s="326"/>
      <c r="N41" s="327"/>
      <c r="O41" s="340"/>
      <c r="P41" s="326"/>
      <c r="Q41" s="326"/>
      <c r="R41" s="327"/>
      <c r="S41" s="340"/>
      <c r="T41" s="326"/>
      <c r="U41" s="326"/>
      <c r="V41" s="329"/>
      <c r="W41" s="340"/>
      <c r="X41" s="330"/>
      <c r="Y41" s="330"/>
      <c r="Z41" s="328"/>
      <c r="AA41" s="340"/>
      <c r="AB41" s="330"/>
      <c r="AC41" s="330"/>
      <c r="AD41" s="328"/>
      <c r="AE41" s="340"/>
      <c r="AF41" s="330"/>
      <c r="AG41" s="330"/>
      <c r="AH41" s="329"/>
      <c r="AI41" s="340"/>
      <c r="AJ41" s="330"/>
      <c r="AK41" s="330"/>
      <c r="AL41" s="329"/>
      <c r="AM41" s="340"/>
      <c r="AN41" s="330"/>
      <c r="AO41" s="330"/>
      <c r="AP41" s="329"/>
      <c r="AQ41" s="340"/>
      <c r="AR41" s="330"/>
      <c r="AS41" s="330"/>
      <c r="AT41" s="329"/>
      <c r="AU41" s="340"/>
      <c r="AV41" s="330"/>
      <c r="AW41" s="330"/>
      <c r="AX41" s="329"/>
      <c r="AY41" s="340"/>
      <c r="AZ41" s="330"/>
      <c r="BA41" s="330"/>
      <c r="BB41" s="329"/>
      <c r="BC41" s="340"/>
      <c r="BD41" s="330"/>
      <c r="BE41" s="330"/>
      <c r="BF41" s="329"/>
      <c r="BG41" s="340"/>
      <c r="BH41" s="330"/>
      <c r="BI41" s="330"/>
      <c r="BJ41" s="329"/>
      <c r="BK41" s="340"/>
      <c r="BL41" s="330"/>
      <c r="BM41" s="330"/>
      <c r="BN41" s="329"/>
      <c r="BO41" s="340"/>
      <c r="BP41" s="330"/>
      <c r="BQ41" s="330"/>
      <c r="BR41" s="329"/>
      <c r="BS41" s="340"/>
      <c r="BT41" s="330"/>
      <c r="BU41" s="330"/>
      <c r="BV41" s="329"/>
      <c r="BW41" s="340"/>
      <c r="BX41" s="330"/>
      <c r="BY41" s="330"/>
      <c r="BZ41" s="329"/>
      <c r="CA41" s="340"/>
      <c r="CB41" s="330"/>
      <c r="CC41" s="330"/>
      <c r="CD41" s="329"/>
      <c r="CE41" s="340"/>
      <c r="CF41" s="330"/>
      <c r="CG41" s="330"/>
      <c r="CH41" s="329"/>
      <c r="CI41" s="340"/>
      <c r="CJ41" s="107"/>
      <c r="CK41" s="123"/>
      <c r="CL41" s="124"/>
      <c r="CM41" s="125"/>
      <c r="IU41"/>
      <c r="IV41"/>
    </row>
    <row r="42" spans="1:256" s="10" customFormat="1" ht="17.25" customHeight="1" thickBot="1">
      <c r="A42" s="100" t="s">
        <v>30</v>
      </c>
      <c r="B42" s="101">
        <f>'Value of Sales'!C45</f>
        <v>43959</v>
      </c>
      <c r="C42" s="342"/>
      <c r="D42" s="326"/>
      <c r="E42" s="343"/>
      <c r="F42" s="102" t="str">
        <f>IF(ISERROR('Daily &amp; Weekly Totals'!M59),"",('Daily &amp; Weekly Totals'!M59))</f>
        <v/>
      </c>
      <c r="G42" s="325"/>
      <c r="H42" s="326"/>
      <c r="I42" s="326"/>
      <c r="J42" s="327"/>
      <c r="K42" s="340"/>
      <c r="L42" s="326"/>
      <c r="M42" s="326"/>
      <c r="N42" s="327"/>
      <c r="O42" s="340"/>
      <c r="P42" s="326"/>
      <c r="Q42" s="326"/>
      <c r="R42" s="327"/>
      <c r="S42" s="340"/>
      <c r="T42" s="326"/>
      <c r="U42" s="326"/>
      <c r="V42" s="328"/>
      <c r="W42" s="340"/>
      <c r="X42" s="330"/>
      <c r="Y42" s="330"/>
      <c r="Z42" s="328"/>
      <c r="AA42" s="340"/>
      <c r="AB42" s="330"/>
      <c r="AC42" s="330"/>
      <c r="AD42" s="328"/>
      <c r="AE42" s="340"/>
      <c r="AF42" s="330"/>
      <c r="AG42" s="330"/>
      <c r="AH42" s="329"/>
      <c r="AI42" s="340"/>
      <c r="AJ42" s="330"/>
      <c r="AK42" s="330"/>
      <c r="AL42" s="329"/>
      <c r="AM42" s="340"/>
      <c r="AN42" s="330"/>
      <c r="AO42" s="330"/>
      <c r="AP42" s="329"/>
      <c r="AQ42" s="340"/>
      <c r="AR42" s="330"/>
      <c r="AS42" s="330"/>
      <c r="AT42" s="329"/>
      <c r="AU42" s="340"/>
      <c r="AV42" s="330"/>
      <c r="AW42" s="330"/>
      <c r="AX42" s="329"/>
      <c r="AY42" s="340"/>
      <c r="AZ42" s="330"/>
      <c r="BA42" s="330"/>
      <c r="BB42" s="329"/>
      <c r="BC42" s="340"/>
      <c r="BD42" s="330"/>
      <c r="BE42" s="330"/>
      <c r="BF42" s="329"/>
      <c r="BG42" s="340"/>
      <c r="BH42" s="330"/>
      <c r="BI42" s="330"/>
      <c r="BJ42" s="329"/>
      <c r="BK42" s="340"/>
      <c r="BL42" s="330"/>
      <c r="BM42" s="330"/>
      <c r="BN42" s="329"/>
      <c r="BO42" s="340"/>
      <c r="BP42" s="330"/>
      <c r="BQ42" s="330"/>
      <c r="BR42" s="329"/>
      <c r="BS42" s="340"/>
      <c r="BT42" s="330"/>
      <c r="BU42" s="330"/>
      <c r="BV42" s="329"/>
      <c r="BW42" s="340"/>
      <c r="BX42" s="330"/>
      <c r="BY42" s="330"/>
      <c r="BZ42" s="329"/>
      <c r="CA42" s="340"/>
      <c r="CB42" s="330"/>
      <c r="CC42" s="330"/>
      <c r="CD42" s="329"/>
      <c r="CE42" s="340"/>
      <c r="CF42" s="330"/>
      <c r="CG42" s="330"/>
      <c r="CH42" s="329"/>
      <c r="CI42" s="340"/>
      <c r="CJ42" s="107"/>
      <c r="CK42" s="123"/>
      <c r="CL42" s="124"/>
      <c r="CM42" s="125"/>
      <c r="IU42"/>
      <c r="IV42"/>
    </row>
    <row r="43" spans="1:256" s="10" customFormat="1" ht="17.25" customHeight="1" thickBot="1">
      <c r="A43" s="100" t="s">
        <v>31</v>
      </c>
      <c r="B43" s="101">
        <f>'Value of Sales'!C46</f>
        <v>43960</v>
      </c>
      <c r="C43" s="342"/>
      <c r="D43" s="326"/>
      <c r="E43" s="343"/>
      <c r="F43" s="102" t="str">
        <f>IF(ISERROR('Daily &amp; Weekly Totals'!M60),"",('Daily &amp; Weekly Totals'!M60))</f>
        <v/>
      </c>
      <c r="G43" s="325"/>
      <c r="H43" s="326"/>
      <c r="I43" s="326"/>
      <c r="J43" s="328"/>
      <c r="K43" s="340"/>
      <c r="L43" s="326"/>
      <c r="M43" s="326"/>
      <c r="N43" s="328"/>
      <c r="O43" s="340"/>
      <c r="P43" s="326"/>
      <c r="Q43" s="326"/>
      <c r="R43" s="328"/>
      <c r="S43" s="340"/>
      <c r="T43" s="326"/>
      <c r="U43" s="326"/>
      <c r="V43" s="328"/>
      <c r="W43" s="340"/>
      <c r="X43" s="330"/>
      <c r="Y43" s="330"/>
      <c r="Z43" s="328"/>
      <c r="AA43" s="340"/>
      <c r="AB43" s="330"/>
      <c r="AC43" s="330"/>
      <c r="AD43" s="329"/>
      <c r="AE43" s="340"/>
      <c r="AF43" s="330"/>
      <c r="AG43" s="330"/>
      <c r="AH43" s="329"/>
      <c r="AI43" s="340"/>
      <c r="AJ43" s="330"/>
      <c r="AK43" s="330"/>
      <c r="AL43" s="329"/>
      <c r="AM43" s="340"/>
      <c r="AN43" s="330"/>
      <c r="AO43" s="330"/>
      <c r="AP43" s="329"/>
      <c r="AQ43" s="340"/>
      <c r="AR43" s="330"/>
      <c r="AS43" s="330"/>
      <c r="AT43" s="329"/>
      <c r="AU43" s="340"/>
      <c r="AV43" s="330"/>
      <c r="AW43" s="330"/>
      <c r="AX43" s="329"/>
      <c r="AY43" s="340"/>
      <c r="AZ43" s="330"/>
      <c r="BA43" s="330"/>
      <c r="BB43" s="329"/>
      <c r="BC43" s="340"/>
      <c r="BD43" s="330"/>
      <c r="BE43" s="330"/>
      <c r="BF43" s="329"/>
      <c r="BG43" s="340"/>
      <c r="BH43" s="330"/>
      <c r="BI43" s="330"/>
      <c r="BJ43" s="329"/>
      <c r="BK43" s="340"/>
      <c r="BL43" s="330"/>
      <c r="BM43" s="330"/>
      <c r="BN43" s="329"/>
      <c r="BO43" s="340"/>
      <c r="BP43" s="330"/>
      <c r="BQ43" s="330"/>
      <c r="BR43" s="329"/>
      <c r="BS43" s="340"/>
      <c r="BT43" s="330"/>
      <c r="BU43" s="330"/>
      <c r="BV43" s="329"/>
      <c r="BW43" s="340"/>
      <c r="BX43" s="330"/>
      <c r="BY43" s="330"/>
      <c r="BZ43" s="329"/>
      <c r="CA43" s="340"/>
      <c r="CB43" s="330"/>
      <c r="CC43" s="330"/>
      <c r="CD43" s="126"/>
      <c r="CE43" s="340"/>
      <c r="CF43" s="330"/>
      <c r="CG43" s="330"/>
      <c r="CH43" s="329"/>
      <c r="CI43" s="340"/>
      <c r="CJ43" s="127"/>
      <c r="CK43" s="123"/>
      <c r="CL43" s="124"/>
      <c r="CM43" s="125"/>
      <c r="IU43"/>
      <c r="IV43"/>
    </row>
    <row r="44" spans="1:256" s="10" customFormat="1" ht="17.25" customHeight="1">
      <c r="A44" s="111" t="s">
        <v>32</v>
      </c>
      <c r="B44" s="112">
        <f>'Value of Sales'!C47</f>
        <v>43961</v>
      </c>
      <c r="C44" s="344"/>
      <c r="D44" s="345"/>
      <c r="E44" s="346"/>
      <c r="F44" s="113" t="str">
        <f>IF(ISERROR('Daily &amp; Weekly Totals'!M61),"",('Daily &amp; Weekly Totals'!M61))</f>
        <v/>
      </c>
      <c r="G44" s="331"/>
      <c r="H44" s="345"/>
      <c r="I44" s="345"/>
      <c r="J44" s="334"/>
      <c r="K44" s="333"/>
      <c r="L44" s="345"/>
      <c r="M44" s="345"/>
      <c r="N44" s="334"/>
      <c r="O44" s="333"/>
      <c r="P44" s="345"/>
      <c r="Q44" s="345"/>
      <c r="R44" s="334"/>
      <c r="S44" s="333"/>
      <c r="T44" s="345"/>
      <c r="U44" s="345"/>
      <c r="V44" s="334"/>
      <c r="W44" s="333"/>
      <c r="X44" s="335"/>
      <c r="Y44" s="345"/>
      <c r="Z44" s="334"/>
      <c r="AA44" s="333"/>
      <c r="AB44" s="335"/>
      <c r="AC44" s="345"/>
      <c r="AD44" s="334"/>
      <c r="AE44" s="333"/>
      <c r="AF44" s="345"/>
      <c r="AG44" s="345"/>
      <c r="AH44" s="334"/>
      <c r="AI44" s="333"/>
      <c r="AJ44" s="345"/>
      <c r="AK44" s="345"/>
      <c r="AL44" s="334"/>
      <c r="AM44" s="333"/>
      <c r="AN44" s="345"/>
      <c r="AO44" s="345"/>
      <c r="AP44" s="334"/>
      <c r="AQ44" s="333"/>
      <c r="AR44" s="345"/>
      <c r="AS44" s="345"/>
      <c r="AT44" s="334"/>
      <c r="AU44" s="333"/>
      <c r="AV44" s="345"/>
      <c r="AW44" s="345"/>
      <c r="AX44" s="334"/>
      <c r="AY44" s="333"/>
      <c r="AZ44" s="345"/>
      <c r="BA44" s="345"/>
      <c r="BB44" s="334"/>
      <c r="BC44" s="333"/>
      <c r="BD44" s="345"/>
      <c r="BE44" s="345"/>
      <c r="BF44" s="334"/>
      <c r="BG44" s="333"/>
      <c r="BH44" s="345"/>
      <c r="BI44" s="345"/>
      <c r="BJ44" s="334"/>
      <c r="BK44" s="333"/>
      <c r="BL44" s="345"/>
      <c r="BM44" s="345"/>
      <c r="BN44" s="334"/>
      <c r="BO44" s="333"/>
      <c r="BP44" s="345"/>
      <c r="BQ44" s="345"/>
      <c r="BR44" s="334"/>
      <c r="BS44" s="333"/>
      <c r="BT44" s="345"/>
      <c r="BU44" s="345"/>
      <c r="BV44" s="334"/>
      <c r="BW44" s="333"/>
      <c r="BX44" s="345"/>
      <c r="BY44" s="345"/>
      <c r="BZ44" s="334"/>
      <c r="CA44" s="333"/>
      <c r="CB44" s="345"/>
      <c r="CC44" s="345"/>
      <c r="CD44" s="334"/>
      <c r="CE44" s="333"/>
      <c r="CF44" s="345"/>
      <c r="CG44" s="345"/>
      <c r="CH44" s="334"/>
      <c r="CI44" s="333"/>
      <c r="CJ44" s="114">
        <f>SUM(J38:J44)+SUM(N38:N44)+SUM(R38:R44)+SUM(V38:V44)+SUM(Z38:Z44)+SUM(AD38:AD44)+SUM(AH38:AH44)+SUM(AL38:AL44)+SUM(AP38:AP44)+SUM(AT38:AT44)+SUM(AX38:AX44)+SUM(BB38:BB44)+SUM(BF38:BF44)+SUM(BJ38:BJ44)+SUM(BN38:BN44)+SUM(BR38:BR44)+SUM(BV38:BV44)+SUM(BZ38:BZ44)+SUM(CD38:CD44)+SUM(CH38:CH44)</f>
        <v>0</v>
      </c>
      <c r="CK44" s="123"/>
      <c r="CL44" s="124"/>
      <c r="CM44" s="125"/>
      <c r="IU44"/>
      <c r="IV44"/>
    </row>
    <row r="45" spans="1:256" s="10" customFormat="1" ht="17.25" customHeight="1">
      <c r="A45" s="477"/>
      <c r="B45" s="477"/>
      <c r="C45" s="477"/>
      <c r="D45" s="477"/>
      <c r="E45" s="477"/>
      <c r="F45" s="477"/>
      <c r="G45" s="477"/>
      <c r="H45" s="477"/>
      <c r="I45" s="477"/>
      <c r="J45" s="477"/>
      <c r="K45" s="477"/>
      <c r="L45" s="477"/>
      <c r="M45" s="477"/>
      <c r="N45" s="477"/>
      <c r="O45" s="477"/>
      <c r="P45" s="477"/>
      <c r="Q45" s="477"/>
      <c r="R45" s="477"/>
      <c r="S45" s="477"/>
      <c r="T45" s="477"/>
      <c r="U45" s="477"/>
      <c r="V45" s="477"/>
      <c r="W45" s="477"/>
      <c r="X45" s="477"/>
      <c r="Y45" s="477"/>
      <c r="Z45" s="477"/>
      <c r="AA45" s="477"/>
      <c r="AB45" s="477"/>
      <c r="AC45" s="477"/>
      <c r="AD45" s="477"/>
      <c r="AE45" s="477"/>
      <c r="AF45" s="477"/>
      <c r="AG45" s="477"/>
      <c r="AH45" s="477"/>
      <c r="AI45" s="477"/>
      <c r="AJ45" s="477"/>
      <c r="AK45" s="477"/>
      <c r="AL45" s="477"/>
      <c r="AM45" s="477"/>
      <c r="AN45" s="477"/>
      <c r="AO45" s="477"/>
      <c r="AP45" s="477"/>
      <c r="AQ45" s="477"/>
      <c r="AR45" s="477"/>
      <c r="AS45" s="477"/>
      <c r="AT45" s="477"/>
      <c r="AU45" s="477"/>
      <c r="AV45" s="477"/>
      <c r="AW45" s="477"/>
      <c r="AX45" s="477"/>
      <c r="AY45" s="477"/>
      <c r="AZ45" s="477"/>
      <c r="BA45" s="477"/>
      <c r="BB45" s="477"/>
      <c r="BC45" s="477"/>
      <c r="BD45" s="477"/>
      <c r="BE45" s="477"/>
      <c r="BF45" s="477"/>
      <c r="BG45" s="477"/>
      <c r="BH45" s="477"/>
      <c r="BI45" s="477"/>
      <c r="BJ45" s="477"/>
      <c r="BK45" s="477"/>
      <c r="BL45" s="477"/>
      <c r="BM45" s="477"/>
      <c r="BN45" s="477"/>
      <c r="BO45" s="477"/>
      <c r="BP45" s="477"/>
      <c r="BQ45" s="477"/>
      <c r="BR45" s="477"/>
      <c r="BS45" s="477"/>
      <c r="BT45" s="477"/>
      <c r="BU45" s="477"/>
      <c r="BV45" s="477"/>
      <c r="BW45" s="477"/>
      <c r="BX45" s="477"/>
      <c r="BY45" s="477"/>
      <c r="BZ45" s="477"/>
      <c r="CA45" s="477"/>
      <c r="CB45" s="477"/>
      <c r="CC45" s="477"/>
      <c r="CD45" s="477"/>
      <c r="CE45" s="477"/>
      <c r="CF45" s="477"/>
      <c r="CG45" s="477"/>
      <c r="CH45" s="477"/>
      <c r="CI45" s="477"/>
      <c r="CJ45" s="477"/>
      <c r="CK45" s="477"/>
      <c r="CL45" s="477"/>
      <c r="CM45" s="477"/>
      <c r="IU45"/>
      <c r="IV45"/>
    </row>
    <row r="46" spans="1:256" s="10" customFormat="1" ht="15.95" customHeight="1">
      <c r="A46" s="128"/>
      <c r="B46" s="129"/>
      <c r="C46" s="130"/>
      <c r="H46"/>
      <c r="I46"/>
      <c r="J46"/>
      <c r="K46"/>
      <c r="O46"/>
      <c r="S46"/>
      <c r="W46"/>
      <c r="AA46"/>
      <c r="AE46"/>
      <c r="AI46"/>
      <c r="AM46"/>
      <c r="AQ46"/>
      <c r="AU46"/>
      <c r="AY46"/>
      <c r="BC46"/>
      <c r="BG46"/>
      <c r="BK46"/>
      <c r="BO46"/>
      <c r="BS46"/>
      <c r="BW46"/>
      <c r="CA46"/>
      <c r="CE46"/>
      <c r="CI46"/>
      <c r="IU46"/>
      <c r="IV46"/>
    </row>
    <row r="47" spans="1:256" s="10" customFormat="1" ht="15.95" customHeight="1">
      <c r="A47" s="128"/>
      <c r="B47" s="129"/>
      <c r="C47" s="130"/>
      <c r="H47"/>
      <c r="I47"/>
      <c r="J47"/>
      <c r="K47"/>
      <c r="O47"/>
      <c r="S47"/>
      <c r="W47"/>
      <c r="AA47"/>
      <c r="AE47"/>
      <c r="AI47"/>
      <c r="AM47"/>
      <c r="AQ47"/>
      <c r="AU47"/>
      <c r="AY47"/>
      <c r="BC47"/>
      <c r="BG47"/>
      <c r="BK47"/>
      <c r="BO47"/>
      <c r="BS47"/>
      <c r="BW47"/>
      <c r="CA47"/>
      <c r="CE47"/>
      <c r="CI47"/>
      <c r="IU47"/>
      <c r="IV47"/>
    </row>
    <row r="48" spans="1:256" s="10" customFormat="1" ht="15.95" customHeight="1">
      <c r="A48" s="128"/>
      <c r="B48" s="129"/>
      <c r="C48" s="130"/>
      <c r="H48"/>
      <c r="I48"/>
      <c r="J48"/>
      <c r="K48"/>
      <c r="O48"/>
      <c r="S48"/>
      <c r="W48"/>
      <c r="AA48"/>
      <c r="AE48"/>
      <c r="AI48"/>
      <c r="AM48"/>
      <c r="AQ48"/>
      <c r="AU48"/>
      <c r="AY48"/>
      <c r="BC48"/>
      <c r="BG48"/>
      <c r="BK48"/>
      <c r="BO48"/>
      <c r="BS48"/>
      <c r="BW48"/>
      <c r="CA48"/>
      <c r="CE48"/>
      <c r="CI48"/>
      <c r="IU48"/>
      <c r="IV48"/>
    </row>
    <row r="49" spans="1:256" s="10" customFormat="1" ht="15.95" customHeight="1">
      <c r="A49" s="128"/>
      <c r="B49" s="129"/>
      <c r="C49" s="130"/>
      <c r="H49"/>
      <c r="I49"/>
      <c r="J49"/>
      <c r="K49"/>
      <c r="O49"/>
      <c r="S49"/>
      <c r="W49"/>
      <c r="AA49"/>
      <c r="AE49"/>
      <c r="AI49"/>
      <c r="AM49"/>
      <c r="AQ49"/>
      <c r="AU49"/>
      <c r="AY49"/>
      <c r="BC49"/>
      <c r="BG49"/>
      <c r="BK49"/>
      <c r="BO49"/>
      <c r="BS49"/>
      <c r="BW49"/>
      <c r="CA49"/>
      <c r="CE49"/>
      <c r="CI49"/>
      <c r="IU49"/>
      <c r="IV49"/>
    </row>
    <row r="50" spans="1:256" s="10" customFormat="1" ht="15.95" customHeight="1">
      <c r="A50" s="128"/>
      <c r="B50" s="129"/>
      <c r="C50" s="130"/>
      <c r="H50"/>
      <c r="I50"/>
      <c r="J50"/>
      <c r="K50"/>
      <c r="O50"/>
      <c r="S50"/>
      <c r="W50"/>
      <c r="AA50"/>
      <c r="AE50"/>
      <c r="AI50"/>
      <c r="AM50"/>
      <c r="AQ50"/>
      <c r="AU50"/>
      <c r="AY50"/>
      <c r="BC50"/>
      <c r="BG50"/>
      <c r="BK50"/>
      <c r="BO50"/>
      <c r="BS50"/>
      <c r="BW50"/>
      <c r="CA50"/>
      <c r="CE50"/>
      <c r="CI50"/>
      <c r="IU50"/>
      <c r="IV50"/>
    </row>
    <row r="51" spans="1:256" s="10" customFormat="1" ht="15.95" customHeight="1">
      <c r="A51" s="128"/>
      <c r="B51" s="129"/>
      <c r="C51" s="130"/>
      <c r="H51"/>
      <c r="I51"/>
      <c r="J51"/>
      <c r="K51"/>
      <c r="O51"/>
      <c r="S51"/>
      <c r="W51"/>
      <c r="AA51"/>
      <c r="AE51"/>
      <c r="AI51"/>
      <c r="AM51"/>
      <c r="AQ51"/>
      <c r="AU51"/>
      <c r="AY51"/>
      <c r="BC51"/>
      <c r="BG51"/>
      <c r="BK51"/>
      <c r="BO51"/>
      <c r="BS51"/>
      <c r="BW51"/>
      <c r="CA51"/>
      <c r="CE51"/>
      <c r="CI51"/>
      <c r="IU51"/>
      <c r="IV51"/>
    </row>
    <row r="52" spans="1:256" s="10" customFormat="1" ht="15.95" customHeight="1">
      <c r="H52"/>
      <c r="I52"/>
      <c r="J52"/>
      <c r="K52"/>
      <c r="O52"/>
      <c r="S52"/>
      <c r="W52"/>
      <c r="AA52"/>
      <c r="AE52"/>
      <c r="AI52"/>
      <c r="AM52"/>
      <c r="AQ52"/>
      <c r="AU52"/>
      <c r="AY52"/>
      <c r="BC52"/>
      <c r="BG52"/>
      <c r="BK52"/>
      <c r="BO52"/>
      <c r="BS52"/>
      <c r="BW52"/>
      <c r="CA52"/>
      <c r="CE52"/>
      <c r="CI52"/>
      <c r="IU52"/>
      <c r="IV52"/>
    </row>
    <row r="53" spans="1:256" s="10" customFormat="1" ht="15.95" customHeight="1">
      <c r="H53"/>
      <c r="I53"/>
      <c r="J53"/>
      <c r="K53"/>
      <c r="O53"/>
      <c r="S53"/>
      <c r="W53"/>
      <c r="AA53"/>
      <c r="AE53"/>
      <c r="AI53"/>
      <c r="AM53"/>
      <c r="AQ53"/>
      <c r="AU53"/>
      <c r="AY53"/>
      <c r="BC53"/>
      <c r="BG53"/>
      <c r="BK53"/>
      <c r="BO53"/>
      <c r="BS53"/>
      <c r="BW53"/>
      <c r="CA53"/>
      <c r="CE53"/>
      <c r="CI53"/>
      <c r="IU53"/>
      <c r="IV53"/>
    </row>
    <row r="54" spans="1:256" s="10" customFormat="1" ht="15.95" customHeight="1">
      <c r="H54"/>
      <c r="I54"/>
      <c r="J54"/>
      <c r="K54"/>
      <c r="O54"/>
      <c r="S54"/>
      <c r="W54"/>
      <c r="AA54"/>
      <c r="AE54"/>
      <c r="AI54"/>
      <c r="AM54"/>
      <c r="AQ54"/>
      <c r="AU54"/>
      <c r="AY54"/>
      <c r="BC54"/>
      <c r="BG54"/>
      <c r="BK54"/>
      <c r="BO54"/>
      <c r="BS54"/>
      <c r="BW54"/>
      <c r="CA54"/>
      <c r="CE54"/>
      <c r="CI54"/>
      <c r="IU54"/>
      <c r="IV54"/>
    </row>
    <row r="55" spans="1:256" s="10" customFormat="1" ht="15.95" customHeight="1">
      <c r="H55"/>
      <c r="I55"/>
      <c r="J55"/>
      <c r="K55"/>
      <c r="O55"/>
      <c r="S55"/>
      <c r="W55"/>
      <c r="AA55"/>
      <c r="AE55"/>
      <c r="AI55"/>
      <c r="AM55"/>
      <c r="AQ55"/>
      <c r="AU55"/>
      <c r="AY55"/>
      <c r="BC55"/>
      <c r="BG55"/>
      <c r="BK55"/>
      <c r="BO55"/>
      <c r="BS55"/>
      <c r="BW55"/>
      <c r="CA55"/>
      <c r="CE55"/>
      <c r="CI55"/>
      <c r="IU55"/>
      <c r="IV55"/>
    </row>
    <row r="56" spans="1:256" s="10" customFormat="1" ht="15.95" customHeight="1">
      <c r="H56"/>
      <c r="I56"/>
      <c r="J56"/>
      <c r="K56"/>
      <c r="O56"/>
      <c r="S56"/>
      <c r="W56"/>
      <c r="AA56"/>
      <c r="AE56"/>
      <c r="AI56"/>
      <c r="AM56"/>
      <c r="AQ56"/>
      <c r="AU56"/>
      <c r="AY56"/>
      <c r="BC56"/>
      <c r="BG56"/>
      <c r="BK56"/>
      <c r="BO56"/>
      <c r="BS56"/>
      <c r="BW56"/>
      <c r="CA56"/>
      <c r="CE56"/>
      <c r="CI56"/>
      <c r="IU56"/>
      <c r="IV56"/>
    </row>
    <row r="57" spans="1:256" s="10" customFormat="1" ht="15.95" customHeight="1">
      <c r="H57"/>
      <c r="I57"/>
      <c r="J57"/>
      <c r="K57"/>
      <c r="O57"/>
      <c r="S57"/>
      <c r="W57"/>
      <c r="AA57"/>
      <c r="AE57"/>
      <c r="AI57"/>
      <c r="AM57"/>
      <c r="AQ57"/>
      <c r="AU57"/>
      <c r="AY57"/>
      <c r="BC57"/>
      <c r="BG57"/>
      <c r="BK57"/>
      <c r="BO57"/>
      <c r="BS57"/>
      <c r="BW57"/>
      <c r="CA57"/>
      <c r="CE57"/>
      <c r="CI57"/>
      <c r="IU57"/>
      <c r="IV57"/>
    </row>
    <row r="58" spans="1:256" s="10" customFormat="1" ht="15.95" customHeight="1">
      <c r="H58"/>
      <c r="I58"/>
      <c r="J58"/>
      <c r="K58"/>
      <c r="O58"/>
      <c r="S58"/>
      <c r="W58"/>
      <c r="AA58"/>
      <c r="AE58"/>
      <c r="AI58"/>
      <c r="AM58"/>
      <c r="AQ58"/>
      <c r="AU58"/>
      <c r="AY58"/>
      <c r="BC58"/>
      <c r="BG58"/>
      <c r="BK58"/>
      <c r="BO58"/>
      <c r="BS58"/>
      <c r="BW58"/>
      <c r="CA58"/>
      <c r="CE58"/>
      <c r="CI58"/>
      <c r="IU58"/>
      <c r="IV58"/>
    </row>
    <row r="59" spans="1:256" s="10" customFormat="1" ht="15.95" customHeight="1">
      <c r="H59"/>
      <c r="I59"/>
      <c r="J59"/>
      <c r="K59"/>
      <c r="O59"/>
      <c r="S59"/>
      <c r="W59"/>
      <c r="AA59"/>
      <c r="AE59"/>
      <c r="AI59"/>
      <c r="AM59"/>
      <c r="AQ59"/>
      <c r="AU59"/>
      <c r="AY59"/>
      <c r="BC59"/>
      <c r="BG59"/>
      <c r="BK59"/>
      <c r="BO59"/>
      <c r="BS59"/>
      <c r="BW59"/>
      <c r="CA59"/>
      <c r="CE59"/>
      <c r="CI59"/>
      <c r="IU59"/>
      <c r="IV59"/>
    </row>
    <row r="60" spans="1:256" s="10" customFormat="1" ht="15.95" customHeight="1">
      <c r="B60" s="131"/>
      <c r="G60" s="131"/>
      <c r="H60"/>
      <c r="I60"/>
      <c r="J60"/>
      <c r="K60"/>
      <c r="O60"/>
      <c r="S60"/>
      <c r="W60"/>
      <c r="AA60"/>
      <c r="AE60"/>
      <c r="AI60"/>
      <c r="AM60"/>
      <c r="AQ60"/>
      <c r="AU60"/>
      <c r="AY60"/>
      <c r="BC60"/>
      <c r="BG60"/>
      <c r="BK60"/>
      <c r="BO60"/>
      <c r="BS60"/>
      <c r="BW60"/>
      <c r="CA60"/>
      <c r="CE60"/>
      <c r="CI60"/>
      <c r="IU60"/>
      <c r="IV60"/>
    </row>
    <row r="61" spans="1:256" s="10" customFormat="1" ht="15.95" customHeight="1">
      <c r="B61" s="132"/>
      <c r="IU61"/>
      <c r="IV61"/>
    </row>
    <row r="62" spans="1:256" s="10" customFormat="1" ht="15.95" customHeight="1">
      <c r="B62" s="132"/>
      <c r="C62" s="132"/>
      <c r="D62" s="132"/>
      <c r="E62" s="132"/>
      <c r="IU62"/>
      <c r="IV62"/>
    </row>
    <row r="63" spans="1:256" s="10" customFormat="1" ht="15.95" customHeight="1">
      <c r="B63" s="132"/>
      <c r="C63" s="132"/>
      <c r="D63" s="132"/>
      <c r="E63" s="132"/>
      <c r="IU63"/>
      <c r="IV63"/>
    </row>
    <row r="64" spans="1:256" s="10" customFormat="1" ht="15.95" customHeight="1">
      <c r="B64" s="132"/>
      <c r="C64" s="132"/>
      <c r="D64" s="132"/>
      <c r="E64" s="132"/>
      <c r="IU64"/>
      <c r="IV64"/>
    </row>
    <row r="65" spans="2:256" s="10" customFormat="1" ht="15.95" customHeight="1">
      <c r="B65" s="132"/>
      <c r="C65" s="132"/>
      <c r="D65" s="132"/>
      <c r="E65" s="132"/>
      <c r="IU65"/>
      <c r="IV65"/>
    </row>
    <row r="66" spans="2:256" s="10" customFormat="1" ht="15.95" customHeight="1">
      <c r="B66" s="132"/>
      <c r="C66" s="132"/>
      <c r="D66" s="132"/>
      <c r="E66" s="132"/>
      <c r="IU66"/>
      <c r="IV66"/>
    </row>
    <row r="67" spans="2:256" s="10" customFormat="1" ht="15.95" customHeight="1">
      <c r="B67" s="132"/>
      <c r="C67" s="132"/>
      <c r="D67" s="132"/>
      <c r="E67" s="132"/>
      <c r="IU67"/>
      <c r="IV67"/>
    </row>
    <row r="68" spans="2:256" s="10" customFormat="1" ht="15.95" customHeight="1">
      <c r="B68" s="132"/>
      <c r="C68" s="132"/>
      <c r="D68" s="132"/>
      <c r="E68" s="132"/>
      <c r="IU68"/>
      <c r="IV68"/>
    </row>
    <row r="69" spans="2:256" s="10" customFormat="1" ht="15.95" customHeight="1">
      <c r="B69" s="132"/>
      <c r="C69" s="132"/>
      <c r="D69" s="132"/>
      <c r="E69" s="132"/>
      <c r="IU69"/>
      <c r="IV69"/>
    </row>
    <row r="70" spans="2:256" s="10" customFormat="1" ht="15.95" customHeight="1">
      <c r="B70" s="132"/>
      <c r="C70" s="132"/>
      <c r="D70" s="132"/>
      <c r="E70" s="132"/>
      <c r="IU70"/>
      <c r="IV70"/>
    </row>
    <row r="71" spans="2:256" s="10" customFormat="1" ht="15.95" customHeight="1">
      <c r="B71" s="132"/>
      <c r="C71" s="132"/>
      <c r="D71" s="132"/>
      <c r="E71" s="132"/>
      <c r="IU71"/>
      <c r="IV71"/>
    </row>
    <row r="72" spans="2:256" s="10" customFormat="1" ht="15.95" customHeight="1">
      <c r="B72" s="132"/>
      <c r="C72" s="132"/>
      <c r="D72" s="132"/>
      <c r="E72" s="132"/>
      <c r="IU72"/>
      <c r="IV72"/>
    </row>
    <row r="73" spans="2:256" s="10" customFormat="1" ht="15.95" customHeight="1">
      <c r="B73" s="132"/>
      <c r="C73" s="132"/>
      <c r="D73" s="132"/>
      <c r="E73" s="132"/>
      <c r="IU73"/>
      <c r="IV73"/>
    </row>
    <row r="74" spans="2:256" s="10" customFormat="1">
      <c r="B74" s="132"/>
      <c r="C74" s="132"/>
      <c r="D74" s="132"/>
      <c r="E74" s="132"/>
      <c r="IU74"/>
      <c r="IV74"/>
    </row>
    <row r="75" spans="2:256" s="10" customFormat="1">
      <c r="B75" s="132"/>
      <c r="C75" s="132"/>
      <c r="D75" s="132"/>
      <c r="E75" s="132"/>
      <c r="IU75"/>
      <c r="IV75"/>
    </row>
    <row r="76" spans="2:256" s="10" customFormat="1">
      <c r="B76" s="132"/>
      <c r="C76" s="132"/>
      <c r="D76" s="132"/>
      <c r="E76" s="132"/>
      <c r="IU76"/>
      <c r="IV76"/>
    </row>
    <row r="77" spans="2:256" s="10" customFormat="1">
      <c r="B77" s="132"/>
      <c r="C77" s="132"/>
      <c r="D77" s="132"/>
      <c r="E77" s="132"/>
      <c r="IU77"/>
      <c r="IV77"/>
    </row>
    <row r="78" spans="2:256" s="10" customFormat="1">
      <c r="B78" s="132"/>
      <c r="C78" s="132"/>
      <c r="D78" s="132"/>
      <c r="E78" s="132"/>
      <c r="IU78"/>
      <c r="IV78"/>
    </row>
    <row r="79" spans="2:256" s="10" customFormat="1">
      <c r="B79" s="132"/>
      <c r="C79" s="132"/>
      <c r="D79" s="132"/>
      <c r="E79" s="132"/>
      <c r="IU79"/>
      <c r="IV79"/>
    </row>
    <row r="80" spans="2:256" s="10" customFormat="1">
      <c r="B80" s="132"/>
      <c r="C80" s="132"/>
      <c r="D80" s="132"/>
      <c r="E80" s="132"/>
      <c r="IU80"/>
      <c r="IV80"/>
    </row>
    <row r="81" spans="2:256" s="10" customFormat="1">
      <c r="B81" s="132"/>
      <c r="C81" s="132"/>
      <c r="D81" s="132"/>
      <c r="E81" s="132"/>
      <c r="IU81"/>
      <c r="IV81"/>
    </row>
    <row r="82" spans="2:256" s="10" customFormat="1">
      <c r="B82" s="132"/>
      <c r="C82" s="132"/>
      <c r="D82" s="132"/>
      <c r="E82" s="132"/>
      <c r="IU82"/>
      <c r="IV82"/>
    </row>
    <row r="83" spans="2:256" s="10" customFormat="1">
      <c r="B83" s="132"/>
      <c r="C83" s="132"/>
      <c r="D83" s="132"/>
      <c r="E83" s="132"/>
      <c r="IU83"/>
      <c r="IV83"/>
    </row>
    <row r="84" spans="2:256" s="10" customFormat="1">
      <c r="B84" s="132"/>
      <c r="C84" s="132"/>
      <c r="D84" s="132"/>
      <c r="E84" s="132"/>
      <c r="IU84"/>
      <c r="IV84"/>
    </row>
    <row r="85" spans="2:256" s="10" customFormat="1">
      <c r="B85" s="132"/>
      <c r="C85" s="132"/>
      <c r="D85" s="132"/>
      <c r="E85" s="132"/>
      <c r="IU85"/>
      <c r="IV85"/>
    </row>
    <row r="86" spans="2:256" s="10" customFormat="1">
      <c r="B86" s="132"/>
      <c r="C86" s="132"/>
      <c r="D86" s="132"/>
      <c r="E86" s="132"/>
      <c r="IU86"/>
      <c r="IV86"/>
    </row>
    <row r="87" spans="2:256" s="10" customFormat="1">
      <c r="B87" s="132"/>
      <c r="C87" s="132"/>
      <c r="D87" s="132"/>
      <c r="E87" s="132"/>
      <c r="IU87"/>
      <c r="IV87"/>
    </row>
    <row r="88" spans="2:256" s="10" customFormat="1">
      <c r="B88" s="132"/>
      <c r="C88" s="132"/>
      <c r="D88" s="132"/>
      <c r="E88" s="132"/>
      <c r="IU88"/>
      <c r="IV88"/>
    </row>
    <row r="89" spans="2:256" s="10" customFormat="1">
      <c r="B89" s="132"/>
      <c r="C89" s="132"/>
      <c r="D89" s="132"/>
      <c r="E89" s="132"/>
      <c r="IU89"/>
      <c r="IV89"/>
    </row>
    <row r="90" spans="2:256" s="10" customFormat="1">
      <c r="B90" s="132"/>
      <c r="C90" s="132"/>
      <c r="D90" s="132"/>
      <c r="E90" s="132"/>
      <c r="IU90"/>
      <c r="IV90"/>
    </row>
    <row r="91" spans="2:256" s="10" customFormat="1">
      <c r="B91" s="132"/>
      <c r="C91" s="132"/>
      <c r="D91" s="132"/>
      <c r="E91" s="132"/>
      <c r="IU91"/>
      <c r="IV91"/>
    </row>
    <row r="92" spans="2:256" s="10" customFormat="1">
      <c r="B92" s="132"/>
      <c r="C92" s="132"/>
      <c r="D92" s="132"/>
      <c r="E92" s="132"/>
      <c r="IU92"/>
      <c r="IV92"/>
    </row>
    <row r="93" spans="2:256" s="10" customFormat="1">
      <c r="B93" s="132"/>
      <c r="C93" s="132"/>
      <c r="D93" s="132"/>
      <c r="E93" s="132"/>
      <c r="IU93"/>
      <c r="IV93"/>
    </row>
    <row r="94" spans="2:256" s="10" customFormat="1">
      <c r="B94" s="132"/>
      <c r="C94" s="132"/>
      <c r="D94" s="132"/>
      <c r="E94" s="132"/>
      <c r="IU94"/>
      <c r="IV94"/>
    </row>
    <row r="95" spans="2:256" s="10" customFormat="1">
      <c r="B95" s="132"/>
      <c r="C95" s="132"/>
      <c r="D95" s="132"/>
      <c r="E95" s="132"/>
      <c r="IU95"/>
      <c r="IV95"/>
    </row>
    <row r="96" spans="2:256" s="10" customFormat="1">
      <c r="B96" s="132"/>
      <c r="C96" s="132"/>
      <c r="D96" s="132"/>
      <c r="E96" s="132"/>
      <c r="IU96"/>
      <c r="IV96"/>
    </row>
    <row r="97" spans="2:256" s="10" customFormat="1">
      <c r="B97" s="132"/>
      <c r="C97" s="132"/>
      <c r="D97" s="132"/>
      <c r="E97" s="132"/>
      <c r="IU97"/>
      <c r="IV97"/>
    </row>
    <row r="98" spans="2:256" s="10" customFormat="1">
      <c r="B98" s="132"/>
      <c r="C98" s="132"/>
      <c r="D98" s="132"/>
      <c r="E98" s="132"/>
      <c r="IU98"/>
      <c r="IV98"/>
    </row>
    <row r="99" spans="2:256" s="10" customFormat="1">
      <c r="B99" s="132"/>
      <c r="C99" s="132"/>
      <c r="D99" s="132"/>
      <c r="E99" s="132"/>
      <c r="IU99"/>
      <c r="IV99"/>
    </row>
    <row r="100" spans="2:256" s="10" customFormat="1">
      <c r="B100" s="132"/>
      <c r="C100" s="132"/>
      <c r="D100" s="132"/>
      <c r="E100" s="132"/>
      <c r="IU100"/>
      <c r="IV100"/>
    </row>
    <row r="101" spans="2:256" s="10" customFormat="1">
      <c r="B101" s="132"/>
      <c r="C101" s="132"/>
      <c r="D101" s="132"/>
      <c r="E101" s="132"/>
      <c r="IU101"/>
      <c r="IV101"/>
    </row>
    <row r="102" spans="2:256" s="10" customFormat="1">
      <c r="B102" s="132"/>
      <c r="C102" s="132"/>
      <c r="D102" s="132"/>
      <c r="E102" s="132"/>
      <c r="IU102"/>
      <c r="IV102"/>
    </row>
    <row r="103" spans="2:256" s="10" customFormat="1">
      <c r="B103" s="132"/>
      <c r="C103" s="132"/>
      <c r="D103" s="132"/>
      <c r="E103" s="132"/>
      <c r="IU103"/>
      <c r="IV103"/>
    </row>
    <row r="104" spans="2:256" s="10" customFormat="1">
      <c r="B104" s="132"/>
      <c r="C104" s="132"/>
      <c r="D104" s="132"/>
      <c r="E104" s="132"/>
      <c r="IU104"/>
      <c r="IV104"/>
    </row>
    <row r="105" spans="2:256" s="10" customFormat="1">
      <c r="B105" s="132"/>
      <c r="C105" s="132"/>
      <c r="D105" s="132"/>
      <c r="E105" s="132"/>
      <c r="IU105"/>
      <c r="IV105"/>
    </row>
    <row r="106" spans="2:256" s="10" customFormat="1">
      <c r="B106" s="132"/>
      <c r="C106" s="132"/>
      <c r="D106" s="132"/>
      <c r="E106" s="132"/>
      <c r="IU106"/>
      <c r="IV106"/>
    </row>
    <row r="107" spans="2:256" s="10" customFormat="1">
      <c r="B107" s="132"/>
      <c r="C107" s="132"/>
      <c r="D107" s="132"/>
      <c r="E107" s="132"/>
      <c r="IU107"/>
      <c r="IV107"/>
    </row>
    <row r="108" spans="2:256" s="10" customFormat="1">
      <c r="B108" s="132"/>
      <c r="C108" s="132"/>
      <c r="D108" s="132"/>
      <c r="E108" s="132"/>
      <c r="IU108"/>
      <c r="IV108"/>
    </row>
    <row r="109" spans="2:256" s="10" customFormat="1">
      <c r="B109" s="132"/>
      <c r="C109" s="132"/>
      <c r="D109" s="132"/>
      <c r="E109" s="132"/>
      <c r="IU109"/>
      <c r="IV109"/>
    </row>
    <row r="110" spans="2:256" s="10" customFormat="1">
      <c r="B110" s="132"/>
      <c r="C110" s="132"/>
      <c r="D110" s="132"/>
      <c r="E110" s="132"/>
      <c r="IU110"/>
      <c r="IV110"/>
    </row>
    <row r="111" spans="2:256" s="10" customFormat="1">
      <c r="B111" s="132"/>
      <c r="C111" s="132"/>
      <c r="D111" s="132"/>
      <c r="E111" s="132"/>
      <c r="IU111"/>
      <c r="IV111"/>
    </row>
    <row r="112" spans="2:256" s="10" customFormat="1">
      <c r="B112" s="132"/>
      <c r="C112" s="132"/>
      <c r="D112" s="132"/>
      <c r="E112" s="132"/>
      <c r="IU112"/>
      <c r="IV112"/>
    </row>
    <row r="113" spans="2:256" s="10" customFormat="1">
      <c r="B113" s="132"/>
      <c r="C113" s="132"/>
      <c r="D113" s="132"/>
      <c r="E113" s="132"/>
      <c r="IU113"/>
      <c r="IV113"/>
    </row>
    <row r="114" spans="2:256" s="10" customFormat="1">
      <c r="B114" s="132"/>
      <c r="C114" s="132"/>
      <c r="D114" s="132"/>
      <c r="E114" s="132"/>
      <c r="IU114"/>
      <c r="IV114"/>
    </row>
    <row r="115" spans="2:256" s="10" customFormat="1">
      <c r="B115" s="132"/>
      <c r="C115" s="132"/>
      <c r="D115" s="132"/>
      <c r="E115" s="132"/>
      <c r="IU115"/>
      <c r="IV115"/>
    </row>
    <row r="116" spans="2:256" s="10" customFormat="1">
      <c r="B116" s="132"/>
      <c r="C116" s="132"/>
      <c r="D116" s="132"/>
      <c r="E116" s="132"/>
      <c r="IU116"/>
      <c r="IV116"/>
    </row>
    <row r="117" spans="2:256" s="10" customFormat="1">
      <c r="B117" s="132"/>
      <c r="C117" s="132"/>
      <c r="D117" s="132"/>
      <c r="E117" s="132"/>
      <c r="IU117"/>
      <c r="IV117"/>
    </row>
    <row r="118" spans="2:256" s="10" customFormat="1">
      <c r="B118" s="132"/>
      <c r="C118" s="132"/>
      <c r="D118" s="132"/>
      <c r="E118" s="132"/>
      <c r="IU118"/>
      <c r="IV118"/>
    </row>
    <row r="119" spans="2:256" s="10" customFormat="1">
      <c r="B119" s="132"/>
      <c r="C119" s="132"/>
      <c r="D119" s="132"/>
      <c r="E119" s="132"/>
      <c r="IU119"/>
      <c r="IV119"/>
    </row>
    <row r="120" spans="2:256" s="10" customFormat="1">
      <c r="B120" s="132"/>
      <c r="C120" s="132"/>
      <c r="D120" s="132"/>
      <c r="E120" s="132"/>
      <c r="IU120"/>
      <c r="IV120"/>
    </row>
    <row r="121" spans="2:256" s="10" customFormat="1">
      <c r="B121" s="132"/>
      <c r="C121" s="132"/>
      <c r="D121" s="132"/>
      <c r="E121" s="132"/>
      <c r="IU121"/>
      <c r="IV121"/>
    </row>
    <row r="122" spans="2:256" s="10" customFormat="1">
      <c r="B122" s="132"/>
      <c r="C122" s="132"/>
      <c r="D122" s="132"/>
      <c r="E122" s="132"/>
      <c r="IU122"/>
      <c r="IV122"/>
    </row>
    <row r="123" spans="2:256" s="10" customFormat="1">
      <c r="B123" s="132"/>
      <c r="C123" s="132"/>
      <c r="D123" s="132"/>
      <c r="E123" s="132"/>
      <c r="IU123"/>
      <c r="IV123"/>
    </row>
    <row r="124" spans="2:256" s="10" customFormat="1">
      <c r="B124" s="132"/>
      <c r="C124" s="132"/>
      <c r="D124" s="132"/>
      <c r="E124" s="132"/>
      <c r="IU124"/>
      <c r="IV124"/>
    </row>
    <row r="125" spans="2:256" s="10" customFormat="1">
      <c r="B125" s="132"/>
      <c r="C125" s="132"/>
      <c r="D125" s="132"/>
      <c r="E125" s="132"/>
      <c r="IU125"/>
      <c r="IV125"/>
    </row>
    <row r="126" spans="2:256" s="10" customFormat="1">
      <c r="B126" s="132"/>
      <c r="C126" s="132"/>
      <c r="D126" s="132"/>
      <c r="E126" s="132"/>
      <c r="IU126"/>
      <c r="IV126"/>
    </row>
    <row r="127" spans="2:256" s="10" customFormat="1">
      <c r="B127" s="132"/>
      <c r="C127" s="132"/>
      <c r="D127" s="132"/>
      <c r="E127" s="132"/>
      <c r="IU127"/>
      <c r="IV127"/>
    </row>
    <row r="128" spans="2:256" s="10" customFormat="1">
      <c r="B128" s="132"/>
      <c r="C128" s="132"/>
      <c r="D128" s="132"/>
      <c r="E128" s="132"/>
      <c r="IU128"/>
      <c r="IV128"/>
    </row>
    <row r="129" spans="2:256" s="10" customFormat="1">
      <c r="B129" s="132"/>
      <c r="C129" s="132"/>
      <c r="D129" s="132"/>
      <c r="E129" s="132"/>
      <c r="IU129"/>
      <c r="IV129"/>
    </row>
    <row r="130" spans="2:256" s="10" customFormat="1">
      <c r="B130" s="132"/>
      <c r="C130" s="132"/>
      <c r="D130" s="132"/>
      <c r="E130" s="132"/>
      <c r="IU130"/>
      <c r="IV130"/>
    </row>
    <row r="131" spans="2:256" s="10" customFormat="1">
      <c r="B131" s="132"/>
      <c r="C131" s="132"/>
      <c r="D131" s="132"/>
      <c r="E131" s="132"/>
      <c r="IU131"/>
      <c r="IV131"/>
    </row>
    <row r="132" spans="2:256" s="10" customFormat="1">
      <c r="B132" s="132"/>
      <c r="C132" s="132"/>
      <c r="D132" s="132"/>
      <c r="E132" s="132"/>
      <c r="IU132"/>
      <c r="IV132"/>
    </row>
    <row r="133" spans="2:256" s="10" customFormat="1">
      <c r="B133" s="132"/>
      <c r="C133" s="132"/>
      <c r="D133" s="132"/>
      <c r="E133" s="132"/>
      <c r="IU133"/>
      <c r="IV133"/>
    </row>
    <row r="134" spans="2:256" s="10" customFormat="1">
      <c r="B134" s="132"/>
      <c r="C134" s="132"/>
      <c r="D134" s="132"/>
      <c r="E134" s="132"/>
      <c r="IU134"/>
      <c r="IV134"/>
    </row>
    <row r="135" spans="2:256" s="10" customFormat="1">
      <c r="B135" s="132"/>
      <c r="C135" s="132"/>
      <c r="D135" s="132"/>
      <c r="E135" s="132"/>
      <c r="IU135"/>
      <c r="IV135"/>
    </row>
    <row r="136" spans="2:256" s="10" customFormat="1">
      <c r="B136" s="132"/>
      <c r="C136" s="132"/>
      <c r="D136" s="132"/>
      <c r="E136" s="132"/>
      <c r="IU136"/>
      <c r="IV136"/>
    </row>
    <row r="137" spans="2:256" s="10" customFormat="1">
      <c r="B137" s="132"/>
      <c r="C137" s="132"/>
      <c r="D137" s="132"/>
      <c r="E137" s="132"/>
      <c r="IU137"/>
      <c r="IV137"/>
    </row>
    <row r="138" spans="2:256" s="10" customFormat="1">
      <c r="B138" s="132"/>
      <c r="C138" s="132"/>
      <c r="D138" s="132"/>
      <c r="E138" s="132"/>
      <c r="IU138"/>
      <c r="IV138"/>
    </row>
    <row r="139" spans="2:256" s="10" customFormat="1">
      <c r="B139" s="132"/>
      <c r="C139" s="132"/>
      <c r="D139" s="132"/>
      <c r="E139" s="132"/>
      <c r="IU139"/>
      <c r="IV139"/>
    </row>
    <row r="140" spans="2:256" s="10" customFormat="1">
      <c r="B140" s="132"/>
      <c r="C140" s="132"/>
      <c r="D140" s="132"/>
      <c r="E140" s="132"/>
      <c r="IU140"/>
      <c r="IV140"/>
    </row>
    <row r="141" spans="2:256" s="10" customFormat="1">
      <c r="B141" s="132"/>
      <c r="C141" s="132"/>
      <c r="D141" s="132"/>
      <c r="E141" s="132"/>
      <c r="IU141"/>
      <c r="IV141"/>
    </row>
    <row r="142" spans="2:256" s="10" customFormat="1">
      <c r="B142" s="132"/>
      <c r="C142" s="132"/>
      <c r="D142" s="132"/>
      <c r="E142" s="132"/>
      <c r="IU142"/>
      <c r="IV142"/>
    </row>
    <row r="143" spans="2:256" s="10" customFormat="1">
      <c r="B143" s="132"/>
      <c r="C143" s="132"/>
      <c r="D143" s="132"/>
      <c r="E143" s="132"/>
      <c r="IU143"/>
      <c r="IV143"/>
    </row>
    <row r="144" spans="2:256" s="10" customFormat="1">
      <c r="B144" s="132"/>
      <c r="C144" s="132"/>
      <c r="D144" s="132"/>
      <c r="E144" s="132"/>
      <c r="IU144"/>
      <c r="IV144"/>
    </row>
    <row r="145" spans="2:256" s="10" customFormat="1">
      <c r="B145" s="132"/>
      <c r="C145" s="132"/>
      <c r="D145" s="132"/>
      <c r="E145" s="132"/>
      <c r="IU145"/>
      <c r="IV145"/>
    </row>
    <row r="146" spans="2:256" s="10" customFormat="1">
      <c r="B146" s="132"/>
      <c r="C146" s="132"/>
      <c r="D146" s="132"/>
      <c r="E146" s="132"/>
      <c r="IU146"/>
      <c r="IV146"/>
    </row>
    <row r="147" spans="2:256" s="10" customFormat="1">
      <c r="B147" s="132"/>
      <c r="C147" s="132"/>
      <c r="D147" s="132"/>
      <c r="E147" s="132"/>
      <c r="IU147"/>
      <c r="IV147"/>
    </row>
    <row r="148" spans="2:256" s="10" customFormat="1">
      <c r="B148" s="132"/>
      <c r="C148" s="132"/>
      <c r="D148" s="132"/>
      <c r="E148" s="132"/>
      <c r="IU148"/>
      <c r="IV148"/>
    </row>
    <row r="149" spans="2:256" s="10" customFormat="1">
      <c r="B149" s="132"/>
      <c r="C149" s="132"/>
      <c r="D149" s="132"/>
      <c r="E149" s="132"/>
      <c r="IU149"/>
      <c r="IV149"/>
    </row>
    <row r="150" spans="2:256" s="10" customFormat="1">
      <c r="B150" s="132"/>
      <c r="C150" s="132"/>
      <c r="D150" s="132"/>
      <c r="E150" s="132"/>
      <c r="IU150"/>
      <c r="IV150"/>
    </row>
    <row r="151" spans="2:256" s="10" customFormat="1">
      <c r="B151" s="132"/>
      <c r="C151" s="132"/>
      <c r="D151" s="132"/>
      <c r="E151" s="132"/>
      <c r="IU151"/>
      <c r="IV151"/>
    </row>
    <row r="152" spans="2:256" s="10" customFormat="1">
      <c r="B152" s="132"/>
      <c r="C152" s="132"/>
      <c r="D152" s="132"/>
      <c r="E152" s="132"/>
      <c r="IU152"/>
      <c r="IV152"/>
    </row>
    <row r="153" spans="2:256" s="10" customFormat="1">
      <c r="B153" s="132"/>
      <c r="C153" s="132"/>
      <c r="D153" s="132"/>
      <c r="E153" s="132"/>
      <c r="IU153"/>
      <c r="IV153"/>
    </row>
    <row r="154" spans="2:256" s="10" customFormat="1">
      <c r="B154" s="132"/>
      <c r="C154" s="132"/>
      <c r="D154" s="132"/>
      <c r="E154" s="132"/>
      <c r="IU154"/>
      <c r="IV154"/>
    </row>
    <row r="155" spans="2:256" s="10" customFormat="1">
      <c r="B155" s="132"/>
      <c r="C155" s="132"/>
      <c r="D155" s="132"/>
      <c r="E155" s="132"/>
      <c r="IU155"/>
      <c r="IV155"/>
    </row>
    <row r="156" spans="2:256" s="10" customFormat="1">
      <c r="B156" s="132"/>
      <c r="C156" s="132"/>
      <c r="D156" s="132"/>
      <c r="E156" s="132"/>
      <c r="IU156"/>
      <c r="IV156"/>
    </row>
    <row r="157" spans="2:256" s="10" customFormat="1">
      <c r="B157" s="132"/>
      <c r="C157" s="132"/>
      <c r="D157" s="132"/>
      <c r="E157" s="132"/>
      <c r="IU157"/>
      <c r="IV157"/>
    </row>
    <row r="158" spans="2:256" s="10" customFormat="1">
      <c r="B158" s="132"/>
      <c r="C158" s="132"/>
      <c r="D158" s="132"/>
      <c r="E158" s="132"/>
      <c r="IU158"/>
      <c r="IV158"/>
    </row>
    <row r="159" spans="2:256" s="10" customFormat="1">
      <c r="B159" s="132"/>
      <c r="C159" s="132"/>
      <c r="D159" s="132"/>
      <c r="E159" s="132"/>
      <c r="IU159"/>
      <c r="IV159"/>
    </row>
    <row r="160" spans="2:256" s="10" customFormat="1">
      <c r="B160" s="132"/>
      <c r="C160" s="132"/>
      <c r="D160" s="132"/>
      <c r="E160" s="132"/>
      <c r="IU160"/>
      <c r="IV160"/>
    </row>
    <row r="161" spans="2:256" s="10" customFormat="1">
      <c r="B161" s="132"/>
      <c r="C161" s="132"/>
      <c r="D161" s="132"/>
      <c r="E161" s="132"/>
      <c r="IU161"/>
      <c r="IV161"/>
    </row>
    <row r="162" spans="2:256" s="10" customFormat="1">
      <c r="B162" s="132"/>
      <c r="C162" s="132"/>
      <c r="D162" s="132"/>
      <c r="E162" s="132"/>
      <c r="IU162"/>
      <c r="IV162"/>
    </row>
    <row r="163" spans="2:256" s="10" customFormat="1">
      <c r="B163" s="132"/>
      <c r="C163" s="132"/>
      <c r="D163" s="132"/>
      <c r="E163" s="132"/>
      <c r="IU163"/>
      <c r="IV163"/>
    </row>
    <row r="164" spans="2:256" s="10" customFormat="1">
      <c r="B164" s="132"/>
      <c r="C164" s="132"/>
      <c r="D164" s="132"/>
      <c r="E164" s="132"/>
      <c r="IU164"/>
      <c r="IV164"/>
    </row>
    <row r="165" spans="2:256" s="10" customFormat="1">
      <c r="B165" s="132"/>
      <c r="C165" s="132"/>
      <c r="D165" s="132"/>
      <c r="E165" s="132"/>
      <c r="IU165"/>
      <c r="IV165"/>
    </row>
    <row r="166" spans="2:256" s="10" customFormat="1">
      <c r="B166" s="132"/>
      <c r="C166" s="132"/>
      <c r="D166" s="132"/>
      <c r="E166" s="132"/>
      <c r="IU166"/>
      <c r="IV166"/>
    </row>
    <row r="167" spans="2:256" s="10" customFormat="1">
      <c r="B167" s="132"/>
      <c r="C167" s="132"/>
      <c r="D167" s="132"/>
      <c r="E167" s="132"/>
      <c r="IU167"/>
      <c r="IV167"/>
    </row>
    <row r="168" spans="2:256" s="10" customFormat="1">
      <c r="B168" s="132"/>
      <c r="C168" s="132"/>
      <c r="D168" s="132"/>
      <c r="E168" s="132"/>
      <c r="IU168"/>
      <c r="IV168"/>
    </row>
    <row r="169" spans="2:256" s="10" customFormat="1">
      <c r="B169" s="132"/>
      <c r="C169" s="132"/>
      <c r="D169" s="132"/>
      <c r="E169" s="132"/>
      <c r="IU169"/>
      <c r="IV169"/>
    </row>
    <row r="170" spans="2:256" s="10" customFormat="1">
      <c r="B170" s="132"/>
      <c r="C170" s="132"/>
      <c r="D170" s="132"/>
      <c r="E170" s="132"/>
      <c r="IU170"/>
      <c r="IV170"/>
    </row>
    <row r="171" spans="2:256" s="10" customFormat="1">
      <c r="B171" s="132"/>
      <c r="C171" s="132"/>
      <c r="D171" s="132"/>
      <c r="E171" s="132"/>
      <c r="IU171"/>
      <c r="IV171"/>
    </row>
    <row r="172" spans="2:256" s="10" customFormat="1">
      <c r="B172" s="132"/>
      <c r="C172" s="132"/>
      <c r="D172" s="132"/>
      <c r="E172" s="132"/>
      <c r="IU172"/>
      <c r="IV172"/>
    </row>
    <row r="173" spans="2:256" s="10" customFormat="1">
      <c r="B173" s="132"/>
      <c r="C173" s="132"/>
      <c r="D173" s="132"/>
      <c r="E173" s="132"/>
      <c r="IU173"/>
      <c r="IV173"/>
    </row>
  </sheetData>
  <sheetProtection algorithmName="SHA-512" hashValue="BymH0+6wTu1zvlXKRsd8t+7fQ3dz5FTWkEI7Ej0T/MmFor5WvIq/NaW8R7UDvQgaIpoZBOleSEg+N70B/rD+9Q==" saltValue="Ajz0tB4G4QAOsgJlxawNqg==" spinCount="100000" sheet="1" objects="1" scenarios="1"/>
  <mergeCells count="26">
    <mergeCell ref="CK1:CM1"/>
    <mergeCell ref="A45:CM45"/>
    <mergeCell ref="BP1:BS1"/>
    <mergeCell ref="BT1:BW1"/>
    <mergeCell ref="BX1:CA1"/>
    <mergeCell ref="CB1:CE1"/>
    <mergeCell ref="A1:B1"/>
    <mergeCell ref="C1:E1"/>
    <mergeCell ref="F1:G1"/>
    <mergeCell ref="H1:K1"/>
    <mergeCell ref="L1:O1"/>
    <mergeCell ref="X1:AA1"/>
    <mergeCell ref="AN1:AQ1"/>
    <mergeCell ref="CF1:CI1"/>
    <mergeCell ref="P1:S1"/>
    <mergeCell ref="AZ1:BC1"/>
    <mergeCell ref="T1:W1"/>
    <mergeCell ref="AB1:AE1"/>
    <mergeCell ref="AF1:AI1"/>
    <mergeCell ref="AJ1:AM1"/>
    <mergeCell ref="CJ1:CJ2"/>
    <mergeCell ref="AR1:AU1"/>
    <mergeCell ref="AV1:AY1"/>
    <mergeCell ref="BL1:BO1"/>
    <mergeCell ref="BD1:BG1"/>
    <mergeCell ref="BH1:BK1"/>
  </mergeCells>
  <phoneticPr fontId="10" type="noConversion"/>
  <conditionalFormatting sqref="F3:F44">
    <cfRule type="cellIs" dxfId="57" priority="1" stopIfTrue="1" operator="equal">
      <formula>0</formula>
    </cfRule>
  </conditionalFormatting>
  <conditionalFormatting sqref="H1:CI1 CJ3:CJ44 CK16:CM16">
    <cfRule type="cellIs" dxfId="56" priority="2" stopIfTrue="1" operator="equal">
      <formula>0</formula>
    </cfRule>
  </conditionalFormatting>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fitToPage="1"/>
  </sheetPr>
  <dimension ref="A1:IU189"/>
  <sheetViews>
    <sheetView topLeftCell="C1" zoomScale="90" zoomScaleNormal="90" workbookViewId="0">
      <selection activeCell="J16" sqref="J16"/>
    </sheetView>
  </sheetViews>
  <sheetFormatPr defaultColWidth="11.5703125" defaultRowHeight="14.25" customHeight="1"/>
  <cols>
    <col min="1" max="2" width="11.5703125" hidden="1" customWidth="1"/>
    <col min="3" max="3" width="2.85546875" customWidth="1"/>
    <col min="4" max="4" width="10.42578125" customWidth="1"/>
    <col min="5" max="5" width="11" customWidth="1"/>
    <col min="6" max="6" width="2.85546875" customWidth="1"/>
    <col min="7" max="7" width="13.28515625" customWidth="1"/>
    <col min="8" max="8" width="16.28515625" customWidth="1"/>
    <col min="9" max="9" width="12.42578125" customWidth="1"/>
    <col min="10" max="10" width="13.85546875" customWidth="1"/>
    <col min="11" max="11" width="11.5703125" customWidth="1"/>
    <col min="14" max="14" width="2.85546875" customWidth="1"/>
    <col min="19" max="19" width="2.28515625" customWidth="1"/>
    <col min="20" max="20" width="8.5703125" customWidth="1"/>
    <col min="22" max="28" width="0" hidden="1" customWidth="1"/>
  </cols>
  <sheetData>
    <row r="1" spans="1:255" s="1" customFormat="1" ht="13.5" customHeight="1">
      <c r="G1" s="142"/>
      <c r="H1" s="142"/>
      <c r="IU1" s="10"/>
    </row>
    <row r="2" spans="1:255" s="61" customFormat="1" ht="26.45" customHeight="1">
      <c r="A2" s="1"/>
      <c r="D2" s="273" t="s">
        <v>150</v>
      </c>
      <c r="E2" s="273" t="s">
        <v>57</v>
      </c>
      <c r="G2" s="271" t="s">
        <v>58</v>
      </c>
      <c r="H2" s="271" t="s">
        <v>151</v>
      </c>
      <c r="I2" s="272" t="s">
        <v>59</v>
      </c>
      <c r="J2" s="272" t="s">
        <v>60</v>
      </c>
      <c r="K2" s="273" t="s">
        <v>61</v>
      </c>
      <c r="L2" s="273" t="s">
        <v>62</v>
      </c>
      <c r="M2" s="273" t="s">
        <v>122</v>
      </c>
      <c r="O2" s="272" t="s">
        <v>98</v>
      </c>
      <c r="P2" s="272" t="s">
        <v>152</v>
      </c>
      <c r="Q2" s="272" t="s">
        <v>44</v>
      </c>
      <c r="R2" s="272" t="s">
        <v>119</v>
      </c>
      <c r="T2" s="273" t="s">
        <v>153</v>
      </c>
      <c r="IU2" s="10"/>
    </row>
    <row r="3" spans="1:255" s="1" customFormat="1" ht="13.5" customHeight="1">
      <c r="G3" s="31">
        <f t="array" ref="G3">SUM(($E5:$E61&gt;=$B$5)*($E5:$E61&lt;=$B$6)*G5:G61)</f>
        <v>0</v>
      </c>
      <c r="H3" s="7">
        <f>COUNTIF(H5:H61,"&gt;0")</f>
        <v>0</v>
      </c>
      <c r="I3" s="270">
        <f>SUMIF($E$5:$E$61,"&gt;="&amp;$B$5,I5:I61)-SUMIF($E$5:$E$61,"&gt;"&amp;$B$6,I5:I61)</f>
        <v>0</v>
      </c>
      <c r="J3" s="270">
        <f>SUMIF($E$5:$E$61,"&gt;="&amp;$B$5,J5:J61)-SUMIF($E$5:$E$61,"&gt;"&amp;$B$6,J5:J61)</f>
        <v>0</v>
      </c>
      <c r="K3" s="270">
        <f>SUMIF($E$5:$E$61,"&gt;="&amp;$B$5,K5:K61)-SUMIF($E$5:$E$61,"&gt;"&amp;$B$6,K5:K61)</f>
        <v>0</v>
      </c>
      <c r="L3" s="270">
        <f>SUMIF($E$5:$E$61,"&gt;="&amp;$B$5,L5:L61)-SUMIF($E$5:$E$61,"&gt;"&amp;$B$6,L5:L61)</f>
        <v>0</v>
      </c>
      <c r="M3" s="263" t="str">
        <f>IF(ISERROR(I3/L3),"",(I3/L3))</f>
        <v/>
      </c>
      <c r="O3" s="31" t="str">
        <f>IF(ISERROR(G3/I3),"",(G3/I3))</f>
        <v/>
      </c>
      <c r="P3" s="274" t="str">
        <f>IF(ISERROR(I3/K3),"",(I3/K3))</f>
        <v/>
      </c>
      <c r="Q3" s="31" t="str">
        <f>IF(ISERROR(G3/K3),"",(G3/K3))</f>
        <v/>
      </c>
      <c r="R3" s="274" t="str">
        <f>IF(ISERROR(J3/I3),"",(J3/I3))</f>
        <v/>
      </c>
      <c r="T3" s="2"/>
      <c r="IU3" s="10"/>
    </row>
    <row r="4" spans="1:255" s="1" customFormat="1" ht="14.25" customHeight="1">
      <c r="O4" s="26"/>
      <c r="P4" s="26"/>
      <c r="Q4" s="26"/>
      <c r="R4" s="26"/>
      <c r="W4" s="1" t="s">
        <v>154</v>
      </c>
      <c r="X4" s="1" t="s">
        <v>155</v>
      </c>
      <c r="Y4" s="1" t="s">
        <v>156</v>
      </c>
      <c r="Z4" s="1" t="s">
        <v>157</v>
      </c>
      <c r="AA4" s="1" t="s">
        <v>158</v>
      </c>
      <c r="AB4" s="1" t="s">
        <v>159</v>
      </c>
      <c r="IU4" s="10"/>
    </row>
    <row r="5" spans="1:255" s="1" customFormat="1" ht="14.25" customHeight="1">
      <c r="B5" s="144">
        <f>DATE('Store Details'!D6,'Store Details'!D5,1)</f>
        <v>43922</v>
      </c>
      <c r="C5" s="145"/>
      <c r="D5" s="2" t="s">
        <v>26</v>
      </c>
      <c r="E5" s="144">
        <f>IF(WEEKDAY($B$5)=2,$B$5,IF(WEEKDAY($B$5)&gt;2,E6-1,E11-6))</f>
        <v>43920</v>
      </c>
      <c r="F5" s="145"/>
      <c r="G5" s="31">
        <f>SUM('Value of Sales'!E6:AG6)</f>
        <v>0</v>
      </c>
      <c r="H5" s="31">
        <f>IF(E5&gt;$B$5-1,IF(E5&lt;$B$6+1,IF(G5&gt;0,G5,0),0),0)</f>
        <v>0</v>
      </c>
      <c r="I5" s="7">
        <f>SUM('Num of Sales'!E6:AG6)</f>
        <v>0</v>
      </c>
      <c r="J5" s="7">
        <f>SUM('Num of Lines'!E6:AG6)</f>
        <v>0</v>
      </c>
      <c r="K5" s="7">
        <f>SUM('Staff Hours'!E6:AG6)</f>
        <v>0</v>
      </c>
      <c r="L5" s="146" t="str">
        <f>IF(Friedman!G3=0,"",Friedman!G3)</f>
        <v/>
      </c>
      <c r="M5" s="263" t="str">
        <f t="shared" ref="M5:M61" si="0">IF(ISERROR(I5/L5),"",(I5/L5))</f>
        <v/>
      </c>
      <c r="O5" s="31" t="str">
        <f t="shared" ref="O5:O61" si="1">IF(ISERROR(G5/I5),"",(G5/I5))</f>
        <v/>
      </c>
      <c r="P5" s="274" t="str">
        <f t="shared" ref="P5:P61" si="2">IF(ISERROR(I5/K5),"",(I5/K5))</f>
        <v/>
      </c>
      <c r="Q5" s="31" t="str">
        <f t="shared" ref="Q5:Q61" si="3">IF(ISERROR(G5/K5),"",(G5/K5))</f>
        <v/>
      </c>
      <c r="R5" s="274" t="str">
        <f t="shared" ref="R5:R61" si="4">IF(ISERROR(J5/I5),"",(J5/I5))</f>
        <v/>
      </c>
      <c r="T5" s="2">
        <f t="shared" ref="T5:T61" si="5">$T$3</f>
        <v>0</v>
      </c>
      <c r="V5" s="1" t="str">
        <f t="shared" ref="V5:V11" si="6">D5</f>
        <v>Monday</v>
      </c>
      <c r="W5" s="142">
        <f t="shared" ref="W5:W11" si="7">G5</f>
        <v>0</v>
      </c>
      <c r="X5" s="142">
        <f t="shared" ref="X5:X11" si="8">G15</f>
        <v>0</v>
      </c>
      <c r="Y5" s="142">
        <f t="shared" ref="Y5:Y11" si="9">G25</f>
        <v>0</v>
      </c>
      <c r="Z5" s="142">
        <f t="shared" ref="Z5:Z11" si="10">G35</f>
        <v>0</v>
      </c>
      <c r="AA5" s="142">
        <f t="shared" ref="AA5:AA11" si="11">G45</f>
        <v>0</v>
      </c>
      <c r="AB5" s="142">
        <f t="shared" ref="AB5:AB11" si="12">G55</f>
        <v>0</v>
      </c>
      <c r="IU5" s="10"/>
    </row>
    <row r="6" spans="1:255" s="1" customFormat="1" ht="14.25" customHeight="1">
      <c r="B6" s="144">
        <f>EOMONTH(B5,0)</f>
        <v>43951</v>
      </c>
      <c r="C6" s="145"/>
      <c r="D6" s="2" t="s">
        <v>27</v>
      </c>
      <c r="E6" s="144">
        <f>IF(WEEKDAY($B$5)=3,$B$5,IF(WEEKDAY($B$5)&gt;3,E7-1,E5+1))</f>
        <v>43921</v>
      </c>
      <c r="F6" s="145"/>
      <c r="G6" s="31">
        <f>SUM('Value of Sales'!E7:AG7)</f>
        <v>0</v>
      </c>
      <c r="H6" s="31">
        <f>IF(E6&gt;$B$5-1,IF(E6&lt;$B$6+1,IF(G6&gt;0,MAX(H$4:H5)+G6,0),0),0)</f>
        <v>0</v>
      </c>
      <c r="I6" s="7">
        <f>SUM('Num of Sales'!E7:AG7)</f>
        <v>0</v>
      </c>
      <c r="J6" s="7">
        <f>SUM('Num of Lines'!E7:AG7)</f>
        <v>0</v>
      </c>
      <c r="K6" s="7">
        <f>SUM('Staff Hours'!E7:AG7)</f>
        <v>0</v>
      </c>
      <c r="L6" s="146" t="str">
        <f>IF(Friedman!G4=0,"",Friedman!G4)</f>
        <v/>
      </c>
      <c r="M6" s="263" t="str">
        <f t="shared" si="0"/>
        <v/>
      </c>
      <c r="O6" s="31" t="str">
        <f t="shared" si="1"/>
        <v/>
      </c>
      <c r="P6" s="274" t="str">
        <f t="shared" si="2"/>
        <v/>
      </c>
      <c r="Q6" s="31" t="str">
        <f t="shared" si="3"/>
        <v/>
      </c>
      <c r="R6" s="274" t="str">
        <f t="shared" si="4"/>
        <v/>
      </c>
      <c r="T6" s="2">
        <f t="shared" si="5"/>
        <v>0</v>
      </c>
      <c r="V6" s="1" t="str">
        <f t="shared" si="6"/>
        <v>Tuesday</v>
      </c>
      <c r="W6" s="142">
        <f t="shared" si="7"/>
        <v>0</v>
      </c>
      <c r="X6" s="142">
        <f t="shared" si="8"/>
        <v>0</v>
      </c>
      <c r="Y6" s="142">
        <f t="shared" si="9"/>
        <v>0</v>
      </c>
      <c r="Z6" s="142">
        <f t="shared" si="10"/>
        <v>0</v>
      </c>
      <c r="AA6" s="142">
        <f t="shared" si="11"/>
        <v>0</v>
      </c>
      <c r="AB6" s="142">
        <f t="shared" si="12"/>
        <v>0</v>
      </c>
      <c r="IU6" s="10"/>
    </row>
    <row r="7" spans="1:255" s="1" customFormat="1" ht="14.25" customHeight="1">
      <c r="D7" s="2" t="s">
        <v>28</v>
      </c>
      <c r="E7" s="144">
        <f>IF(WEEKDAY($B$5)=4,$B$5,IF(WEEKDAY($B$5)&gt;4,E8-1,E6+1))</f>
        <v>43922</v>
      </c>
      <c r="F7" s="145"/>
      <c r="G7" s="31">
        <f>SUM('Value of Sales'!E8:AG8)</f>
        <v>0</v>
      </c>
      <c r="H7" s="31">
        <f>IF(E7&gt;$B$5-1,IF(E7&lt;$B$6+1,IF(G7&gt;0,MAX(H$4:H6)+G7,0),0),0)</f>
        <v>0</v>
      </c>
      <c r="I7" s="7">
        <f>SUM('Num of Sales'!E8:AG8)</f>
        <v>0</v>
      </c>
      <c r="J7" s="7">
        <f>SUM('Num of Lines'!E8:AG8)</f>
        <v>0</v>
      </c>
      <c r="K7" s="7">
        <f>SUM('Staff Hours'!E8:AG8)</f>
        <v>0</v>
      </c>
      <c r="L7" s="146" t="str">
        <f>IF(Friedman!G5=0,"",Friedman!G5)</f>
        <v/>
      </c>
      <c r="M7" s="263" t="str">
        <f t="shared" si="0"/>
        <v/>
      </c>
      <c r="O7" s="31" t="str">
        <f t="shared" si="1"/>
        <v/>
      </c>
      <c r="P7" s="274" t="str">
        <f t="shared" si="2"/>
        <v/>
      </c>
      <c r="Q7" s="31" t="str">
        <f t="shared" si="3"/>
        <v/>
      </c>
      <c r="R7" s="274" t="str">
        <f t="shared" si="4"/>
        <v/>
      </c>
      <c r="T7" s="2">
        <f t="shared" si="5"/>
        <v>0</v>
      </c>
      <c r="V7" s="1" t="str">
        <f t="shared" si="6"/>
        <v>Wednesday</v>
      </c>
      <c r="W7" s="142">
        <f t="shared" si="7"/>
        <v>0</v>
      </c>
      <c r="X7" s="142">
        <f t="shared" si="8"/>
        <v>0</v>
      </c>
      <c r="Y7" s="142">
        <f t="shared" si="9"/>
        <v>0</v>
      </c>
      <c r="Z7" s="142">
        <f t="shared" si="10"/>
        <v>0</v>
      </c>
      <c r="AA7" s="142">
        <f t="shared" si="11"/>
        <v>0</v>
      </c>
      <c r="AB7" s="142">
        <f t="shared" si="12"/>
        <v>0</v>
      </c>
      <c r="IU7" s="10"/>
    </row>
    <row r="8" spans="1:255" s="1" customFormat="1" ht="14.25" customHeight="1">
      <c r="B8" s="145"/>
      <c r="D8" s="2" t="s">
        <v>29</v>
      </c>
      <c r="E8" s="144">
        <f>IF(WEEKDAY($B$5)=5,$B$5,IF(WEEKDAY($B$5)&gt;5,E9-1,E7+1))</f>
        <v>43923</v>
      </c>
      <c r="F8" s="145"/>
      <c r="G8" s="31">
        <f>SUM('Value of Sales'!E9:AG9)</f>
        <v>0</v>
      </c>
      <c r="H8" s="31">
        <f>IF(E8&gt;$B$5-1,IF(E8&lt;$B$6+1,IF(G8&gt;0,MAX(H$4:H7)+G8,0),0),0)</f>
        <v>0</v>
      </c>
      <c r="I8" s="7">
        <f>SUM('Num of Sales'!E9:AG9)</f>
        <v>0</v>
      </c>
      <c r="J8" s="7">
        <f>SUM('Num of Lines'!E9:AG9)</f>
        <v>0</v>
      </c>
      <c r="K8" s="7">
        <f>SUM('Staff Hours'!E9:AG9)</f>
        <v>0</v>
      </c>
      <c r="L8" s="146" t="str">
        <f>IF(Friedman!G6=0,"",Friedman!G6)</f>
        <v/>
      </c>
      <c r="M8" s="263" t="str">
        <f t="shared" si="0"/>
        <v/>
      </c>
      <c r="O8" s="31" t="str">
        <f t="shared" si="1"/>
        <v/>
      </c>
      <c r="P8" s="274" t="str">
        <f t="shared" si="2"/>
        <v/>
      </c>
      <c r="Q8" s="31" t="str">
        <f t="shared" si="3"/>
        <v/>
      </c>
      <c r="R8" s="274" t="str">
        <f t="shared" si="4"/>
        <v/>
      </c>
      <c r="T8" s="2">
        <f t="shared" si="5"/>
        <v>0</v>
      </c>
      <c r="V8" s="1" t="str">
        <f t="shared" si="6"/>
        <v>Thursday</v>
      </c>
      <c r="W8" s="142">
        <f t="shared" si="7"/>
        <v>0</v>
      </c>
      <c r="X8" s="142">
        <f t="shared" si="8"/>
        <v>0</v>
      </c>
      <c r="Y8" s="142">
        <f t="shared" si="9"/>
        <v>0</v>
      </c>
      <c r="Z8" s="142">
        <f t="shared" si="10"/>
        <v>0</v>
      </c>
      <c r="AA8" s="142">
        <f t="shared" si="11"/>
        <v>0</v>
      </c>
      <c r="AB8" s="142">
        <f t="shared" si="12"/>
        <v>0</v>
      </c>
      <c r="IU8" s="10"/>
    </row>
    <row r="9" spans="1:255" s="1" customFormat="1" ht="14.25" customHeight="1">
      <c r="B9" s="145"/>
      <c r="D9" s="2" t="s">
        <v>30</v>
      </c>
      <c r="E9" s="144">
        <f>IF(WEEKDAY($B$5)=6,$B$5,IF(WEEKDAY($B$5)&gt;6,E10-1,E8+1))</f>
        <v>43924</v>
      </c>
      <c r="F9" s="145"/>
      <c r="G9" s="31">
        <f>SUM('Value of Sales'!E10:AG10)</f>
        <v>0</v>
      </c>
      <c r="H9" s="31">
        <f>IF(E9&gt;$B$5-1,IF(E9&lt;$B$6+1,IF(G9&gt;0,MAX(H$4:H8)+G9,0),0),0)</f>
        <v>0</v>
      </c>
      <c r="I9" s="7">
        <f>SUM('Num of Sales'!E10:AG10)</f>
        <v>0</v>
      </c>
      <c r="J9" s="7">
        <f>SUM('Num of Lines'!E10:AG10)</f>
        <v>0</v>
      </c>
      <c r="K9" s="7">
        <f>SUM('Staff Hours'!E10:AG10)</f>
        <v>0</v>
      </c>
      <c r="L9" s="146" t="str">
        <f>IF(Friedman!G7=0,"",Friedman!G7)</f>
        <v/>
      </c>
      <c r="M9" s="263" t="str">
        <f t="shared" si="0"/>
        <v/>
      </c>
      <c r="O9" s="31" t="str">
        <f t="shared" si="1"/>
        <v/>
      </c>
      <c r="P9" s="274" t="str">
        <f t="shared" si="2"/>
        <v/>
      </c>
      <c r="Q9" s="31" t="str">
        <f t="shared" si="3"/>
        <v/>
      </c>
      <c r="R9" s="274" t="str">
        <f t="shared" si="4"/>
        <v/>
      </c>
      <c r="T9" s="2">
        <f t="shared" si="5"/>
        <v>0</v>
      </c>
      <c r="V9" s="1" t="str">
        <f t="shared" si="6"/>
        <v>Friday</v>
      </c>
      <c r="W9" s="142">
        <f t="shared" si="7"/>
        <v>0</v>
      </c>
      <c r="X9" s="142">
        <f t="shared" si="8"/>
        <v>0</v>
      </c>
      <c r="Y9" s="142">
        <f t="shared" si="9"/>
        <v>0</v>
      </c>
      <c r="Z9" s="142">
        <f t="shared" si="10"/>
        <v>0</v>
      </c>
      <c r="AA9" s="142">
        <f t="shared" si="11"/>
        <v>0</v>
      </c>
      <c r="AB9" s="142">
        <f t="shared" si="12"/>
        <v>0</v>
      </c>
      <c r="IU9" s="10"/>
    </row>
    <row r="10" spans="1:255" s="1" customFormat="1" ht="14.25" customHeight="1">
      <c r="D10" s="2" t="s">
        <v>31</v>
      </c>
      <c r="E10" s="144">
        <f>IF(WEEKDAY($B$5)=7,$B$5,IF(WEEKDAY($B$5)&gt;7,E11-1,E9+1))</f>
        <v>43925</v>
      </c>
      <c r="F10" s="145"/>
      <c r="G10" s="31">
        <f>SUM('Value of Sales'!E11:AG11)</f>
        <v>0</v>
      </c>
      <c r="H10" s="31">
        <f>IF(E10&gt;$B$5-1,IF(E10&lt;$B$6+1,IF(G10&gt;0,MAX(H$4:H9)+G10,0),0),0)</f>
        <v>0</v>
      </c>
      <c r="I10" s="7">
        <f>SUM('Num of Sales'!E11:AG11)</f>
        <v>0</v>
      </c>
      <c r="J10" s="7">
        <f>SUM('Num of Lines'!E11:AG11)</f>
        <v>0</v>
      </c>
      <c r="K10" s="7">
        <f>SUM('Staff Hours'!E11:AG11)</f>
        <v>0</v>
      </c>
      <c r="L10" s="146" t="str">
        <f>IF(Friedman!G8=0,"",Friedman!G8)</f>
        <v/>
      </c>
      <c r="M10" s="263" t="str">
        <f t="shared" si="0"/>
        <v/>
      </c>
      <c r="O10" s="31" t="str">
        <f t="shared" si="1"/>
        <v/>
      </c>
      <c r="P10" s="274" t="str">
        <f t="shared" si="2"/>
        <v/>
      </c>
      <c r="Q10" s="31" t="str">
        <f t="shared" si="3"/>
        <v/>
      </c>
      <c r="R10" s="274" t="str">
        <f t="shared" si="4"/>
        <v/>
      </c>
      <c r="T10" s="2">
        <f t="shared" si="5"/>
        <v>0</v>
      </c>
      <c r="V10" s="1" t="str">
        <f t="shared" si="6"/>
        <v>Saturday</v>
      </c>
      <c r="W10" s="142">
        <f t="shared" si="7"/>
        <v>0</v>
      </c>
      <c r="X10" s="142">
        <f t="shared" si="8"/>
        <v>0</v>
      </c>
      <c r="Y10" s="142">
        <f t="shared" si="9"/>
        <v>0</v>
      </c>
      <c r="Z10" s="142">
        <f t="shared" si="10"/>
        <v>0</v>
      </c>
      <c r="AA10" s="142">
        <f t="shared" si="11"/>
        <v>0</v>
      </c>
      <c r="AB10" s="142">
        <f t="shared" si="12"/>
        <v>0</v>
      </c>
      <c r="IU10" s="10"/>
    </row>
    <row r="11" spans="1:255" s="1" customFormat="1" ht="14.25" customHeight="1">
      <c r="D11" s="2" t="s">
        <v>32</v>
      </c>
      <c r="E11" s="144">
        <f>IF(WEEKDAY($B$5)=1,$B$5,E10+1)</f>
        <v>43926</v>
      </c>
      <c r="F11" s="145"/>
      <c r="G11" s="31">
        <f>SUM('Value of Sales'!E12:AG12)</f>
        <v>0</v>
      </c>
      <c r="H11" s="31">
        <f>IF(E11&gt;$B$5-1,IF(E11&lt;$B$6+1,IF(G11&gt;0,MAX(H$4:H10)+G11,0),0),0)</f>
        <v>0</v>
      </c>
      <c r="I11" s="7">
        <f>SUM('Num of Sales'!E12:AG12)</f>
        <v>0</v>
      </c>
      <c r="J11" s="7">
        <f>SUM('Num of Lines'!E12:AG12)</f>
        <v>0</v>
      </c>
      <c r="K11" s="7">
        <f>SUM('Staff Hours'!E12:AG12)</f>
        <v>0</v>
      </c>
      <c r="L11" s="146" t="str">
        <f>IF(Friedman!G9=0,"",Friedman!G9)</f>
        <v/>
      </c>
      <c r="M11" s="263" t="str">
        <f t="shared" si="0"/>
        <v/>
      </c>
      <c r="O11" s="31" t="str">
        <f t="shared" si="1"/>
        <v/>
      </c>
      <c r="P11" s="274" t="str">
        <f t="shared" si="2"/>
        <v/>
      </c>
      <c r="Q11" s="31" t="str">
        <f t="shared" si="3"/>
        <v/>
      </c>
      <c r="R11" s="274" t="str">
        <f t="shared" si="4"/>
        <v/>
      </c>
      <c r="T11" s="2">
        <f t="shared" si="5"/>
        <v>0</v>
      </c>
      <c r="V11" s="1" t="str">
        <f t="shared" si="6"/>
        <v>Sunday</v>
      </c>
      <c r="W11" s="142">
        <f t="shared" si="7"/>
        <v>0</v>
      </c>
      <c r="X11" s="142">
        <f t="shared" si="8"/>
        <v>0</v>
      </c>
      <c r="Y11" s="142">
        <f t="shared" si="9"/>
        <v>0</v>
      </c>
      <c r="Z11" s="142">
        <f t="shared" si="10"/>
        <v>0</v>
      </c>
      <c r="AA11" s="142">
        <f t="shared" si="11"/>
        <v>0</v>
      </c>
      <c r="AB11" s="142">
        <f t="shared" si="12"/>
        <v>0</v>
      </c>
      <c r="IU11" s="10"/>
    </row>
    <row r="12" spans="1:255" s="1" customFormat="1" ht="14.25" customHeight="1">
      <c r="B12" s="145">
        <f>E11</f>
        <v>43926</v>
      </c>
      <c r="D12" s="440" t="s">
        <v>364</v>
      </c>
      <c r="E12" s="261"/>
      <c r="F12" s="145"/>
      <c r="G12" s="442">
        <f>SUM(G5:G11)</f>
        <v>0</v>
      </c>
      <c r="H12" s="264"/>
      <c r="I12" s="313">
        <f>SUM(I5:I11)</f>
        <v>0</v>
      </c>
      <c r="J12" s="313">
        <f>SUM(J5:J11)</f>
        <v>0</v>
      </c>
      <c r="K12" s="313">
        <f>SUM(K5:K11)</f>
        <v>0</v>
      </c>
      <c r="L12" s="313">
        <f>SUM(L5:L11)</f>
        <v>0</v>
      </c>
      <c r="M12" s="314" t="e">
        <f>I12/L12</f>
        <v>#DIV/0!</v>
      </c>
      <c r="O12" s="315" t="e">
        <f>G12/I12</f>
        <v>#DIV/0!</v>
      </c>
      <c r="P12" s="316" t="e">
        <f>I12/K12</f>
        <v>#DIV/0!</v>
      </c>
      <c r="Q12" s="315" t="e">
        <f>G12/K12</f>
        <v>#DIV/0!</v>
      </c>
      <c r="R12" s="316" t="e">
        <f>J12/I12</f>
        <v>#DIV/0!</v>
      </c>
      <c r="T12" s="480" t="s">
        <v>160</v>
      </c>
      <c r="W12" s="142"/>
      <c r="X12" s="142"/>
      <c r="Y12" s="142"/>
      <c r="Z12" s="142"/>
      <c r="AA12" s="142"/>
      <c r="AB12" s="142"/>
      <c r="IU12" s="10"/>
    </row>
    <row r="13" spans="1:255" s="1" customFormat="1" ht="14.25" customHeight="1">
      <c r="D13" s="438"/>
      <c r="E13" s="144"/>
      <c r="F13" s="145"/>
      <c r="G13" s="441"/>
      <c r="H13" s="451" t="s">
        <v>161</v>
      </c>
      <c r="I13" s="452" t="str">
        <f>IF(G12=0,"",(G12/'Store Details'!K15)-1)</f>
        <v/>
      </c>
      <c r="J13" s="7"/>
      <c r="K13" s="437" t="s">
        <v>162</v>
      </c>
      <c r="L13" s="263" t="str">
        <f>IF(G12=0,"",(G12/'Store Details'!Q15)-1)</f>
        <v/>
      </c>
      <c r="M13" s="263"/>
      <c r="O13" s="31"/>
      <c r="P13" s="274"/>
      <c r="Q13" s="31"/>
      <c r="R13" s="274"/>
      <c r="T13" s="481"/>
      <c r="W13" s="142"/>
      <c r="X13" s="142"/>
      <c r="Y13" s="142"/>
      <c r="Z13" s="142"/>
      <c r="AA13" s="142"/>
      <c r="AB13" s="142"/>
      <c r="IU13" s="10"/>
    </row>
    <row r="14" spans="1:255" s="1" customFormat="1" ht="14.25" customHeight="1">
      <c r="D14" s="279" t="s">
        <v>155</v>
      </c>
      <c r="E14" s="262"/>
      <c r="F14" s="145"/>
      <c r="G14" s="275"/>
      <c r="H14" s="302"/>
      <c r="I14" s="276"/>
      <c r="J14" s="277"/>
      <c r="K14" s="301"/>
      <c r="L14" s="276" t="str">
        <f>IF(G14=0,"",(G14/'Store Details'!Q6)-1)</f>
        <v/>
      </c>
      <c r="M14" s="278"/>
      <c r="O14" s="302" t="e">
        <f>G14/I12</f>
        <v>#DIV/0!</v>
      </c>
      <c r="P14" s="439"/>
      <c r="Q14" s="302" t="e">
        <f>G14/K12</f>
        <v>#DIV/0!</v>
      </c>
      <c r="R14" s="439"/>
      <c r="T14" s="482"/>
      <c r="W14" s="142"/>
      <c r="X14" s="142"/>
      <c r="Y14" s="142"/>
      <c r="Z14" s="142"/>
      <c r="AA14" s="142"/>
      <c r="AB14" s="142"/>
      <c r="IU14" s="10"/>
    </row>
    <row r="15" spans="1:255" s="1" customFormat="1" ht="14.25" customHeight="1">
      <c r="D15" s="2" t="s">
        <v>26</v>
      </c>
      <c r="E15" s="144">
        <f>E11+1</f>
        <v>43927</v>
      </c>
      <c r="F15" s="145"/>
      <c r="G15" s="31">
        <f>SUM('Value of Sales'!E13:AG13)</f>
        <v>0</v>
      </c>
      <c r="H15" s="31">
        <f>IF(E15&gt;$B$5-1,IF(E15&lt;$B$6+1,IF(G15&gt;0,MAX(H$4:H11)+G15,0),0),0)</f>
        <v>0</v>
      </c>
      <c r="I15" s="7">
        <f>SUM('Num of Sales'!E13:AG13)</f>
        <v>0</v>
      </c>
      <c r="J15" s="7">
        <f>SUM('Num of Lines'!E13:AG13)</f>
        <v>0</v>
      </c>
      <c r="K15" s="7">
        <f>SUM('Staff Hours'!E13:AG13)</f>
        <v>0</v>
      </c>
      <c r="L15" s="146" t="str">
        <f>IF(Friedman!G10=0,"",Friedman!G10)</f>
        <v/>
      </c>
      <c r="M15" s="263" t="str">
        <f t="shared" si="0"/>
        <v/>
      </c>
      <c r="O15" s="31" t="str">
        <f t="shared" si="1"/>
        <v/>
      </c>
      <c r="P15" s="274" t="str">
        <f t="shared" si="2"/>
        <v/>
      </c>
      <c r="Q15" s="31" t="str">
        <f t="shared" si="3"/>
        <v/>
      </c>
      <c r="R15" s="274" t="str">
        <f t="shared" si="4"/>
        <v/>
      </c>
      <c r="T15" s="2">
        <f t="shared" si="5"/>
        <v>0</v>
      </c>
      <c r="IU15" s="10"/>
    </row>
    <row r="16" spans="1:255" s="1" customFormat="1" ht="14.25" customHeight="1">
      <c r="D16" s="2" t="s">
        <v>27</v>
      </c>
      <c r="E16" s="144">
        <f t="shared" ref="E16:E61" si="13">E15+1</f>
        <v>43928</v>
      </c>
      <c r="F16" s="145"/>
      <c r="G16" s="31">
        <f>SUM('Value of Sales'!E14:AG14)</f>
        <v>0</v>
      </c>
      <c r="H16" s="31">
        <f>IF(E16&gt;$B$5-1,IF(E16&lt;$B$6+1,IF(G16&gt;0,MAX(H$4:H15)+G16,0),0),0)</f>
        <v>0</v>
      </c>
      <c r="I16" s="7">
        <f>SUM('Num of Sales'!E14:AG14)</f>
        <v>0</v>
      </c>
      <c r="J16" s="7">
        <f>SUM('Num of Lines'!E14:AG14)</f>
        <v>0</v>
      </c>
      <c r="K16" s="7">
        <f>SUM('Staff Hours'!E14:AG14)</f>
        <v>0</v>
      </c>
      <c r="L16" s="146" t="str">
        <f>IF(Friedman!G11=0,"",Friedman!G11)</f>
        <v/>
      </c>
      <c r="M16" s="263" t="str">
        <f t="shared" si="0"/>
        <v/>
      </c>
      <c r="O16" s="31" t="str">
        <f t="shared" si="1"/>
        <v/>
      </c>
      <c r="P16" s="274" t="str">
        <f t="shared" si="2"/>
        <v/>
      </c>
      <c r="Q16" s="31" t="str">
        <f t="shared" si="3"/>
        <v/>
      </c>
      <c r="R16" s="274" t="str">
        <f t="shared" si="4"/>
        <v/>
      </c>
      <c r="T16" s="2">
        <f t="shared" si="5"/>
        <v>0</v>
      </c>
      <c r="V16" s="1" t="str">
        <f t="shared" ref="V16:V21" si="14">V5</f>
        <v>Monday</v>
      </c>
      <c r="W16" s="1" t="str">
        <f t="shared" ref="W16:W21" si="15">L5</f>
        <v/>
      </c>
      <c r="X16" s="1" t="str">
        <f t="shared" ref="X16:X21" si="16">L15</f>
        <v/>
      </c>
      <c r="Y16" s="1" t="str">
        <f t="shared" ref="Y16:Y21" si="17">L25</f>
        <v/>
      </c>
      <c r="Z16" s="1" t="str">
        <f t="shared" ref="Z16:Z21" si="18">L35</f>
        <v/>
      </c>
      <c r="AA16" s="1" t="str">
        <f t="shared" ref="AA16:AA21" si="19">L45</f>
        <v/>
      </c>
      <c r="AB16" s="1" t="str">
        <f t="shared" ref="AB16:AB21" si="20">L55</f>
        <v/>
      </c>
      <c r="IU16" s="10"/>
    </row>
    <row r="17" spans="2:255" s="1" customFormat="1" ht="14.25" customHeight="1">
      <c r="D17" s="2" t="s">
        <v>28</v>
      </c>
      <c r="E17" s="144">
        <f t="shared" si="13"/>
        <v>43929</v>
      </c>
      <c r="F17" s="145"/>
      <c r="G17" s="31">
        <f>SUM('Value of Sales'!E15:AG15)</f>
        <v>0</v>
      </c>
      <c r="H17" s="31">
        <f>IF(E17&gt;$B$5-1,IF(E17&lt;$B$6+1,IF(G17&gt;0,MAX(H$4:H16)+G17,0),0),0)</f>
        <v>0</v>
      </c>
      <c r="I17" s="7">
        <f>SUM('Num of Sales'!E15:AG15)</f>
        <v>0</v>
      </c>
      <c r="J17" s="7">
        <f>SUM('Num of Lines'!E15:AG15)</f>
        <v>0</v>
      </c>
      <c r="K17" s="7">
        <f>SUM('Staff Hours'!E15:AG15)</f>
        <v>0</v>
      </c>
      <c r="L17" s="146" t="str">
        <f>IF(Friedman!G12=0,"",Friedman!G12)</f>
        <v/>
      </c>
      <c r="M17" s="263" t="str">
        <f t="shared" si="0"/>
        <v/>
      </c>
      <c r="O17" s="31" t="str">
        <f t="shared" si="1"/>
        <v/>
      </c>
      <c r="P17" s="274" t="str">
        <f t="shared" si="2"/>
        <v/>
      </c>
      <c r="Q17" s="31" t="str">
        <f t="shared" si="3"/>
        <v/>
      </c>
      <c r="R17" s="274" t="str">
        <f t="shared" si="4"/>
        <v/>
      </c>
      <c r="T17" s="2">
        <f t="shared" si="5"/>
        <v>0</v>
      </c>
      <c r="V17" s="1" t="str">
        <f t="shared" si="14"/>
        <v>Tuesday</v>
      </c>
      <c r="W17" s="1" t="str">
        <f t="shared" si="15"/>
        <v/>
      </c>
      <c r="X17" s="1" t="str">
        <f t="shared" si="16"/>
        <v/>
      </c>
      <c r="Y17" s="1" t="str">
        <f t="shared" si="17"/>
        <v/>
      </c>
      <c r="Z17" s="1" t="str">
        <f t="shared" si="18"/>
        <v/>
      </c>
      <c r="AA17" s="1" t="str">
        <f t="shared" si="19"/>
        <v/>
      </c>
      <c r="AB17" s="1" t="str">
        <f t="shared" si="20"/>
        <v/>
      </c>
      <c r="IU17" s="10"/>
    </row>
    <row r="18" spans="2:255" s="1" customFormat="1" ht="14.25" customHeight="1">
      <c r="D18" s="2" t="s">
        <v>29</v>
      </c>
      <c r="E18" s="144">
        <f t="shared" si="13"/>
        <v>43930</v>
      </c>
      <c r="F18" s="145"/>
      <c r="G18" s="31">
        <f>SUM('Value of Sales'!E16:AG16)</f>
        <v>0</v>
      </c>
      <c r="H18" s="31">
        <f>IF(E18&gt;$B$5-1,IF(E18&lt;$B$6+1,IF(G18&gt;0,MAX(H$4:H17)+G18,0),0),0)</f>
        <v>0</v>
      </c>
      <c r="I18" s="7">
        <f>SUM('Num of Sales'!E16:AG16)</f>
        <v>0</v>
      </c>
      <c r="J18" s="7">
        <f>SUM('Num of Lines'!E16:AG16)</f>
        <v>0</v>
      </c>
      <c r="K18" s="7">
        <f>SUM('Staff Hours'!E16:AG16)</f>
        <v>0</v>
      </c>
      <c r="L18" s="146" t="str">
        <f>IF(Friedman!G13=0,"",Friedman!G13)</f>
        <v/>
      </c>
      <c r="M18" s="263" t="str">
        <f t="shared" si="0"/>
        <v/>
      </c>
      <c r="O18" s="31" t="str">
        <f t="shared" si="1"/>
        <v/>
      </c>
      <c r="P18" s="274" t="str">
        <f t="shared" si="2"/>
        <v/>
      </c>
      <c r="Q18" s="31" t="str">
        <f t="shared" si="3"/>
        <v/>
      </c>
      <c r="R18" s="274" t="str">
        <f t="shared" si="4"/>
        <v/>
      </c>
      <c r="T18" s="2">
        <f t="shared" si="5"/>
        <v>0</v>
      </c>
      <c r="V18" s="1" t="str">
        <f t="shared" si="14"/>
        <v>Wednesday</v>
      </c>
      <c r="W18" s="1" t="str">
        <f t="shared" si="15"/>
        <v/>
      </c>
      <c r="X18" s="1" t="str">
        <f t="shared" si="16"/>
        <v/>
      </c>
      <c r="Y18" s="1" t="str">
        <f t="shared" si="17"/>
        <v/>
      </c>
      <c r="Z18" s="1" t="str">
        <f t="shared" si="18"/>
        <v/>
      </c>
      <c r="AA18" s="1" t="str">
        <f t="shared" si="19"/>
        <v/>
      </c>
      <c r="AB18" s="1" t="str">
        <f t="shared" si="20"/>
        <v/>
      </c>
      <c r="IU18" s="10"/>
    </row>
    <row r="19" spans="2:255" s="1" customFormat="1" ht="14.25" customHeight="1">
      <c r="D19" s="2" t="s">
        <v>30</v>
      </c>
      <c r="E19" s="144">
        <f t="shared" si="13"/>
        <v>43931</v>
      </c>
      <c r="F19" s="145"/>
      <c r="G19" s="31">
        <f>SUM('Value of Sales'!E17:AG17)</f>
        <v>0</v>
      </c>
      <c r="H19" s="31">
        <f>IF(E19&gt;$B$5-1,IF(E19&lt;$B$6+1,IF(G19&gt;0,MAX(H$4:H18)+G19,0),0),0)</f>
        <v>0</v>
      </c>
      <c r="I19" s="7">
        <f>SUM('Num of Sales'!E17:AG17)</f>
        <v>0</v>
      </c>
      <c r="J19" s="7">
        <f>SUM('Num of Lines'!E17:AG17)</f>
        <v>0</v>
      </c>
      <c r="K19" s="7">
        <f>SUM('Staff Hours'!E17:AG17)</f>
        <v>0</v>
      </c>
      <c r="L19" s="146" t="str">
        <f>IF(Friedman!G14=0,"",Friedman!G14)</f>
        <v/>
      </c>
      <c r="M19" s="263" t="str">
        <f t="shared" si="0"/>
        <v/>
      </c>
      <c r="O19" s="31" t="str">
        <f t="shared" si="1"/>
        <v/>
      </c>
      <c r="P19" s="274" t="str">
        <f t="shared" si="2"/>
        <v/>
      </c>
      <c r="Q19" s="31" t="str">
        <f t="shared" si="3"/>
        <v/>
      </c>
      <c r="R19" s="274" t="str">
        <f t="shared" si="4"/>
        <v/>
      </c>
      <c r="T19" s="2">
        <f t="shared" si="5"/>
        <v>0</v>
      </c>
      <c r="V19" s="1" t="str">
        <f t="shared" si="14"/>
        <v>Thursday</v>
      </c>
      <c r="W19" s="1" t="str">
        <f t="shared" si="15"/>
        <v/>
      </c>
      <c r="X19" s="1" t="str">
        <f t="shared" si="16"/>
        <v/>
      </c>
      <c r="Y19" s="1" t="str">
        <f t="shared" si="17"/>
        <v/>
      </c>
      <c r="Z19" s="1" t="str">
        <f t="shared" si="18"/>
        <v/>
      </c>
      <c r="AA19" s="1" t="str">
        <f t="shared" si="19"/>
        <v/>
      </c>
      <c r="AB19" s="1" t="str">
        <f t="shared" si="20"/>
        <v/>
      </c>
      <c r="IU19" s="10"/>
    </row>
    <row r="20" spans="2:255" s="1" customFormat="1" ht="14.25" customHeight="1">
      <c r="D20" s="2" t="s">
        <v>31</v>
      </c>
      <c r="E20" s="144">
        <f t="shared" si="13"/>
        <v>43932</v>
      </c>
      <c r="F20" s="145"/>
      <c r="G20" s="31">
        <f>SUM('Value of Sales'!E18:AG18)</f>
        <v>0</v>
      </c>
      <c r="H20" s="31">
        <f>IF(E20&gt;$B$5-1,IF(E20&lt;$B$6+1,IF(G20&gt;0,MAX(H$4:H19)+G20,0),0),0)</f>
        <v>0</v>
      </c>
      <c r="I20" s="7">
        <f>SUM('Num of Sales'!E18:AG18)</f>
        <v>0</v>
      </c>
      <c r="J20" s="7">
        <f>SUM('Num of Lines'!E18:AG18)</f>
        <v>0</v>
      </c>
      <c r="K20" s="7">
        <f>SUM('Staff Hours'!E18:AG18)</f>
        <v>0</v>
      </c>
      <c r="L20" s="146" t="str">
        <f>IF(Friedman!G15=0,"",Friedman!G15)</f>
        <v/>
      </c>
      <c r="M20" s="263" t="str">
        <f t="shared" si="0"/>
        <v/>
      </c>
      <c r="O20" s="31" t="str">
        <f t="shared" si="1"/>
        <v/>
      </c>
      <c r="P20" s="274" t="str">
        <f t="shared" si="2"/>
        <v/>
      </c>
      <c r="Q20" s="31" t="str">
        <f t="shared" si="3"/>
        <v/>
      </c>
      <c r="R20" s="274" t="str">
        <f t="shared" si="4"/>
        <v/>
      </c>
      <c r="T20" s="2">
        <f t="shared" si="5"/>
        <v>0</v>
      </c>
      <c r="V20" s="1" t="str">
        <f t="shared" si="14"/>
        <v>Friday</v>
      </c>
      <c r="W20" s="1" t="str">
        <f t="shared" si="15"/>
        <v/>
      </c>
      <c r="X20" s="1" t="str">
        <f t="shared" si="16"/>
        <v/>
      </c>
      <c r="Y20" s="1" t="str">
        <f t="shared" si="17"/>
        <v/>
      </c>
      <c r="Z20" s="1" t="str">
        <f t="shared" si="18"/>
        <v/>
      </c>
      <c r="AA20" s="1" t="str">
        <f t="shared" si="19"/>
        <v/>
      </c>
      <c r="AB20" s="1" t="str">
        <f t="shared" si="20"/>
        <v/>
      </c>
      <c r="IU20" s="10"/>
    </row>
    <row r="21" spans="2:255" s="1" customFormat="1" ht="14.25" customHeight="1">
      <c r="D21" s="2" t="s">
        <v>32</v>
      </c>
      <c r="E21" s="144">
        <f t="shared" si="13"/>
        <v>43933</v>
      </c>
      <c r="F21" s="145"/>
      <c r="G21" s="265">
        <f>SUM('Value of Sales'!E19:AG19)</f>
        <v>0</v>
      </c>
      <c r="H21" s="265">
        <f>IF(E21&gt;$B$5-1,IF(E21&lt;$B$6+1,IF(G21&gt;0,MAX(H$4:H20)+G21,0),0),0)</f>
        <v>0</v>
      </c>
      <c r="I21" s="266">
        <f>SUM('Num of Sales'!E19:AG19)</f>
        <v>0</v>
      </c>
      <c r="J21" s="266">
        <f>SUM('Num of Lines'!E19:AG19)</f>
        <v>0</v>
      </c>
      <c r="K21" s="266">
        <f>SUM('Staff Hours'!E19:AG19)</f>
        <v>0</v>
      </c>
      <c r="L21" s="147" t="str">
        <f>IF(Friedman!G16=0,"",Friedman!G16)</f>
        <v/>
      </c>
      <c r="M21" s="267" t="str">
        <f t="shared" si="0"/>
        <v/>
      </c>
      <c r="O21" s="31" t="str">
        <f t="shared" si="1"/>
        <v/>
      </c>
      <c r="P21" s="274" t="str">
        <f t="shared" si="2"/>
        <v/>
      </c>
      <c r="Q21" s="31" t="str">
        <f t="shared" si="3"/>
        <v/>
      </c>
      <c r="R21" s="274" t="str">
        <f t="shared" si="4"/>
        <v/>
      </c>
      <c r="T21" s="2">
        <f t="shared" si="5"/>
        <v>0</v>
      </c>
      <c r="V21" s="1" t="str">
        <f t="shared" si="14"/>
        <v>Saturday</v>
      </c>
      <c r="W21" s="1" t="str">
        <f t="shared" si="15"/>
        <v/>
      </c>
      <c r="X21" s="1" t="str">
        <f t="shared" si="16"/>
        <v/>
      </c>
      <c r="Y21" s="1" t="str">
        <f t="shared" si="17"/>
        <v/>
      </c>
      <c r="Z21" s="1" t="str">
        <f t="shared" si="18"/>
        <v/>
      </c>
      <c r="AA21" s="1" t="str">
        <f t="shared" si="19"/>
        <v/>
      </c>
      <c r="AB21" s="1" t="str">
        <f t="shared" si="20"/>
        <v/>
      </c>
      <c r="IU21" s="10"/>
    </row>
    <row r="22" spans="2:255" s="1" customFormat="1" ht="14.25" customHeight="1">
      <c r="B22" s="145">
        <f>E21</f>
        <v>43933</v>
      </c>
      <c r="D22" s="440" t="s">
        <v>363</v>
      </c>
      <c r="E22" s="261"/>
      <c r="F22" s="145"/>
      <c r="G22" s="442">
        <f>SUM(G15:G21)</f>
        <v>0</v>
      </c>
      <c r="H22" s="264"/>
      <c r="I22" s="313">
        <f>SUM(I15:I21)</f>
        <v>0</v>
      </c>
      <c r="J22" s="313">
        <f>SUM(J15:J21)</f>
        <v>0</v>
      </c>
      <c r="K22" s="313">
        <f>SUM(K15:K21)</f>
        <v>0</v>
      </c>
      <c r="L22" s="313">
        <f>SUM(L15:L21)</f>
        <v>0</v>
      </c>
      <c r="M22" s="314" t="e">
        <f>I22/L22</f>
        <v>#DIV/0!</v>
      </c>
      <c r="O22" s="315" t="e">
        <f>G22/I22</f>
        <v>#DIV/0!</v>
      </c>
      <c r="P22" s="316" t="e">
        <f>I22/K22</f>
        <v>#DIV/0!</v>
      </c>
      <c r="Q22" s="315" t="e">
        <f>G22/K22</f>
        <v>#DIV/0!</v>
      </c>
      <c r="R22" s="316" t="e">
        <f>J22/I22</f>
        <v>#DIV/0!</v>
      </c>
      <c r="T22" s="483"/>
      <c r="IU22" s="10"/>
    </row>
    <row r="23" spans="2:255" s="1" customFormat="1" ht="14.25" customHeight="1">
      <c r="D23" s="2"/>
      <c r="E23" s="144"/>
      <c r="F23" s="145"/>
      <c r="G23" s="441"/>
      <c r="H23" s="451" t="s">
        <v>161</v>
      </c>
      <c r="I23" s="452" t="str">
        <f>IF(G22=0,"",(G22/'Store Details'!K16)-1)</f>
        <v/>
      </c>
      <c r="J23" s="7"/>
      <c r="K23" s="437" t="s">
        <v>162</v>
      </c>
      <c r="L23" s="263" t="str">
        <f>IF(G22=0,"",(G22/'Store Details'!Q16)-1)</f>
        <v/>
      </c>
      <c r="M23" s="263"/>
      <c r="O23" s="31"/>
      <c r="P23" s="274"/>
      <c r="Q23" s="31"/>
      <c r="R23" s="274"/>
      <c r="T23" s="484"/>
      <c r="IU23" s="10"/>
    </row>
    <row r="24" spans="2:255" s="1" customFormat="1" ht="14.25" customHeight="1">
      <c r="D24" s="279" t="s">
        <v>156</v>
      </c>
      <c r="E24" s="262"/>
      <c r="F24" s="145"/>
      <c r="G24" s="275"/>
      <c r="H24" s="302"/>
      <c r="I24" s="276"/>
      <c r="J24" s="277"/>
      <c r="K24" s="301"/>
      <c r="L24" s="276" t="str">
        <f>IF(G24=0,"",(G24/'Store Details'!Q16)-1)</f>
        <v/>
      </c>
      <c r="M24" s="278"/>
      <c r="O24" s="302" t="e">
        <f>G24/I22</f>
        <v>#DIV/0!</v>
      </c>
      <c r="P24" s="439"/>
      <c r="Q24" s="302" t="e">
        <f>G24/K22</f>
        <v>#DIV/0!</v>
      </c>
      <c r="R24" s="439"/>
      <c r="T24" s="485"/>
      <c r="IU24" s="10"/>
    </row>
    <row r="25" spans="2:255" s="1" customFormat="1" ht="14.1" customHeight="1">
      <c r="D25" s="2" t="s">
        <v>26</v>
      </c>
      <c r="E25" s="144">
        <f>E21+1</f>
        <v>43934</v>
      </c>
      <c r="F25" s="145"/>
      <c r="G25" s="31">
        <f>SUM('Value of Sales'!E20:AG20)</f>
        <v>0</v>
      </c>
      <c r="H25" s="31">
        <f>IF(E25&gt;$B$5-1,IF(E25&lt;$B$6+1,IF(G25&gt;0,MAX(H$4:H21)+G25,0),0),0)</f>
        <v>0</v>
      </c>
      <c r="I25" s="7">
        <f>SUM('Num of Sales'!E20:AG20)</f>
        <v>0</v>
      </c>
      <c r="J25" s="7">
        <f>SUM('Num of Lines'!E20:AG20)</f>
        <v>0</v>
      </c>
      <c r="K25" s="7">
        <f>SUM('Staff Hours'!E20:AG20)</f>
        <v>0</v>
      </c>
      <c r="L25" s="146" t="str">
        <f>IF(Friedman!G17=0,"",Friedman!G17)</f>
        <v/>
      </c>
      <c r="M25" s="263" t="str">
        <f t="shared" si="0"/>
        <v/>
      </c>
      <c r="O25" s="31" t="str">
        <f t="shared" si="1"/>
        <v/>
      </c>
      <c r="P25" s="274" t="str">
        <f t="shared" si="2"/>
        <v/>
      </c>
      <c r="Q25" s="31" t="str">
        <f t="shared" si="3"/>
        <v/>
      </c>
      <c r="R25" s="274" t="str">
        <f t="shared" si="4"/>
        <v/>
      </c>
      <c r="T25" s="2">
        <f t="shared" si="5"/>
        <v>0</v>
      </c>
      <c r="V25" s="1" t="str">
        <f>V11</f>
        <v>Sunday</v>
      </c>
      <c r="W25" s="1" t="str">
        <f>L11</f>
        <v/>
      </c>
      <c r="X25" s="1" t="str">
        <f>L21</f>
        <v/>
      </c>
      <c r="Y25" s="1" t="str">
        <f>L31</f>
        <v/>
      </c>
      <c r="Z25" s="1" t="str">
        <f>L41</f>
        <v/>
      </c>
      <c r="AA25" s="1" t="str">
        <f>L51</f>
        <v/>
      </c>
      <c r="AB25" s="1" t="str">
        <f>L61</f>
        <v/>
      </c>
      <c r="IU25" s="10"/>
    </row>
    <row r="26" spans="2:255" s="1" customFormat="1" ht="14.25" customHeight="1">
      <c r="D26" s="2" t="s">
        <v>27</v>
      </c>
      <c r="E26" s="144">
        <f t="shared" si="13"/>
        <v>43935</v>
      </c>
      <c r="F26" s="145"/>
      <c r="G26" s="31">
        <f>SUM('Value of Sales'!E21:AG21)</f>
        <v>0</v>
      </c>
      <c r="H26" s="31">
        <f>IF(E26&gt;$B$5-1,IF(E26&lt;$B$6+1,IF(G26&gt;0,MAX(H$4:H25)+G26,0),0),0)</f>
        <v>0</v>
      </c>
      <c r="I26" s="7">
        <f>SUM('Num of Sales'!E21:AG21)</f>
        <v>0</v>
      </c>
      <c r="J26" s="7">
        <f>SUM('Num of Lines'!E21:AG21)</f>
        <v>0</v>
      </c>
      <c r="K26" s="7">
        <f>SUM('Staff Hours'!E21:AG21)</f>
        <v>0</v>
      </c>
      <c r="L26" s="146" t="str">
        <f>IF(Friedman!G18=0,"",Friedman!G18)</f>
        <v/>
      </c>
      <c r="M26" s="263" t="str">
        <f t="shared" si="0"/>
        <v/>
      </c>
      <c r="O26" s="31" t="str">
        <f t="shared" si="1"/>
        <v/>
      </c>
      <c r="P26" s="274" t="str">
        <f t="shared" si="2"/>
        <v/>
      </c>
      <c r="Q26" s="31" t="str">
        <f t="shared" si="3"/>
        <v/>
      </c>
      <c r="R26" s="274" t="str">
        <f t="shared" si="4"/>
        <v/>
      </c>
      <c r="T26" s="2">
        <f t="shared" si="5"/>
        <v>0</v>
      </c>
      <c r="IU26" s="10"/>
    </row>
    <row r="27" spans="2:255" s="1" customFormat="1" ht="14.25" customHeight="1">
      <c r="D27" s="2" t="s">
        <v>28</v>
      </c>
      <c r="E27" s="144">
        <f t="shared" si="13"/>
        <v>43936</v>
      </c>
      <c r="F27" s="145"/>
      <c r="G27" s="31">
        <f>SUM('Value of Sales'!E22:AG22)</f>
        <v>0</v>
      </c>
      <c r="H27" s="31">
        <f>IF(E27&gt;$B$5-1,IF(E27&lt;$B$6+1,IF(G27&gt;0,MAX(H$4:H26)+G27,0),0),0)</f>
        <v>0</v>
      </c>
      <c r="I27" s="7">
        <f>SUM('Num of Sales'!E22:AG22)</f>
        <v>0</v>
      </c>
      <c r="J27" s="7">
        <f>SUM('Num of Lines'!E22:AG22)</f>
        <v>0</v>
      </c>
      <c r="K27" s="7">
        <f>SUM('Staff Hours'!E22:AG22)</f>
        <v>0</v>
      </c>
      <c r="L27" s="146" t="str">
        <f>IF(Friedman!G19=0,"",Friedman!G19)</f>
        <v/>
      </c>
      <c r="M27" s="263" t="str">
        <f t="shared" si="0"/>
        <v/>
      </c>
      <c r="O27" s="31" t="str">
        <f t="shared" si="1"/>
        <v/>
      </c>
      <c r="P27" s="274" t="str">
        <f t="shared" si="2"/>
        <v/>
      </c>
      <c r="Q27" s="31" t="str">
        <f t="shared" si="3"/>
        <v/>
      </c>
      <c r="R27" s="274" t="str">
        <f t="shared" si="4"/>
        <v/>
      </c>
      <c r="T27" s="2">
        <f t="shared" si="5"/>
        <v>0</v>
      </c>
      <c r="IU27" s="10"/>
    </row>
    <row r="28" spans="2:255" s="1" customFormat="1" ht="14.25" customHeight="1">
      <c r="D28" s="2" t="s">
        <v>29</v>
      </c>
      <c r="E28" s="144">
        <f t="shared" si="13"/>
        <v>43937</v>
      </c>
      <c r="F28" s="145"/>
      <c r="G28" s="31">
        <f>SUM('Value of Sales'!E23:AG23)</f>
        <v>0</v>
      </c>
      <c r="H28" s="31">
        <f>IF(E28&gt;$B$5-1,IF(E28&lt;$B$6+1,IF(G28&gt;0,MAX(H$4:H27)+G28,0),0),0)</f>
        <v>0</v>
      </c>
      <c r="I28" s="7">
        <f>SUM('Num of Sales'!E23:AG23)</f>
        <v>0</v>
      </c>
      <c r="J28" s="7">
        <f>SUM('Num of Lines'!E23:AG23)</f>
        <v>0</v>
      </c>
      <c r="K28" s="7">
        <f>SUM('Staff Hours'!E23:AG23)</f>
        <v>0</v>
      </c>
      <c r="L28" s="146" t="str">
        <f>IF(Friedman!G20=0,"",Friedman!G20)</f>
        <v/>
      </c>
      <c r="M28" s="263" t="str">
        <f t="shared" si="0"/>
        <v/>
      </c>
      <c r="O28" s="31" t="str">
        <f t="shared" si="1"/>
        <v/>
      </c>
      <c r="P28" s="274" t="str">
        <f t="shared" si="2"/>
        <v/>
      </c>
      <c r="Q28" s="31" t="str">
        <f t="shared" si="3"/>
        <v/>
      </c>
      <c r="R28" s="274" t="str">
        <f t="shared" si="4"/>
        <v/>
      </c>
      <c r="T28" s="2">
        <f t="shared" si="5"/>
        <v>0</v>
      </c>
      <c r="IU28" s="10"/>
    </row>
    <row r="29" spans="2:255" s="1" customFormat="1" ht="14.25" customHeight="1">
      <c r="D29" s="2" t="s">
        <v>30</v>
      </c>
      <c r="E29" s="144">
        <f t="shared" si="13"/>
        <v>43938</v>
      </c>
      <c r="F29" s="145"/>
      <c r="G29" s="31">
        <f>SUM('Value of Sales'!E24:AG24)</f>
        <v>0</v>
      </c>
      <c r="H29" s="31">
        <f>IF(E29&gt;$B$5-1,IF(E29&lt;$B$6+1,IF(G29&gt;0,MAX(H$4:H28)+G29,0),0),0)</f>
        <v>0</v>
      </c>
      <c r="I29" s="7">
        <f>SUM('Num of Sales'!E24:AG24)</f>
        <v>0</v>
      </c>
      <c r="J29" s="7">
        <f>SUM('Num of Lines'!E24:AG24)</f>
        <v>0</v>
      </c>
      <c r="K29" s="7">
        <f>SUM('Staff Hours'!E24:AG24)</f>
        <v>0</v>
      </c>
      <c r="L29" s="146" t="str">
        <f>IF(Friedman!G21=0,"",Friedman!G21)</f>
        <v/>
      </c>
      <c r="M29" s="263" t="str">
        <f t="shared" si="0"/>
        <v/>
      </c>
      <c r="O29" s="31" t="str">
        <f t="shared" si="1"/>
        <v/>
      </c>
      <c r="P29" s="274" t="str">
        <f t="shared" si="2"/>
        <v/>
      </c>
      <c r="Q29" s="31" t="str">
        <f t="shared" si="3"/>
        <v/>
      </c>
      <c r="R29" s="274" t="str">
        <f t="shared" si="4"/>
        <v/>
      </c>
      <c r="T29" s="2">
        <f t="shared" si="5"/>
        <v>0</v>
      </c>
      <c r="IU29" s="10"/>
    </row>
    <row r="30" spans="2:255" s="1" customFormat="1" ht="14.25" customHeight="1">
      <c r="D30" s="2" t="s">
        <v>31</v>
      </c>
      <c r="E30" s="144">
        <f t="shared" si="13"/>
        <v>43939</v>
      </c>
      <c r="F30" s="145"/>
      <c r="G30" s="31">
        <f>SUM('Value of Sales'!E25:AG25)</f>
        <v>0</v>
      </c>
      <c r="H30" s="31">
        <f>IF(E30&gt;$B$5-1,IF(E30&lt;$B$6+1,IF(G30&gt;0,MAX(H$4:H29)+G30,0),0),0)</f>
        <v>0</v>
      </c>
      <c r="I30" s="7">
        <f>SUM('Num of Sales'!E25:AG25)</f>
        <v>0</v>
      </c>
      <c r="J30" s="7">
        <f>SUM('Num of Lines'!E25:AG25)</f>
        <v>0</v>
      </c>
      <c r="K30" s="7">
        <f>SUM('Staff Hours'!E25:AG25)</f>
        <v>0</v>
      </c>
      <c r="L30" s="146" t="str">
        <f>IF(Friedman!G22=0,"",Friedman!G22)</f>
        <v/>
      </c>
      <c r="M30" s="263" t="str">
        <f t="shared" si="0"/>
        <v/>
      </c>
      <c r="O30" s="31" t="str">
        <f t="shared" si="1"/>
        <v/>
      </c>
      <c r="P30" s="274" t="str">
        <f t="shared" si="2"/>
        <v/>
      </c>
      <c r="Q30" s="31" t="str">
        <f t="shared" si="3"/>
        <v/>
      </c>
      <c r="R30" s="274" t="str">
        <f t="shared" si="4"/>
        <v/>
      </c>
      <c r="T30" s="2">
        <f t="shared" si="5"/>
        <v>0</v>
      </c>
      <c r="IU30" s="10"/>
    </row>
    <row r="31" spans="2:255" s="1" customFormat="1" ht="14.25" customHeight="1">
      <c r="D31" s="2" t="s">
        <v>32</v>
      </c>
      <c r="E31" s="144">
        <f t="shared" si="13"/>
        <v>43940</v>
      </c>
      <c r="F31" s="145"/>
      <c r="G31" s="31">
        <f>SUM('Value of Sales'!E26:AG26)</f>
        <v>0</v>
      </c>
      <c r="H31" s="31">
        <f>IF(E31&gt;$B$5-1,IF(E31&lt;$B$6+1,IF(G31&gt;0,MAX(H$4:H30)+G31,0),0),0)</f>
        <v>0</v>
      </c>
      <c r="I31" s="7">
        <f>SUM('Num of Sales'!E26:AG26)</f>
        <v>0</v>
      </c>
      <c r="J31" s="7">
        <f>SUM('Num of Lines'!E26:AG26)</f>
        <v>0</v>
      </c>
      <c r="K31" s="7">
        <f>SUM('Staff Hours'!E26:AG26)</f>
        <v>0</v>
      </c>
      <c r="L31" s="147" t="str">
        <f>IF(Friedman!G23=0,"",Friedman!G23)</f>
        <v/>
      </c>
      <c r="M31" s="267" t="str">
        <f t="shared" si="0"/>
        <v/>
      </c>
      <c r="O31" s="31" t="str">
        <f t="shared" si="1"/>
        <v/>
      </c>
      <c r="P31" s="274" t="str">
        <f t="shared" si="2"/>
        <v/>
      </c>
      <c r="Q31" s="31" t="str">
        <f t="shared" si="3"/>
        <v/>
      </c>
      <c r="R31" s="274" t="str">
        <f t="shared" si="4"/>
        <v/>
      </c>
      <c r="T31" s="2">
        <f t="shared" si="5"/>
        <v>0</v>
      </c>
      <c r="IU31" s="10"/>
    </row>
    <row r="32" spans="2:255" s="1" customFormat="1" ht="14.25" customHeight="1">
      <c r="B32" s="145">
        <f>E31</f>
        <v>43940</v>
      </c>
      <c r="D32" s="440" t="s">
        <v>365</v>
      </c>
      <c r="E32" s="261"/>
      <c r="F32" s="145"/>
      <c r="G32" s="442">
        <f>SUM(G25:G31)</f>
        <v>0</v>
      </c>
      <c r="H32" s="264"/>
      <c r="I32" s="313">
        <f>SUM(I25:I31)</f>
        <v>0</v>
      </c>
      <c r="J32" s="313">
        <f>SUM(J25:J31)</f>
        <v>0</v>
      </c>
      <c r="K32" s="313">
        <f>SUM(K25:K31)</f>
        <v>0</v>
      </c>
      <c r="L32" s="313">
        <f>SUM(L25:L31)</f>
        <v>0</v>
      </c>
      <c r="M32" s="314" t="e">
        <f>I32/L32</f>
        <v>#DIV/0!</v>
      </c>
      <c r="O32" s="315" t="e">
        <f>G32/I32</f>
        <v>#DIV/0!</v>
      </c>
      <c r="P32" s="316" t="e">
        <f>I32/K32</f>
        <v>#DIV/0!</v>
      </c>
      <c r="Q32" s="315" t="e">
        <f>G32/K32</f>
        <v>#DIV/0!</v>
      </c>
      <c r="R32" s="316" t="e">
        <f>J32/I32</f>
        <v>#DIV/0!</v>
      </c>
      <c r="T32" s="483"/>
      <c r="IU32" s="10"/>
    </row>
    <row r="33" spans="2:255" s="1" customFormat="1" ht="14.25" customHeight="1">
      <c r="D33" s="438"/>
      <c r="E33" s="144"/>
      <c r="F33" s="145"/>
      <c r="G33" s="441"/>
      <c r="H33" s="451" t="s">
        <v>161</v>
      </c>
      <c r="I33" s="452" t="str">
        <f>IF(G32=0,"",(G32/'Store Details'!K17)-1)</f>
        <v/>
      </c>
      <c r="J33" s="7"/>
      <c r="K33" s="437" t="s">
        <v>162</v>
      </c>
      <c r="L33" s="263" t="str">
        <f>IF(G32=0,"",(G32/'Store Details'!Q17)-1)</f>
        <v/>
      </c>
      <c r="M33" s="263"/>
      <c r="O33" s="31"/>
      <c r="P33" s="274"/>
      <c r="Q33" s="31"/>
      <c r="R33" s="274"/>
      <c r="T33" s="484"/>
      <c r="IU33" s="10"/>
    </row>
    <row r="34" spans="2:255" s="1" customFormat="1" ht="14.25" customHeight="1">
      <c r="D34" s="279" t="s">
        <v>157</v>
      </c>
      <c r="E34" s="262"/>
      <c r="F34" s="145"/>
      <c r="G34" s="275"/>
      <c r="H34" s="302"/>
      <c r="I34" s="276"/>
      <c r="J34" s="277"/>
      <c r="K34" s="301"/>
      <c r="L34" s="276"/>
      <c r="M34" s="278"/>
      <c r="O34" s="302" t="e">
        <f>G34/I32</f>
        <v>#DIV/0!</v>
      </c>
      <c r="P34" s="439"/>
      <c r="Q34" s="302" t="e">
        <f>G34/K32</f>
        <v>#DIV/0!</v>
      </c>
      <c r="R34" s="439"/>
      <c r="T34" s="485"/>
      <c r="IU34" s="10"/>
    </row>
    <row r="35" spans="2:255" s="1" customFormat="1" ht="14.25" customHeight="1">
      <c r="D35" s="2" t="s">
        <v>26</v>
      </c>
      <c r="E35" s="144">
        <f>E31+1</f>
        <v>43941</v>
      </c>
      <c r="F35" s="145"/>
      <c r="G35" s="268">
        <f>SUM('Value of Sales'!E27:AG27)</f>
        <v>0</v>
      </c>
      <c r="H35" s="268">
        <f>IF(E35&gt;$B$5-1,IF(E35&lt;$B$6+1,IF(G35&gt;0,MAX(H$4:H31)+G35,0),0),0)</f>
        <v>0</v>
      </c>
      <c r="I35" s="269">
        <f>SUM('Num of Sales'!E27:AG27)</f>
        <v>0</v>
      </c>
      <c r="J35" s="269">
        <f>SUM('Num of Lines'!E27:AG27)</f>
        <v>0</v>
      </c>
      <c r="K35" s="269">
        <f>SUM('Staff Hours'!E27:AG27)</f>
        <v>0</v>
      </c>
      <c r="L35" s="146" t="str">
        <f>IF(Friedman!G24=0,"",Friedman!G24)</f>
        <v/>
      </c>
      <c r="M35" s="263" t="str">
        <f t="shared" si="0"/>
        <v/>
      </c>
      <c r="O35" s="31" t="str">
        <f t="shared" si="1"/>
        <v/>
      </c>
      <c r="P35" s="274" t="str">
        <f t="shared" si="2"/>
        <v/>
      </c>
      <c r="Q35" s="31" t="str">
        <f t="shared" si="3"/>
        <v/>
      </c>
      <c r="R35" s="274" t="str">
        <f t="shared" si="4"/>
        <v/>
      </c>
      <c r="T35" s="2">
        <f t="shared" si="5"/>
        <v>0</v>
      </c>
      <c r="IU35" s="10"/>
    </row>
    <row r="36" spans="2:255" s="1" customFormat="1" ht="14.25" customHeight="1">
      <c r="D36" s="2" t="s">
        <v>27</v>
      </c>
      <c r="E36" s="144">
        <f t="shared" si="13"/>
        <v>43942</v>
      </c>
      <c r="F36" s="145"/>
      <c r="G36" s="31">
        <f>SUM('Value of Sales'!E28:AG28)</f>
        <v>0</v>
      </c>
      <c r="H36" s="31">
        <f>IF(E36&gt;$B$5-1,IF(E36&lt;$B$6+1,IF(G36&gt;0,MAX(H$4:H35)+G36,0),0),0)</f>
        <v>0</v>
      </c>
      <c r="I36" s="7">
        <f>SUM('Num of Sales'!E28:AG28)</f>
        <v>0</v>
      </c>
      <c r="J36" s="7">
        <f>SUM('Num of Lines'!E28:AG28)</f>
        <v>0</v>
      </c>
      <c r="K36" s="7">
        <f>SUM('Staff Hours'!E28:AG28)</f>
        <v>0</v>
      </c>
      <c r="L36" s="146" t="str">
        <f>IF(Friedman!G25=0,"",Friedman!G25)</f>
        <v/>
      </c>
      <c r="M36" s="263" t="str">
        <f t="shared" si="0"/>
        <v/>
      </c>
      <c r="O36" s="31" t="str">
        <f t="shared" si="1"/>
        <v/>
      </c>
      <c r="P36" s="274" t="str">
        <f t="shared" si="2"/>
        <v/>
      </c>
      <c r="Q36" s="31" t="str">
        <f t="shared" si="3"/>
        <v/>
      </c>
      <c r="R36" s="274" t="str">
        <f t="shared" si="4"/>
        <v/>
      </c>
      <c r="T36" s="2">
        <f t="shared" si="5"/>
        <v>0</v>
      </c>
      <c r="IU36" s="10"/>
    </row>
    <row r="37" spans="2:255" s="1" customFormat="1" ht="14.25" customHeight="1">
      <c r="D37" s="2" t="s">
        <v>28</v>
      </c>
      <c r="E37" s="144">
        <f t="shared" si="13"/>
        <v>43943</v>
      </c>
      <c r="F37" s="145"/>
      <c r="G37" s="31">
        <f>SUM('Value of Sales'!E29:AG29)</f>
        <v>0</v>
      </c>
      <c r="H37" s="31">
        <f>IF(E37&gt;$B$5-1,IF(E37&lt;$B$6+1,IF(G37&gt;0,MAX(H$4:H36)+G37,0),0),0)</f>
        <v>0</v>
      </c>
      <c r="I37" s="7">
        <f>SUM('Num of Sales'!E29:AG29)</f>
        <v>0</v>
      </c>
      <c r="J37" s="7">
        <f>SUM('Num of Lines'!E29:AG29)</f>
        <v>0</v>
      </c>
      <c r="K37" s="7">
        <f>SUM('Staff Hours'!E29:AG29)</f>
        <v>0</v>
      </c>
      <c r="L37" s="146" t="str">
        <f>IF(Friedman!G26=0,"",Friedman!G26)</f>
        <v/>
      </c>
      <c r="M37" s="263" t="str">
        <f t="shared" si="0"/>
        <v/>
      </c>
      <c r="O37" s="31" t="str">
        <f t="shared" si="1"/>
        <v/>
      </c>
      <c r="P37" s="274" t="str">
        <f t="shared" si="2"/>
        <v/>
      </c>
      <c r="Q37" s="31" t="str">
        <f t="shared" si="3"/>
        <v/>
      </c>
      <c r="R37" s="274" t="str">
        <f t="shared" si="4"/>
        <v/>
      </c>
      <c r="T37" s="2">
        <f t="shared" si="5"/>
        <v>0</v>
      </c>
      <c r="IU37" s="10"/>
    </row>
    <row r="38" spans="2:255" s="1" customFormat="1" ht="14.25" customHeight="1">
      <c r="D38" s="2" t="s">
        <v>29</v>
      </c>
      <c r="E38" s="144">
        <f t="shared" si="13"/>
        <v>43944</v>
      </c>
      <c r="F38" s="145"/>
      <c r="G38" s="31">
        <f>SUM('Value of Sales'!E30:AG30)</f>
        <v>0</v>
      </c>
      <c r="H38" s="31">
        <f>IF(E38&gt;$B$5-1,IF(E38&lt;$B$6+1,IF(G38&gt;0,MAX(H$4:H37)+G38,0),0),0)</f>
        <v>0</v>
      </c>
      <c r="I38" s="7">
        <f>SUM('Num of Sales'!E30:AG30)</f>
        <v>0</v>
      </c>
      <c r="J38" s="7">
        <f>SUM('Num of Lines'!E30:AG30)</f>
        <v>0</v>
      </c>
      <c r="K38" s="7">
        <f>SUM('Staff Hours'!E30:AG30)</f>
        <v>0</v>
      </c>
      <c r="L38" s="146" t="str">
        <f>IF(Friedman!G27=0,"",Friedman!G27)</f>
        <v/>
      </c>
      <c r="M38" s="263" t="str">
        <f t="shared" si="0"/>
        <v/>
      </c>
      <c r="O38" s="31" t="str">
        <f t="shared" si="1"/>
        <v/>
      </c>
      <c r="P38" s="274" t="str">
        <f t="shared" si="2"/>
        <v/>
      </c>
      <c r="Q38" s="31" t="str">
        <f t="shared" si="3"/>
        <v/>
      </c>
      <c r="R38" s="274" t="str">
        <f t="shared" si="4"/>
        <v/>
      </c>
      <c r="T38" s="2">
        <f t="shared" si="5"/>
        <v>0</v>
      </c>
      <c r="IU38" s="10"/>
    </row>
    <row r="39" spans="2:255" s="1" customFormat="1" ht="14.25" customHeight="1">
      <c r="D39" s="2" t="s">
        <v>30</v>
      </c>
      <c r="E39" s="144">
        <f t="shared" si="13"/>
        <v>43945</v>
      </c>
      <c r="F39" s="145"/>
      <c r="G39" s="31">
        <f>SUM('Value of Sales'!E31:AG31)</f>
        <v>0</v>
      </c>
      <c r="H39" s="31">
        <f>IF(E39&gt;$B$5-1,IF(E39&lt;$B$6+1,IF(G39&gt;0,MAX(H$4:H38)+G39,0),0),0)</f>
        <v>0</v>
      </c>
      <c r="I39" s="7">
        <f>SUM('Num of Sales'!E31:AG31)</f>
        <v>0</v>
      </c>
      <c r="J39" s="7">
        <f>SUM('Num of Lines'!E31:AG31)</f>
        <v>0</v>
      </c>
      <c r="K39" s="7">
        <f>SUM('Staff Hours'!E31:AG31)</f>
        <v>0</v>
      </c>
      <c r="L39" s="146" t="str">
        <f>IF(Friedman!G28=0,"",Friedman!G28)</f>
        <v/>
      </c>
      <c r="M39" s="263" t="str">
        <f t="shared" si="0"/>
        <v/>
      </c>
      <c r="O39" s="31" t="str">
        <f t="shared" si="1"/>
        <v/>
      </c>
      <c r="P39" s="274" t="str">
        <f t="shared" si="2"/>
        <v/>
      </c>
      <c r="Q39" s="31" t="str">
        <f t="shared" si="3"/>
        <v/>
      </c>
      <c r="R39" s="274" t="str">
        <f t="shared" si="4"/>
        <v/>
      </c>
      <c r="T39" s="2">
        <f t="shared" si="5"/>
        <v>0</v>
      </c>
      <c r="IU39" s="10"/>
    </row>
    <row r="40" spans="2:255" s="1" customFormat="1" ht="14.25" customHeight="1">
      <c r="D40" s="2" t="s">
        <v>31</v>
      </c>
      <c r="E40" s="144">
        <f t="shared" si="13"/>
        <v>43946</v>
      </c>
      <c r="F40" s="145"/>
      <c r="G40" s="31">
        <f>SUM('Value of Sales'!E32:AG32)</f>
        <v>0</v>
      </c>
      <c r="H40" s="31">
        <f>IF(E40&gt;$B$5-1,IF(E40&lt;$B$6+1,IF(G40&gt;0,MAX(H$4:H39)+G40,0),0),0)</f>
        <v>0</v>
      </c>
      <c r="I40" s="7">
        <f>SUM('Num of Sales'!E32:AG32)</f>
        <v>0</v>
      </c>
      <c r="J40" s="7">
        <f>SUM('Num of Lines'!E32:AG32)</f>
        <v>0</v>
      </c>
      <c r="K40" s="7">
        <f>SUM('Staff Hours'!E32:AG32)</f>
        <v>0</v>
      </c>
      <c r="L40" s="146" t="str">
        <f>IF(Friedman!G29=0,"",Friedman!G29)</f>
        <v/>
      </c>
      <c r="M40" s="263" t="str">
        <f t="shared" si="0"/>
        <v/>
      </c>
      <c r="O40" s="31" t="str">
        <f t="shared" si="1"/>
        <v/>
      </c>
      <c r="P40" s="274" t="str">
        <f t="shared" si="2"/>
        <v/>
      </c>
      <c r="Q40" s="31" t="str">
        <f t="shared" si="3"/>
        <v/>
      </c>
      <c r="R40" s="274" t="str">
        <f t="shared" si="4"/>
        <v/>
      </c>
      <c r="T40" s="2">
        <f t="shared" si="5"/>
        <v>0</v>
      </c>
      <c r="IU40" s="10"/>
    </row>
    <row r="41" spans="2:255" s="1" customFormat="1" ht="14.25" customHeight="1">
      <c r="D41" s="2" t="s">
        <v>32</v>
      </c>
      <c r="E41" s="144">
        <f t="shared" si="13"/>
        <v>43947</v>
      </c>
      <c r="F41" s="145"/>
      <c r="G41" s="265">
        <f>SUM('Value of Sales'!E33:AG33)</f>
        <v>0</v>
      </c>
      <c r="H41" s="265">
        <f>IF(E41&gt;$B$5-1,IF(E41&lt;$B$6+1,IF(G41&gt;0,MAX(H$4:H40)+G41,0),0),0)</f>
        <v>0</v>
      </c>
      <c r="I41" s="266">
        <f>SUM('Num of Sales'!E33:AG33)</f>
        <v>0</v>
      </c>
      <c r="J41" s="266">
        <f>SUM('Num of Lines'!E33:AG33)</f>
        <v>0</v>
      </c>
      <c r="K41" s="266">
        <f>SUM('Staff Hours'!E33:AG33)</f>
        <v>0</v>
      </c>
      <c r="L41" s="147" t="str">
        <f>IF(Friedman!G30=0,"",Friedman!G30)</f>
        <v/>
      </c>
      <c r="M41" s="267" t="str">
        <f t="shared" si="0"/>
        <v/>
      </c>
      <c r="O41" s="31" t="str">
        <f t="shared" si="1"/>
        <v/>
      </c>
      <c r="P41" s="274" t="str">
        <f t="shared" si="2"/>
        <v/>
      </c>
      <c r="Q41" s="31" t="str">
        <f t="shared" si="3"/>
        <v/>
      </c>
      <c r="R41" s="274" t="str">
        <f t="shared" si="4"/>
        <v/>
      </c>
      <c r="T41" s="2">
        <f t="shared" si="5"/>
        <v>0</v>
      </c>
      <c r="IU41" s="10"/>
    </row>
    <row r="42" spans="2:255" s="1" customFormat="1" ht="14.25" customHeight="1">
      <c r="B42" s="145">
        <f>E41</f>
        <v>43947</v>
      </c>
      <c r="D42" s="440" t="s">
        <v>366</v>
      </c>
      <c r="E42" s="261"/>
      <c r="F42" s="145"/>
      <c r="G42" s="442">
        <f>SUM(G35:G41)</f>
        <v>0</v>
      </c>
      <c r="H42" s="264"/>
      <c r="I42" s="313">
        <f>SUM(I35:I41)</f>
        <v>0</v>
      </c>
      <c r="J42" s="313">
        <f>SUM(J35:J41)</f>
        <v>0</v>
      </c>
      <c r="K42" s="313">
        <f>SUM(K35:K41)</f>
        <v>0</v>
      </c>
      <c r="L42" s="313">
        <f>SUM(L35:L41)</f>
        <v>0</v>
      </c>
      <c r="M42" s="314" t="e">
        <f>I42/L42</f>
        <v>#DIV/0!</v>
      </c>
      <c r="O42" s="315" t="e">
        <f>G42/I42</f>
        <v>#DIV/0!</v>
      </c>
      <c r="P42" s="316" t="e">
        <f>I42/K42</f>
        <v>#DIV/0!</v>
      </c>
      <c r="Q42" s="315" t="e">
        <f>G42/K42</f>
        <v>#DIV/0!</v>
      </c>
      <c r="R42" s="316" t="e">
        <f>J42/I42</f>
        <v>#DIV/0!</v>
      </c>
      <c r="T42" s="483"/>
      <c r="IU42" s="10"/>
    </row>
    <row r="43" spans="2:255" s="1" customFormat="1" ht="14.25" customHeight="1">
      <c r="D43" s="438"/>
      <c r="E43" s="144"/>
      <c r="F43" s="145"/>
      <c r="G43" s="441"/>
      <c r="H43" s="451" t="s">
        <v>161</v>
      </c>
      <c r="I43" s="452" t="str">
        <f>IF(G42=0,"",(G42/'Store Details'!K18)-1)</f>
        <v/>
      </c>
      <c r="J43" s="7"/>
      <c r="K43" s="437" t="s">
        <v>162</v>
      </c>
      <c r="L43" s="263" t="str">
        <f>IF(G42=0,"",(G42/'Store Details'!Q18)-1)</f>
        <v/>
      </c>
      <c r="M43" s="263"/>
      <c r="O43" s="31"/>
      <c r="P43" s="274"/>
      <c r="Q43" s="31"/>
      <c r="R43" s="274"/>
      <c r="T43" s="484"/>
      <c r="IU43" s="10"/>
    </row>
    <row r="44" spans="2:255" s="1" customFormat="1" ht="14.25" customHeight="1">
      <c r="D44" s="279" t="s">
        <v>158</v>
      </c>
      <c r="E44" s="262"/>
      <c r="F44" s="145"/>
      <c r="G44" s="275"/>
      <c r="H44" s="302"/>
      <c r="I44" s="276"/>
      <c r="J44" s="277"/>
      <c r="K44" s="301"/>
      <c r="L44" s="276"/>
      <c r="M44" s="278"/>
      <c r="O44" s="302" t="e">
        <f>G44/I42</f>
        <v>#DIV/0!</v>
      </c>
      <c r="P44" s="439"/>
      <c r="Q44" s="302" t="e">
        <f>G44/K42</f>
        <v>#DIV/0!</v>
      </c>
      <c r="R44" s="439"/>
      <c r="T44" s="485"/>
      <c r="IU44" s="10"/>
    </row>
    <row r="45" spans="2:255" s="1" customFormat="1" ht="14.25" customHeight="1">
      <c r="D45" s="2" t="s">
        <v>26</v>
      </c>
      <c r="E45" s="144">
        <f>E41+1</f>
        <v>43948</v>
      </c>
      <c r="F45" s="145"/>
      <c r="G45" s="31">
        <f>SUM('Value of Sales'!E34:AG34)</f>
        <v>0</v>
      </c>
      <c r="H45" s="31">
        <f>IF(E45&gt;$B$5-1,IF(E45&lt;$B$6+1,IF(G45&gt;0,MAX(H$4:H41)+G45,0),0),0)</f>
        <v>0</v>
      </c>
      <c r="I45" s="7">
        <f>SUM('Num of Sales'!E34:AG34)</f>
        <v>0</v>
      </c>
      <c r="J45" s="7">
        <f>SUM('Num of Lines'!E34:AG34)</f>
        <v>0</v>
      </c>
      <c r="K45" s="7">
        <f>SUM('Staff Hours'!E34:AG34)</f>
        <v>0</v>
      </c>
      <c r="L45" s="146" t="str">
        <f>IF(Friedman!G31=0,"",Friedman!G31)</f>
        <v/>
      </c>
      <c r="M45" s="263" t="str">
        <f t="shared" si="0"/>
        <v/>
      </c>
      <c r="O45" s="31" t="str">
        <f t="shared" si="1"/>
        <v/>
      </c>
      <c r="P45" s="274" t="str">
        <f t="shared" si="2"/>
        <v/>
      </c>
      <c r="Q45" s="31" t="str">
        <f t="shared" si="3"/>
        <v/>
      </c>
      <c r="R45" s="274" t="str">
        <f t="shared" si="4"/>
        <v/>
      </c>
      <c r="T45" s="2">
        <f t="shared" si="5"/>
        <v>0</v>
      </c>
      <c r="IU45" s="10"/>
    </row>
    <row r="46" spans="2:255" s="1" customFormat="1" ht="14.25" customHeight="1">
      <c r="D46" s="2" t="s">
        <v>27</v>
      </c>
      <c r="E46" s="144">
        <f t="shared" si="13"/>
        <v>43949</v>
      </c>
      <c r="F46" s="145"/>
      <c r="G46" s="31">
        <f>SUM('Value of Sales'!E35:AG35)</f>
        <v>0</v>
      </c>
      <c r="H46" s="31">
        <f>IF(E46&gt;$B$5-1,IF(E46&lt;$B$6+1,IF(G46&gt;0,MAX(H$4:H45)+G46,0),0),0)</f>
        <v>0</v>
      </c>
      <c r="I46" s="7">
        <f>SUM('Num of Sales'!E35:AG35)</f>
        <v>0</v>
      </c>
      <c r="J46" s="7">
        <f>SUM('Num of Lines'!E35:AG35)</f>
        <v>0</v>
      </c>
      <c r="K46" s="7">
        <f>SUM('Staff Hours'!E35:AG35)</f>
        <v>0</v>
      </c>
      <c r="L46" s="146" t="str">
        <f>IF(Friedman!G32=0,"",Friedman!G32)</f>
        <v/>
      </c>
      <c r="M46" s="263" t="str">
        <f t="shared" si="0"/>
        <v/>
      </c>
      <c r="O46" s="31" t="str">
        <f t="shared" si="1"/>
        <v/>
      </c>
      <c r="P46" s="274" t="str">
        <f t="shared" si="2"/>
        <v/>
      </c>
      <c r="Q46" s="31" t="str">
        <f t="shared" si="3"/>
        <v/>
      </c>
      <c r="R46" s="274" t="str">
        <f t="shared" si="4"/>
        <v/>
      </c>
      <c r="T46" s="2">
        <f t="shared" si="5"/>
        <v>0</v>
      </c>
      <c r="IU46" s="10"/>
    </row>
    <row r="47" spans="2:255" s="1" customFormat="1" ht="14.25" customHeight="1">
      <c r="D47" s="2" t="s">
        <v>28</v>
      </c>
      <c r="E47" s="144">
        <f t="shared" si="13"/>
        <v>43950</v>
      </c>
      <c r="F47" s="145"/>
      <c r="G47" s="31">
        <f>SUM('Value of Sales'!E36:AG36)</f>
        <v>0</v>
      </c>
      <c r="H47" s="31">
        <f>IF(E47&gt;$B$5-1,IF(E47&lt;$B$6+1,IF(G47&gt;0,MAX(H$4:H46)+G47,0),0),0)</f>
        <v>0</v>
      </c>
      <c r="I47" s="7">
        <f>SUM('Num of Sales'!E36:AG36)</f>
        <v>0</v>
      </c>
      <c r="J47" s="7">
        <f>SUM('Num of Lines'!E36:AG36)</f>
        <v>0</v>
      </c>
      <c r="K47" s="7">
        <f>SUM('Staff Hours'!E36:AG36)</f>
        <v>0</v>
      </c>
      <c r="L47" s="146" t="str">
        <f>IF(Friedman!G33=0,"",Friedman!G33)</f>
        <v/>
      </c>
      <c r="M47" s="263" t="str">
        <f t="shared" si="0"/>
        <v/>
      </c>
      <c r="O47" s="31" t="str">
        <f t="shared" si="1"/>
        <v/>
      </c>
      <c r="P47" s="274" t="str">
        <f t="shared" si="2"/>
        <v/>
      </c>
      <c r="Q47" s="31" t="str">
        <f t="shared" si="3"/>
        <v/>
      </c>
      <c r="R47" s="274" t="str">
        <f t="shared" si="4"/>
        <v/>
      </c>
      <c r="T47" s="2">
        <f t="shared" si="5"/>
        <v>0</v>
      </c>
      <c r="IU47" s="10"/>
    </row>
    <row r="48" spans="2:255" s="1" customFormat="1" ht="14.25" customHeight="1">
      <c r="D48" s="2" t="s">
        <v>29</v>
      </c>
      <c r="E48" s="144">
        <f t="shared" si="13"/>
        <v>43951</v>
      </c>
      <c r="F48" s="145"/>
      <c r="G48" s="31">
        <f>SUM('Value of Sales'!E37:AG37)</f>
        <v>0</v>
      </c>
      <c r="H48" s="31">
        <f>IF(E48&gt;$B$5-1,IF(E48&lt;$B$6+1,IF(G48&gt;0,MAX(H$4:H47)+G48,0),0),0)</f>
        <v>0</v>
      </c>
      <c r="I48" s="7">
        <f>SUM('Num of Sales'!E37:AG37)</f>
        <v>0</v>
      </c>
      <c r="J48" s="7">
        <f>SUM('Num of Lines'!E37:AG37)</f>
        <v>0</v>
      </c>
      <c r="K48" s="7">
        <f>SUM('Staff Hours'!E37:AG37)</f>
        <v>0</v>
      </c>
      <c r="L48" s="146" t="str">
        <f>IF(Friedman!G34=0,"",Friedman!G34)</f>
        <v/>
      </c>
      <c r="M48" s="263" t="str">
        <f t="shared" si="0"/>
        <v/>
      </c>
      <c r="O48" s="31" t="str">
        <f t="shared" si="1"/>
        <v/>
      </c>
      <c r="P48" s="274" t="str">
        <f t="shared" si="2"/>
        <v/>
      </c>
      <c r="Q48" s="31" t="str">
        <f t="shared" si="3"/>
        <v/>
      </c>
      <c r="R48" s="274" t="str">
        <f t="shared" si="4"/>
        <v/>
      </c>
      <c r="T48" s="2">
        <f t="shared" si="5"/>
        <v>0</v>
      </c>
      <c r="IU48" s="10"/>
    </row>
    <row r="49" spans="2:255" s="1" customFormat="1" ht="14.25" customHeight="1">
      <c r="D49" s="2" t="s">
        <v>30</v>
      </c>
      <c r="E49" s="144">
        <f t="shared" si="13"/>
        <v>43952</v>
      </c>
      <c r="F49" s="145"/>
      <c r="G49" s="31">
        <f>SUM('Value of Sales'!E38:AG38)</f>
        <v>0</v>
      </c>
      <c r="H49" s="31">
        <f>IF(E49&gt;$B$5-1,IF(E49&lt;$B$6+1,IF(G49&gt;0,MAX(H$4:H48)+G49,0),0),0)</f>
        <v>0</v>
      </c>
      <c r="I49" s="7">
        <f>SUM('Num of Sales'!E38:AG38)</f>
        <v>0</v>
      </c>
      <c r="J49" s="7">
        <f>SUM('Num of Lines'!E38:AG38)</f>
        <v>0</v>
      </c>
      <c r="K49" s="7">
        <f>SUM('Staff Hours'!E38:AG38)</f>
        <v>0</v>
      </c>
      <c r="L49" s="146" t="str">
        <f>IF(Friedman!G35=0,"",Friedman!G35)</f>
        <v/>
      </c>
      <c r="M49" s="263" t="str">
        <f t="shared" si="0"/>
        <v/>
      </c>
      <c r="O49" s="31" t="str">
        <f t="shared" si="1"/>
        <v/>
      </c>
      <c r="P49" s="274" t="str">
        <f t="shared" si="2"/>
        <v/>
      </c>
      <c r="Q49" s="31" t="str">
        <f t="shared" si="3"/>
        <v/>
      </c>
      <c r="R49" s="274" t="str">
        <f t="shared" si="4"/>
        <v/>
      </c>
      <c r="T49" s="2">
        <f t="shared" si="5"/>
        <v>0</v>
      </c>
      <c r="IU49" s="10"/>
    </row>
    <row r="50" spans="2:255" s="1" customFormat="1" ht="14.25" customHeight="1">
      <c r="D50" s="2" t="s">
        <v>31</v>
      </c>
      <c r="E50" s="144">
        <f t="shared" si="13"/>
        <v>43953</v>
      </c>
      <c r="F50" s="145"/>
      <c r="G50" s="31">
        <f>SUM('Value of Sales'!E39:AG39)</f>
        <v>0</v>
      </c>
      <c r="H50" s="31">
        <f>IF(E50&gt;$B$5-1,IF(E50&lt;$B$6+1,IF(G50&gt;0,MAX(H$4:H49)+G50,0),0),0)</f>
        <v>0</v>
      </c>
      <c r="I50" s="7">
        <f>SUM('Num of Sales'!E39:AG39)</f>
        <v>0</v>
      </c>
      <c r="J50" s="7">
        <f>SUM('Num of Lines'!E39:AG39)</f>
        <v>0</v>
      </c>
      <c r="K50" s="7">
        <f>SUM('Staff Hours'!E39:AG39)</f>
        <v>0</v>
      </c>
      <c r="L50" s="146" t="str">
        <f>IF(Friedman!G36=0,"",Friedman!G36)</f>
        <v/>
      </c>
      <c r="M50" s="263" t="str">
        <f t="shared" si="0"/>
        <v/>
      </c>
      <c r="O50" s="31" t="str">
        <f t="shared" si="1"/>
        <v/>
      </c>
      <c r="P50" s="274" t="str">
        <f t="shared" si="2"/>
        <v/>
      </c>
      <c r="Q50" s="31" t="str">
        <f t="shared" si="3"/>
        <v/>
      </c>
      <c r="R50" s="274" t="str">
        <f t="shared" si="4"/>
        <v/>
      </c>
      <c r="T50" s="2">
        <f t="shared" si="5"/>
        <v>0</v>
      </c>
      <c r="IU50" s="10"/>
    </row>
    <row r="51" spans="2:255" s="1" customFormat="1" ht="14.25" customHeight="1">
      <c r="D51" s="2" t="s">
        <v>32</v>
      </c>
      <c r="E51" s="144">
        <f t="shared" si="13"/>
        <v>43954</v>
      </c>
      <c r="F51" s="145"/>
      <c r="G51" s="31">
        <f>SUM('Value of Sales'!E40:AG40)</f>
        <v>0</v>
      </c>
      <c r="H51" s="31">
        <f>IF(E51&gt;$B$5-1,IF(E51&lt;$B$6+1,IF(G51&gt;0,MAX(H$4:H50)+G51,0),0),0)</f>
        <v>0</v>
      </c>
      <c r="I51" s="7">
        <f>SUM('Num of Sales'!E40:AG40)</f>
        <v>0</v>
      </c>
      <c r="J51" s="7">
        <f>SUM('Num of Lines'!E40:AG40)</f>
        <v>0</v>
      </c>
      <c r="K51" s="7">
        <f>SUM('Staff Hours'!E40:AG40)</f>
        <v>0</v>
      </c>
      <c r="L51" s="146" t="str">
        <f>IF(Friedman!G37=0,"",Friedman!G37)</f>
        <v/>
      </c>
      <c r="M51" s="263" t="str">
        <f t="shared" si="0"/>
        <v/>
      </c>
      <c r="O51" s="31" t="str">
        <f t="shared" si="1"/>
        <v/>
      </c>
      <c r="P51" s="274" t="str">
        <f t="shared" si="2"/>
        <v/>
      </c>
      <c r="Q51" s="31" t="str">
        <f t="shared" si="3"/>
        <v/>
      </c>
      <c r="R51" s="274" t="str">
        <f t="shared" si="4"/>
        <v/>
      </c>
      <c r="T51" s="2">
        <f t="shared" si="5"/>
        <v>0</v>
      </c>
      <c r="IU51" s="10"/>
    </row>
    <row r="52" spans="2:255" s="1" customFormat="1" ht="14.25" customHeight="1">
      <c r="B52" s="145">
        <f>E51</f>
        <v>43954</v>
      </c>
      <c r="D52" s="440" t="s">
        <v>367</v>
      </c>
      <c r="E52" s="261"/>
      <c r="F52" s="145"/>
      <c r="G52" s="442">
        <f>SUM(G45:G51)</f>
        <v>0</v>
      </c>
      <c r="H52" s="264"/>
      <c r="I52" s="313">
        <f>SUM(I45:I51)</f>
        <v>0</v>
      </c>
      <c r="J52" s="313">
        <f>SUM(J45:J51)</f>
        <v>0</v>
      </c>
      <c r="K52" s="313">
        <f>SUM(K45:K51)</f>
        <v>0</v>
      </c>
      <c r="L52" s="313">
        <f>SUM(L45:L51)</f>
        <v>0</v>
      </c>
      <c r="M52" s="314" t="e">
        <f>I52/L52</f>
        <v>#DIV/0!</v>
      </c>
      <c r="O52" s="315" t="e">
        <f>G52/I52</f>
        <v>#DIV/0!</v>
      </c>
      <c r="P52" s="316" t="e">
        <f>I52/K52</f>
        <v>#DIV/0!</v>
      </c>
      <c r="Q52" s="315" t="e">
        <f>G52/K52</f>
        <v>#DIV/0!</v>
      </c>
      <c r="R52" s="316" t="e">
        <f>J52/I52</f>
        <v>#DIV/0!</v>
      </c>
      <c r="T52" s="483"/>
      <c r="IU52" s="10"/>
    </row>
    <row r="53" spans="2:255" s="1" customFormat="1" ht="14.25" customHeight="1">
      <c r="D53" s="438"/>
      <c r="E53" s="144"/>
      <c r="F53" s="145"/>
      <c r="G53" s="441"/>
      <c r="H53" s="451" t="s">
        <v>161</v>
      </c>
      <c r="I53" s="452" t="str">
        <f>IF(G52=0,"",(G52/'Store Details'!K19)-1)</f>
        <v/>
      </c>
      <c r="J53" s="7"/>
      <c r="K53" s="437" t="s">
        <v>162</v>
      </c>
      <c r="L53" s="263" t="str">
        <f>IF(G52=0,"",(G52/'Store Details'!Q19)-1)</f>
        <v/>
      </c>
      <c r="M53" s="263"/>
      <c r="O53" s="31"/>
      <c r="P53" s="274"/>
      <c r="Q53" s="31"/>
      <c r="R53" s="274"/>
      <c r="T53" s="484"/>
      <c r="IU53" s="10"/>
    </row>
    <row r="54" spans="2:255" s="1" customFormat="1" ht="14.25" customHeight="1">
      <c r="D54" s="279" t="s">
        <v>159</v>
      </c>
      <c r="E54" s="262"/>
      <c r="F54" s="145"/>
      <c r="G54" s="275"/>
      <c r="H54" s="302"/>
      <c r="I54" s="276"/>
      <c r="J54" s="277"/>
      <c r="K54" s="301"/>
      <c r="L54" s="276"/>
      <c r="M54" s="278"/>
      <c r="O54" s="302" t="e">
        <f>G54/I52</f>
        <v>#DIV/0!</v>
      </c>
      <c r="P54" s="439"/>
      <c r="Q54" s="302" t="e">
        <f>G54/K52</f>
        <v>#DIV/0!</v>
      </c>
      <c r="R54" s="439"/>
      <c r="T54" s="485"/>
      <c r="IU54" s="10"/>
    </row>
    <row r="55" spans="2:255" s="1" customFormat="1" ht="14.25" customHeight="1">
      <c r="D55" s="2" t="s">
        <v>26</v>
      </c>
      <c r="E55" s="144">
        <f>E51+1</f>
        <v>43955</v>
      </c>
      <c r="F55" s="145"/>
      <c r="G55" s="31">
        <f>SUM('Value of Sales'!E41:AG41)</f>
        <v>0</v>
      </c>
      <c r="H55" s="31">
        <f>IF(E55&gt;$B$5-1,IF(E55&lt;$B$6+1,IF(G55&gt;0,MAX(H$4:H51)+G55,0),0),0)</f>
        <v>0</v>
      </c>
      <c r="I55" s="7">
        <f>SUM('Num of Sales'!E41:AG41)</f>
        <v>0</v>
      </c>
      <c r="J55" s="7">
        <f>SUM('Num of Lines'!E41:AG41)</f>
        <v>0</v>
      </c>
      <c r="K55" s="7">
        <f>SUM('Staff Hours'!E41:AG41)</f>
        <v>0</v>
      </c>
      <c r="L55" s="146" t="str">
        <f>IF(Friedman!G38=0,"",Friedman!G38)</f>
        <v/>
      </c>
      <c r="M55" s="263" t="str">
        <f t="shared" si="0"/>
        <v/>
      </c>
      <c r="O55" s="31" t="str">
        <f t="shared" si="1"/>
        <v/>
      </c>
      <c r="P55" s="274" t="str">
        <f t="shared" si="2"/>
        <v/>
      </c>
      <c r="Q55" s="31" t="str">
        <f t="shared" si="3"/>
        <v/>
      </c>
      <c r="R55" s="274" t="str">
        <f t="shared" si="4"/>
        <v/>
      </c>
      <c r="T55" s="2">
        <f t="shared" si="5"/>
        <v>0</v>
      </c>
      <c r="IU55" s="10"/>
    </row>
    <row r="56" spans="2:255" s="1" customFormat="1" ht="14.25" customHeight="1">
      <c r="D56" s="2" t="s">
        <v>27</v>
      </c>
      <c r="E56" s="144">
        <f t="shared" si="13"/>
        <v>43956</v>
      </c>
      <c r="F56" s="145"/>
      <c r="G56" s="31">
        <f>SUM('Value of Sales'!E42:AG42)</f>
        <v>0</v>
      </c>
      <c r="H56" s="31">
        <f>IF(E56&gt;$B$5-1,IF(E56&lt;$B$6+1,IF(G56&gt;0,MAX(H$4:H55)+G56,0),0),0)</f>
        <v>0</v>
      </c>
      <c r="I56" s="7">
        <f>SUM('Num of Sales'!E42:AG42)</f>
        <v>0</v>
      </c>
      <c r="J56" s="7">
        <f>SUM('Num of Lines'!E42:AG42)</f>
        <v>0</v>
      </c>
      <c r="K56" s="7">
        <f>SUM('Staff Hours'!E42:AG42)</f>
        <v>0</v>
      </c>
      <c r="L56" s="146" t="str">
        <f>IF(Friedman!G39=0,"",Friedman!G39)</f>
        <v/>
      </c>
      <c r="M56" s="263" t="str">
        <f t="shared" si="0"/>
        <v/>
      </c>
      <c r="O56" s="31" t="str">
        <f t="shared" si="1"/>
        <v/>
      </c>
      <c r="P56" s="274" t="str">
        <f t="shared" si="2"/>
        <v/>
      </c>
      <c r="Q56" s="31" t="str">
        <f t="shared" si="3"/>
        <v/>
      </c>
      <c r="R56" s="274" t="str">
        <f t="shared" si="4"/>
        <v/>
      </c>
      <c r="T56" s="2">
        <f t="shared" si="5"/>
        <v>0</v>
      </c>
      <c r="IU56" s="10"/>
    </row>
    <row r="57" spans="2:255" s="1" customFormat="1" ht="14.25" customHeight="1">
      <c r="D57" s="2" t="s">
        <v>28</v>
      </c>
      <c r="E57" s="144">
        <f t="shared" si="13"/>
        <v>43957</v>
      </c>
      <c r="F57" s="145"/>
      <c r="G57" s="31">
        <f>SUM('Value of Sales'!E43:AG43)</f>
        <v>0</v>
      </c>
      <c r="H57" s="31">
        <f>IF(E57&gt;$B$5-1,IF(E57&lt;$B$6+1,IF(G57&gt;0,MAX(H$4:H56)+G57,0),0),0)</f>
        <v>0</v>
      </c>
      <c r="I57" s="7">
        <f>SUM('Num of Sales'!E43:AG43)</f>
        <v>0</v>
      </c>
      <c r="J57" s="7">
        <f>SUM('Num of Lines'!E43:AG43)</f>
        <v>0</v>
      </c>
      <c r="K57" s="7">
        <f>SUM('Staff Hours'!E43:AG43)</f>
        <v>0</v>
      </c>
      <c r="L57" s="146" t="str">
        <f>IF(Friedman!G40=0,"",Friedman!G40)</f>
        <v/>
      </c>
      <c r="M57" s="263" t="str">
        <f t="shared" si="0"/>
        <v/>
      </c>
      <c r="O57" s="31" t="str">
        <f t="shared" si="1"/>
        <v/>
      </c>
      <c r="P57" s="274" t="str">
        <f t="shared" si="2"/>
        <v/>
      </c>
      <c r="Q57" s="31" t="str">
        <f t="shared" si="3"/>
        <v/>
      </c>
      <c r="R57" s="274" t="str">
        <f t="shared" si="4"/>
        <v/>
      </c>
      <c r="T57" s="2">
        <f t="shared" si="5"/>
        <v>0</v>
      </c>
      <c r="IU57" s="10"/>
    </row>
    <row r="58" spans="2:255" s="1" customFormat="1" ht="14.25" customHeight="1">
      <c r="D58" s="2" t="s">
        <v>29</v>
      </c>
      <c r="E58" s="144">
        <f t="shared" si="13"/>
        <v>43958</v>
      </c>
      <c r="F58" s="145"/>
      <c r="G58" s="31">
        <f>SUM('Value of Sales'!E44:AG44)</f>
        <v>0</v>
      </c>
      <c r="H58" s="31">
        <f>IF(E58&gt;$B$5-1,IF(E58&lt;$B$6+1,IF(G58&gt;0,MAX(H$4:H57)+G58,0),0),0)</f>
        <v>0</v>
      </c>
      <c r="I58" s="7">
        <f>SUM('Num of Sales'!E44:AG44)</f>
        <v>0</v>
      </c>
      <c r="J58" s="7">
        <f>SUM('Num of Lines'!E44:AG44)</f>
        <v>0</v>
      </c>
      <c r="K58" s="7">
        <f>SUM('Staff Hours'!E44:AG44)</f>
        <v>0</v>
      </c>
      <c r="L58" s="146" t="str">
        <f>IF(Friedman!G41=0,"",Friedman!G41)</f>
        <v/>
      </c>
      <c r="M58" s="263" t="str">
        <f t="shared" si="0"/>
        <v/>
      </c>
      <c r="O58" s="31" t="str">
        <f t="shared" si="1"/>
        <v/>
      </c>
      <c r="P58" s="274" t="str">
        <f t="shared" si="2"/>
        <v/>
      </c>
      <c r="Q58" s="31" t="str">
        <f t="shared" si="3"/>
        <v/>
      </c>
      <c r="R58" s="274" t="str">
        <f t="shared" si="4"/>
        <v/>
      </c>
      <c r="T58" s="2">
        <f t="shared" si="5"/>
        <v>0</v>
      </c>
      <c r="IU58" s="10"/>
    </row>
    <row r="59" spans="2:255" s="1" customFormat="1" ht="14.25" customHeight="1">
      <c r="D59" s="2" t="s">
        <v>30</v>
      </c>
      <c r="E59" s="144">
        <f t="shared" si="13"/>
        <v>43959</v>
      </c>
      <c r="F59" s="145"/>
      <c r="G59" s="31">
        <f>SUM('Value of Sales'!E45:AG45)</f>
        <v>0</v>
      </c>
      <c r="H59" s="31">
        <f>IF(E59&gt;$B$5-1,IF(E59&lt;$B$6+1,IF(G59&gt;0,MAX(H$4:H58)+G59,0),0),0)</f>
        <v>0</v>
      </c>
      <c r="I59" s="7">
        <f>SUM('Num of Sales'!E45:AG45)</f>
        <v>0</v>
      </c>
      <c r="J59" s="7">
        <f>SUM('Num of Lines'!E45:AG45)</f>
        <v>0</v>
      </c>
      <c r="K59" s="7">
        <f>SUM('Staff Hours'!E45:AG45)</f>
        <v>0</v>
      </c>
      <c r="L59" s="146" t="str">
        <f>IF(Friedman!G42=0,"",Friedman!G42)</f>
        <v/>
      </c>
      <c r="M59" s="263" t="str">
        <f t="shared" si="0"/>
        <v/>
      </c>
      <c r="O59" s="31" t="str">
        <f t="shared" si="1"/>
        <v/>
      </c>
      <c r="P59" s="274" t="str">
        <f t="shared" si="2"/>
        <v/>
      </c>
      <c r="Q59" s="31" t="str">
        <f t="shared" si="3"/>
        <v/>
      </c>
      <c r="R59" s="274" t="str">
        <f t="shared" si="4"/>
        <v/>
      </c>
      <c r="T59" s="2">
        <f t="shared" si="5"/>
        <v>0</v>
      </c>
      <c r="IU59" s="10"/>
    </row>
    <row r="60" spans="2:255" s="1" customFormat="1" ht="14.25" customHeight="1">
      <c r="D60" s="2" t="s">
        <v>31</v>
      </c>
      <c r="E60" s="144">
        <f t="shared" si="13"/>
        <v>43960</v>
      </c>
      <c r="F60" s="145"/>
      <c r="G60" s="31">
        <f>SUM('Value of Sales'!E46:AG46)</f>
        <v>0</v>
      </c>
      <c r="H60" s="31">
        <f>IF(E60&gt;$B$5-1,IF(E60&lt;$B$6+1,IF(G60&gt;0,MAX(H$4:H59)+G60,0),0),0)</f>
        <v>0</v>
      </c>
      <c r="I60" s="7">
        <f>SUM('Num of Sales'!E46:AG46)</f>
        <v>0</v>
      </c>
      <c r="J60" s="7">
        <f>SUM('Num of Lines'!E46:AG46)</f>
        <v>0</v>
      </c>
      <c r="K60" s="7">
        <f>SUM('Staff Hours'!E46:AG46)</f>
        <v>0</v>
      </c>
      <c r="L60" s="146" t="str">
        <f>IF(Friedman!G43=0,"",Friedman!G43)</f>
        <v/>
      </c>
      <c r="M60" s="263" t="str">
        <f t="shared" si="0"/>
        <v/>
      </c>
      <c r="O60" s="31" t="str">
        <f t="shared" si="1"/>
        <v/>
      </c>
      <c r="P60" s="274" t="str">
        <f t="shared" si="2"/>
        <v/>
      </c>
      <c r="Q60" s="31" t="str">
        <f t="shared" si="3"/>
        <v/>
      </c>
      <c r="R60" s="274" t="str">
        <f t="shared" si="4"/>
        <v/>
      </c>
      <c r="T60" s="2">
        <f t="shared" si="5"/>
        <v>0</v>
      </c>
      <c r="IU60" s="10"/>
    </row>
    <row r="61" spans="2:255" s="1" customFormat="1" ht="14.25" customHeight="1">
      <c r="D61" s="2" t="s">
        <v>32</v>
      </c>
      <c r="E61" s="144">
        <f t="shared" si="13"/>
        <v>43961</v>
      </c>
      <c r="F61" s="145"/>
      <c r="G61" s="31">
        <f>SUM('Value of Sales'!E47:AG47)</f>
        <v>0</v>
      </c>
      <c r="H61" s="31">
        <f>IF(E61&gt;$B$5-1,IF(E61&lt;$B$6+1,IF(G61&gt;0,MAX(H$4:H60)+G61,0),0),0)</f>
        <v>0</v>
      </c>
      <c r="I61" s="7">
        <f>SUM('Num of Sales'!E47:AG47)</f>
        <v>0</v>
      </c>
      <c r="J61" s="7">
        <f>SUM('Num of Lines'!E47:AG47)</f>
        <v>0</v>
      </c>
      <c r="K61" s="7">
        <f>SUM('Staff Hours'!E47:AG47)</f>
        <v>0</v>
      </c>
      <c r="L61" s="146" t="str">
        <f>IF(Friedman!G44=0,"",Friedman!G44)</f>
        <v/>
      </c>
      <c r="M61" s="263" t="str">
        <f t="shared" si="0"/>
        <v/>
      </c>
      <c r="O61" s="31" t="str">
        <f t="shared" si="1"/>
        <v/>
      </c>
      <c r="P61" s="274" t="str">
        <f t="shared" si="2"/>
        <v/>
      </c>
      <c r="Q61" s="31" t="str">
        <f t="shared" si="3"/>
        <v/>
      </c>
      <c r="R61" s="274" t="str">
        <f t="shared" si="4"/>
        <v/>
      </c>
      <c r="T61" s="2">
        <f t="shared" si="5"/>
        <v>0</v>
      </c>
      <c r="IU61" s="10"/>
    </row>
    <row r="62" spans="2:255" s="1" customFormat="1" ht="14.25" customHeight="1">
      <c r="G62" s="142"/>
      <c r="H62" s="142"/>
      <c r="IU62" s="10"/>
    </row>
    <row r="63" spans="2:255" s="1" customFormat="1" ht="14.25" customHeight="1">
      <c r="G63" s="142"/>
      <c r="H63" s="142"/>
      <c r="IU63" s="10"/>
    </row>
    <row r="64" spans="2:255" s="1" customFormat="1" ht="14.25" customHeight="1">
      <c r="G64" s="142"/>
      <c r="H64" s="142"/>
      <c r="IU64" s="10"/>
    </row>
    <row r="65" spans="7:255" s="1" customFormat="1" ht="14.25" customHeight="1">
      <c r="G65" s="142"/>
      <c r="H65" s="142"/>
      <c r="IU65" s="10"/>
    </row>
    <row r="66" spans="7:255" s="1" customFormat="1" ht="14.25" customHeight="1">
      <c r="G66" s="142"/>
      <c r="H66" s="142"/>
      <c r="IU66" s="10"/>
    </row>
    <row r="67" spans="7:255" s="1" customFormat="1" ht="14.25" customHeight="1">
      <c r="G67" s="142"/>
      <c r="H67" s="142"/>
      <c r="IU67" s="10"/>
    </row>
    <row r="68" spans="7:255" s="1" customFormat="1" ht="14.25" customHeight="1">
      <c r="G68" s="142"/>
      <c r="H68" s="142"/>
      <c r="IU68" s="10"/>
    </row>
    <row r="69" spans="7:255" s="1" customFormat="1" ht="14.25" customHeight="1">
      <c r="G69" s="142"/>
      <c r="H69" s="142"/>
      <c r="IU69" s="10"/>
    </row>
    <row r="70" spans="7:255" s="1" customFormat="1" ht="14.25" customHeight="1">
      <c r="G70" s="142"/>
      <c r="H70" s="142"/>
      <c r="IU70" s="10"/>
    </row>
    <row r="71" spans="7:255" s="1" customFormat="1" ht="14.25" customHeight="1">
      <c r="G71" s="142"/>
      <c r="H71" s="142"/>
      <c r="IU71" s="10"/>
    </row>
    <row r="72" spans="7:255" s="1" customFormat="1" ht="14.25" customHeight="1">
      <c r="G72" s="142"/>
      <c r="H72" s="142"/>
      <c r="IU72" s="10"/>
    </row>
    <row r="73" spans="7:255" s="1" customFormat="1" ht="14.25" customHeight="1">
      <c r="G73" s="142"/>
      <c r="H73" s="142"/>
      <c r="IU73" s="10"/>
    </row>
    <row r="74" spans="7:255" s="1" customFormat="1" ht="14.25" customHeight="1">
      <c r="G74" s="142"/>
      <c r="H74" s="142"/>
      <c r="IU74" s="10"/>
    </row>
    <row r="75" spans="7:255" s="1" customFormat="1" ht="14.25" customHeight="1">
      <c r="G75" s="142"/>
      <c r="H75" s="142"/>
      <c r="IU75" s="10"/>
    </row>
    <row r="76" spans="7:255" s="1" customFormat="1" ht="14.25" customHeight="1">
      <c r="G76" s="142"/>
      <c r="H76" s="142"/>
      <c r="IU76" s="10"/>
    </row>
    <row r="77" spans="7:255" s="1" customFormat="1" ht="14.25" customHeight="1">
      <c r="G77" s="142"/>
      <c r="H77" s="142"/>
      <c r="IU77" s="10"/>
    </row>
    <row r="78" spans="7:255" s="1" customFormat="1" ht="14.25" customHeight="1">
      <c r="G78" s="142"/>
      <c r="H78" s="142"/>
      <c r="IU78" s="10"/>
    </row>
    <row r="79" spans="7:255" s="1" customFormat="1" ht="14.25" customHeight="1">
      <c r="G79" s="142"/>
      <c r="H79" s="142"/>
      <c r="IU79" s="10"/>
    </row>
    <row r="80" spans="7:255" s="1" customFormat="1" ht="14.25" customHeight="1">
      <c r="G80" s="142"/>
      <c r="H80" s="142"/>
      <c r="IU80" s="10"/>
    </row>
    <row r="81" spans="7:255" s="1" customFormat="1" ht="14.25" customHeight="1">
      <c r="G81" s="142"/>
      <c r="H81" s="142"/>
      <c r="IU81" s="10"/>
    </row>
    <row r="82" spans="7:255" s="1" customFormat="1" ht="14.25" customHeight="1">
      <c r="G82" s="142"/>
      <c r="H82" s="142"/>
      <c r="IU82" s="10"/>
    </row>
    <row r="83" spans="7:255" s="1" customFormat="1" ht="14.25" customHeight="1">
      <c r="G83" s="142"/>
      <c r="H83" s="142"/>
      <c r="IU83" s="10"/>
    </row>
    <row r="84" spans="7:255" s="1" customFormat="1" ht="14.25" customHeight="1">
      <c r="G84" s="142"/>
      <c r="H84" s="142"/>
      <c r="IU84" s="10"/>
    </row>
    <row r="85" spans="7:255" s="1" customFormat="1" ht="14.25" customHeight="1">
      <c r="G85" s="142"/>
      <c r="H85" s="142"/>
      <c r="IU85" s="10"/>
    </row>
    <row r="86" spans="7:255" s="1" customFormat="1" ht="14.25" customHeight="1">
      <c r="G86" s="142"/>
      <c r="H86" s="142"/>
      <c r="IU86" s="10"/>
    </row>
    <row r="87" spans="7:255" s="1" customFormat="1" ht="14.25" customHeight="1">
      <c r="G87" s="142"/>
      <c r="H87" s="142"/>
      <c r="IU87" s="10"/>
    </row>
    <row r="88" spans="7:255" s="1" customFormat="1" ht="14.25" customHeight="1">
      <c r="G88" s="142"/>
      <c r="H88" s="142"/>
      <c r="IU88" s="10"/>
    </row>
    <row r="89" spans="7:255" s="1" customFormat="1" ht="14.25" customHeight="1">
      <c r="G89" s="142"/>
      <c r="H89" s="142"/>
      <c r="IU89" s="10"/>
    </row>
    <row r="90" spans="7:255" s="1" customFormat="1" ht="14.25" customHeight="1">
      <c r="G90" s="142"/>
      <c r="H90" s="142"/>
      <c r="IU90" s="10"/>
    </row>
    <row r="91" spans="7:255" s="1" customFormat="1" ht="14.25" customHeight="1">
      <c r="G91" s="142"/>
      <c r="H91" s="142"/>
      <c r="IU91" s="10"/>
    </row>
    <row r="92" spans="7:255" s="1" customFormat="1" ht="14.25" customHeight="1">
      <c r="G92" s="142"/>
      <c r="H92" s="142"/>
      <c r="IU92" s="10"/>
    </row>
    <row r="93" spans="7:255" s="1" customFormat="1" ht="14.25" customHeight="1">
      <c r="G93" s="142"/>
      <c r="H93" s="142"/>
      <c r="IU93" s="10"/>
    </row>
    <row r="94" spans="7:255" s="1" customFormat="1" ht="14.25" customHeight="1">
      <c r="G94" s="142"/>
      <c r="H94" s="142"/>
      <c r="IU94" s="10"/>
    </row>
    <row r="95" spans="7:255" s="1" customFormat="1" ht="14.25" customHeight="1">
      <c r="G95" s="142"/>
      <c r="H95" s="142"/>
      <c r="IU95" s="10"/>
    </row>
    <row r="96" spans="7:255" s="1" customFormat="1" ht="14.25" customHeight="1">
      <c r="G96" s="142"/>
      <c r="H96" s="142"/>
      <c r="IU96" s="10"/>
    </row>
    <row r="97" spans="7:255" s="1" customFormat="1" ht="14.25" customHeight="1">
      <c r="G97" s="142"/>
      <c r="H97" s="142"/>
      <c r="IU97" s="10"/>
    </row>
    <row r="98" spans="7:255" s="1" customFormat="1" ht="14.25" customHeight="1">
      <c r="G98" s="142"/>
      <c r="H98" s="142"/>
      <c r="IU98" s="10"/>
    </row>
    <row r="99" spans="7:255" s="1" customFormat="1" ht="14.25" customHeight="1">
      <c r="G99" s="142"/>
      <c r="H99" s="142"/>
      <c r="IU99" s="10"/>
    </row>
    <row r="100" spans="7:255" s="1" customFormat="1" ht="14.25" customHeight="1">
      <c r="G100" s="142"/>
      <c r="H100" s="142"/>
      <c r="IU100" s="10"/>
    </row>
    <row r="101" spans="7:255" s="1" customFormat="1" ht="14.25" customHeight="1">
      <c r="G101" s="142"/>
      <c r="H101" s="142"/>
      <c r="IU101" s="10"/>
    </row>
    <row r="102" spans="7:255" s="1" customFormat="1" ht="14.25" customHeight="1">
      <c r="G102" s="142"/>
      <c r="H102" s="142"/>
      <c r="IU102" s="10"/>
    </row>
    <row r="103" spans="7:255" s="1" customFormat="1" ht="14.25" customHeight="1">
      <c r="G103" s="142"/>
      <c r="H103" s="142"/>
      <c r="IU103" s="10"/>
    </row>
    <row r="104" spans="7:255" s="1" customFormat="1" ht="14.25" customHeight="1">
      <c r="G104" s="142"/>
      <c r="H104" s="142"/>
      <c r="IU104" s="10"/>
    </row>
    <row r="105" spans="7:255" s="1" customFormat="1" ht="14.25" customHeight="1">
      <c r="G105" s="142"/>
      <c r="H105" s="142"/>
      <c r="IU105" s="10"/>
    </row>
    <row r="106" spans="7:255" s="1" customFormat="1" ht="14.25" customHeight="1">
      <c r="G106" s="142"/>
      <c r="H106" s="142"/>
      <c r="IU106" s="10"/>
    </row>
    <row r="107" spans="7:255" s="1" customFormat="1" ht="14.25" customHeight="1">
      <c r="G107" s="142"/>
      <c r="H107" s="142"/>
      <c r="IU107" s="10"/>
    </row>
    <row r="108" spans="7:255" s="1" customFormat="1" ht="14.25" customHeight="1">
      <c r="G108" s="142"/>
      <c r="H108" s="142"/>
      <c r="IU108" s="10"/>
    </row>
    <row r="109" spans="7:255" s="1" customFormat="1" ht="14.25" customHeight="1">
      <c r="G109" s="142"/>
      <c r="H109" s="142"/>
      <c r="IU109" s="10"/>
    </row>
    <row r="110" spans="7:255" s="1" customFormat="1" ht="14.25" customHeight="1">
      <c r="G110" s="142"/>
      <c r="H110" s="142"/>
      <c r="IU110" s="10"/>
    </row>
    <row r="111" spans="7:255" s="1" customFormat="1" ht="14.25" customHeight="1">
      <c r="G111" s="142"/>
      <c r="H111" s="142"/>
      <c r="IU111" s="10"/>
    </row>
    <row r="112" spans="7:255" s="1" customFormat="1" ht="14.25" customHeight="1">
      <c r="G112" s="142"/>
      <c r="H112" s="142"/>
      <c r="IU112" s="10"/>
    </row>
    <row r="113" spans="7:255" s="1" customFormat="1" ht="14.25" customHeight="1">
      <c r="G113" s="142"/>
      <c r="H113" s="142"/>
      <c r="IU113" s="10"/>
    </row>
    <row r="114" spans="7:255" s="1" customFormat="1" ht="14.25" customHeight="1">
      <c r="G114" s="142"/>
      <c r="H114" s="142"/>
      <c r="IU114" s="10"/>
    </row>
    <row r="115" spans="7:255" s="1" customFormat="1" ht="14.25" customHeight="1">
      <c r="G115" s="142"/>
      <c r="H115" s="142"/>
      <c r="IU115" s="10"/>
    </row>
    <row r="116" spans="7:255" s="1" customFormat="1" ht="14.25" customHeight="1">
      <c r="G116" s="142"/>
      <c r="H116" s="142"/>
      <c r="IU116" s="10"/>
    </row>
    <row r="117" spans="7:255" s="1" customFormat="1" ht="14.25" customHeight="1">
      <c r="G117" s="142"/>
      <c r="H117" s="142"/>
      <c r="IU117" s="10"/>
    </row>
    <row r="118" spans="7:255" s="1" customFormat="1" ht="14.25" customHeight="1">
      <c r="G118" s="142"/>
      <c r="H118" s="142"/>
      <c r="IU118" s="10"/>
    </row>
    <row r="119" spans="7:255" s="1" customFormat="1" ht="14.25" customHeight="1">
      <c r="G119" s="142"/>
      <c r="H119" s="142"/>
      <c r="IU119" s="10"/>
    </row>
    <row r="120" spans="7:255" s="1" customFormat="1" ht="14.25" customHeight="1">
      <c r="G120" s="142"/>
      <c r="H120" s="142"/>
      <c r="IU120" s="10"/>
    </row>
    <row r="121" spans="7:255" s="1" customFormat="1" ht="14.25" customHeight="1">
      <c r="G121" s="142"/>
      <c r="H121" s="142"/>
      <c r="IU121" s="10"/>
    </row>
    <row r="122" spans="7:255" s="1" customFormat="1" ht="14.25" customHeight="1">
      <c r="G122" s="142"/>
      <c r="H122" s="142"/>
      <c r="IU122" s="10"/>
    </row>
    <row r="123" spans="7:255" s="1" customFormat="1" ht="14.25" customHeight="1">
      <c r="G123" s="142"/>
      <c r="H123" s="142"/>
      <c r="IU123" s="10"/>
    </row>
    <row r="124" spans="7:255" s="1" customFormat="1" ht="14.25" customHeight="1">
      <c r="G124" s="142"/>
      <c r="H124" s="142"/>
      <c r="IU124" s="10"/>
    </row>
    <row r="125" spans="7:255" s="1" customFormat="1" ht="14.25" customHeight="1">
      <c r="G125" s="142"/>
      <c r="H125" s="142"/>
      <c r="IU125" s="10"/>
    </row>
    <row r="126" spans="7:255" s="1" customFormat="1" ht="14.25" customHeight="1">
      <c r="G126" s="142"/>
      <c r="H126" s="142"/>
      <c r="IU126" s="10"/>
    </row>
    <row r="127" spans="7:255" s="1" customFormat="1" ht="14.25" customHeight="1">
      <c r="G127" s="142"/>
      <c r="H127" s="142"/>
      <c r="IU127" s="10"/>
    </row>
    <row r="128" spans="7:255" s="1" customFormat="1" ht="14.25" customHeight="1">
      <c r="G128" s="142"/>
      <c r="H128" s="142"/>
      <c r="IU128" s="10"/>
    </row>
    <row r="129" spans="7:255" s="1" customFormat="1" ht="14.25" customHeight="1">
      <c r="G129" s="142"/>
      <c r="H129" s="142"/>
      <c r="IU129" s="10"/>
    </row>
    <row r="130" spans="7:255" s="1" customFormat="1" ht="14.25" customHeight="1">
      <c r="G130" s="142"/>
      <c r="H130" s="142"/>
      <c r="IU130" s="10"/>
    </row>
    <row r="131" spans="7:255" s="1" customFormat="1" ht="14.25" customHeight="1">
      <c r="G131" s="142"/>
      <c r="H131" s="142"/>
      <c r="IU131" s="10"/>
    </row>
    <row r="132" spans="7:255" s="1" customFormat="1" ht="14.25" customHeight="1">
      <c r="G132" s="142"/>
      <c r="H132" s="142"/>
      <c r="IU132" s="10"/>
    </row>
    <row r="133" spans="7:255" s="1" customFormat="1" ht="14.25" customHeight="1">
      <c r="G133" s="142"/>
      <c r="H133" s="142"/>
      <c r="IU133" s="10"/>
    </row>
    <row r="134" spans="7:255" s="1" customFormat="1" ht="14.25" customHeight="1">
      <c r="G134" s="142"/>
      <c r="H134" s="142"/>
      <c r="IU134" s="10"/>
    </row>
    <row r="135" spans="7:255" s="1" customFormat="1" ht="14.25" customHeight="1">
      <c r="G135" s="142"/>
      <c r="H135" s="142"/>
      <c r="IU135" s="10"/>
    </row>
    <row r="136" spans="7:255" s="1" customFormat="1" ht="14.25" customHeight="1">
      <c r="G136" s="142"/>
      <c r="H136" s="142"/>
      <c r="IU136" s="10"/>
    </row>
    <row r="137" spans="7:255" s="1" customFormat="1" ht="14.25" customHeight="1">
      <c r="G137" s="142"/>
      <c r="H137" s="142"/>
      <c r="IU137" s="10"/>
    </row>
    <row r="138" spans="7:255" s="1" customFormat="1" ht="14.25" customHeight="1">
      <c r="G138" s="142"/>
      <c r="H138" s="142"/>
      <c r="IU138" s="10"/>
    </row>
    <row r="139" spans="7:255" s="1" customFormat="1" ht="14.25" customHeight="1">
      <c r="G139" s="142"/>
      <c r="H139" s="142"/>
      <c r="IU139" s="10"/>
    </row>
    <row r="140" spans="7:255" s="1" customFormat="1" ht="14.25" customHeight="1">
      <c r="G140" s="142"/>
      <c r="H140" s="142"/>
      <c r="IU140" s="10"/>
    </row>
    <row r="141" spans="7:255" s="1" customFormat="1" ht="14.25" customHeight="1">
      <c r="G141" s="142"/>
      <c r="H141" s="142"/>
      <c r="IU141" s="10"/>
    </row>
    <row r="142" spans="7:255" s="1" customFormat="1" ht="14.25" customHeight="1">
      <c r="G142" s="142"/>
      <c r="H142" s="142"/>
      <c r="IU142" s="10"/>
    </row>
    <row r="143" spans="7:255" s="1" customFormat="1" ht="14.25" customHeight="1">
      <c r="G143" s="142"/>
      <c r="H143" s="142"/>
      <c r="IU143" s="10"/>
    </row>
    <row r="144" spans="7:255" s="1" customFormat="1" ht="14.25" customHeight="1">
      <c r="G144" s="142"/>
      <c r="H144" s="142"/>
      <c r="IU144" s="10"/>
    </row>
    <row r="145" spans="7:255" s="1" customFormat="1" ht="14.25" customHeight="1">
      <c r="G145" s="142"/>
      <c r="H145" s="142"/>
      <c r="IU145" s="10"/>
    </row>
    <row r="146" spans="7:255" s="1" customFormat="1" ht="14.25" customHeight="1">
      <c r="G146" s="142"/>
      <c r="H146" s="142"/>
      <c r="IU146" s="10"/>
    </row>
    <row r="147" spans="7:255" s="1" customFormat="1" ht="14.25" customHeight="1">
      <c r="G147" s="142"/>
      <c r="H147" s="142"/>
      <c r="IU147" s="10"/>
    </row>
    <row r="148" spans="7:255" s="1" customFormat="1" ht="14.25" customHeight="1">
      <c r="G148" s="142"/>
      <c r="H148" s="142"/>
      <c r="IU148" s="10"/>
    </row>
    <row r="149" spans="7:255" s="1" customFormat="1" ht="14.25" customHeight="1">
      <c r="G149" s="142"/>
      <c r="H149" s="142"/>
      <c r="IU149" s="10"/>
    </row>
    <row r="150" spans="7:255" s="1" customFormat="1" ht="14.25" customHeight="1">
      <c r="G150" s="142"/>
      <c r="H150" s="142"/>
      <c r="IU150" s="10"/>
    </row>
    <row r="151" spans="7:255" s="1" customFormat="1" ht="14.25" customHeight="1">
      <c r="G151" s="142"/>
      <c r="H151" s="142"/>
      <c r="IU151" s="10"/>
    </row>
    <row r="152" spans="7:255" s="1" customFormat="1" ht="14.25" customHeight="1">
      <c r="G152" s="142"/>
      <c r="H152" s="142"/>
      <c r="IU152" s="10"/>
    </row>
    <row r="153" spans="7:255" s="1" customFormat="1" ht="14.25" customHeight="1">
      <c r="G153" s="142"/>
      <c r="H153" s="142"/>
      <c r="IU153" s="10"/>
    </row>
    <row r="154" spans="7:255" s="1" customFormat="1" ht="14.25" customHeight="1">
      <c r="G154" s="142"/>
      <c r="H154" s="142"/>
      <c r="IU154" s="10"/>
    </row>
    <row r="155" spans="7:255" s="1" customFormat="1" ht="14.25" customHeight="1">
      <c r="G155" s="142"/>
      <c r="H155" s="142"/>
      <c r="IU155" s="10"/>
    </row>
    <row r="156" spans="7:255" s="1" customFormat="1" ht="14.25" customHeight="1">
      <c r="G156" s="142"/>
      <c r="H156" s="142"/>
      <c r="IU156" s="10"/>
    </row>
    <row r="157" spans="7:255" s="1" customFormat="1" ht="14.25" customHeight="1">
      <c r="G157" s="142"/>
      <c r="H157" s="142"/>
      <c r="IU157" s="10"/>
    </row>
    <row r="158" spans="7:255" s="1" customFormat="1" ht="14.25" customHeight="1">
      <c r="G158" s="142"/>
      <c r="H158" s="142"/>
      <c r="IU158" s="10"/>
    </row>
    <row r="159" spans="7:255" s="1" customFormat="1" ht="14.25" customHeight="1">
      <c r="G159" s="142"/>
      <c r="H159" s="142"/>
      <c r="IU159" s="10"/>
    </row>
    <row r="160" spans="7:255" s="1" customFormat="1" ht="14.25" customHeight="1">
      <c r="G160" s="142"/>
      <c r="H160" s="142"/>
      <c r="IU160" s="10"/>
    </row>
    <row r="161" spans="7:255" s="1" customFormat="1" ht="14.25" customHeight="1">
      <c r="G161" s="142"/>
      <c r="H161" s="142"/>
      <c r="IU161" s="10"/>
    </row>
    <row r="162" spans="7:255" s="1" customFormat="1" ht="14.25" customHeight="1">
      <c r="G162" s="142"/>
      <c r="H162" s="142"/>
      <c r="IU162" s="10"/>
    </row>
    <row r="163" spans="7:255" s="1" customFormat="1" ht="14.25" customHeight="1">
      <c r="G163" s="142"/>
      <c r="H163" s="142"/>
      <c r="IU163" s="10"/>
    </row>
    <row r="164" spans="7:255" s="1" customFormat="1" ht="14.25" customHeight="1">
      <c r="G164" s="142"/>
      <c r="H164" s="142"/>
      <c r="IU164" s="10"/>
    </row>
    <row r="165" spans="7:255" s="1" customFormat="1" ht="14.25" customHeight="1">
      <c r="G165" s="142"/>
      <c r="H165" s="142"/>
      <c r="IU165" s="10"/>
    </row>
    <row r="166" spans="7:255" s="1" customFormat="1" ht="14.25" customHeight="1">
      <c r="G166" s="142"/>
      <c r="H166" s="142"/>
      <c r="IU166" s="10"/>
    </row>
    <row r="167" spans="7:255" s="1" customFormat="1" ht="14.25" customHeight="1">
      <c r="G167" s="142"/>
      <c r="H167" s="142"/>
      <c r="IU167" s="10"/>
    </row>
    <row r="168" spans="7:255" s="1" customFormat="1" ht="14.25" customHeight="1">
      <c r="G168" s="142"/>
      <c r="H168" s="142"/>
      <c r="IU168" s="10"/>
    </row>
    <row r="169" spans="7:255" s="1" customFormat="1" ht="14.25" customHeight="1">
      <c r="G169" s="142"/>
      <c r="H169" s="142"/>
      <c r="IU169" s="10"/>
    </row>
    <row r="170" spans="7:255" s="1" customFormat="1" ht="14.25" customHeight="1">
      <c r="G170" s="142"/>
      <c r="H170" s="142"/>
      <c r="IU170" s="10"/>
    </row>
    <row r="171" spans="7:255" s="1" customFormat="1" ht="14.25" customHeight="1">
      <c r="G171" s="142"/>
      <c r="H171" s="142"/>
      <c r="IU171" s="10"/>
    </row>
    <row r="172" spans="7:255" s="1" customFormat="1" ht="14.25" customHeight="1">
      <c r="G172" s="142"/>
      <c r="H172" s="142"/>
      <c r="IU172" s="10"/>
    </row>
    <row r="173" spans="7:255" s="1" customFormat="1" ht="14.25" customHeight="1">
      <c r="G173" s="142"/>
      <c r="H173" s="142"/>
      <c r="IU173" s="10"/>
    </row>
    <row r="174" spans="7:255" s="1" customFormat="1" ht="14.25" customHeight="1">
      <c r="G174" s="142"/>
      <c r="H174" s="142"/>
      <c r="IU174" s="10"/>
    </row>
    <row r="175" spans="7:255" s="1" customFormat="1" ht="14.25" customHeight="1">
      <c r="G175" s="142"/>
      <c r="H175" s="142"/>
      <c r="IU175" s="10"/>
    </row>
    <row r="176" spans="7:255" s="1" customFormat="1" ht="14.25" customHeight="1">
      <c r="G176" s="142"/>
      <c r="H176" s="142"/>
      <c r="IU176" s="10"/>
    </row>
    <row r="177" spans="7:255" s="1" customFormat="1" ht="14.25" customHeight="1">
      <c r="G177" s="142"/>
      <c r="H177" s="142"/>
      <c r="IU177" s="10"/>
    </row>
    <row r="178" spans="7:255" s="1" customFormat="1" ht="14.25" customHeight="1">
      <c r="G178" s="142"/>
      <c r="H178" s="142"/>
      <c r="IU178" s="10"/>
    </row>
    <row r="179" spans="7:255" s="1" customFormat="1" ht="14.25" customHeight="1">
      <c r="G179" s="142"/>
      <c r="H179" s="142"/>
      <c r="IU179" s="10"/>
    </row>
    <row r="180" spans="7:255" s="1" customFormat="1" ht="14.25" customHeight="1">
      <c r="G180" s="142"/>
      <c r="H180" s="142"/>
      <c r="IU180" s="10"/>
    </row>
    <row r="181" spans="7:255" s="1" customFormat="1" ht="14.25" customHeight="1">
      <c r="G181" s="142"/>
      <c r="H181" s="142"/>
      <c r="IU181" s="10"/>
    </row>
    <row r="182" spans="7:255" s="1" customFormat="1" ht="14.25" customHeight="1">
      <c r="G182" s="142"/>
      <c r="H182" s="142"/>
      <c r="IU182" s="10"/>
    </row>
    <row r="183" spans="7:255" s="1" customFormat="1" ht="14.25" customHeight="1">
      <c r="G183" s="142"/>
      <c r="H183" s="142"/>
      <c r="IU183" s="10"/>
    </row>
    <row r="184" spans="7:255" s="1" customFormat="1" ht="14.25" customHeight="1">
      <c r="G184" s="142"/>
      <c r="H184" s="142"/>
      <c r="IU184" s="10"/>
    </row>
    <row r="185" spans="7:255" s="1" customFormat="1" ht="14.25" customHeight="1">
      <c r="G185" s="142"/>
      <c r="H185" s="142"/>
      <c r="IU185" s="10"/>
    </row>
    <row r="186" spans="7:255" s="1" customFormat="1" ht="14.25" customHeight="1">
      <c r="G186" s="142"/>
      <c r="H186" s="142"/>
      <c r="IU186" s="10"/>
    </row>
    <row r="187" spans="7:255" s="1" customFormat="1" ht="14.25" customHeight="1">
      <c r="G187" s="142"/>
      <c r="H187" s="142"/>
      <c r="IU187" s="10"/>
    </row>
    <row r="188" spans="7:255" s="1" customFormat="1" ht="14.25" customHeight="1">
      <c r="G188" s="142"/>
      <c r="H188" s="142"/>
      <c r="IU188" s="10"/>
    </row>
    <row r="189" spans="7:255" s="1" customFormat="1" ht="14.25" customHeight="1">
      <c r="G189" s="142"/>
      <c r="H189" s="142"/>
      <c r="IU189" s="10"/>
    </row>
  </sheetData>
  <sheetProtection algorithmName="SHA-512" hashValue="BA5MwhIZq9DUYoBn4YVPd+0mk1qLrdapnoEDKbznwC5oHUDApwd+6zGbSZdOWjhTKsH16hoL/BgWfKRgCsZG1g==" saltValue="xde7dGueK3yZ/m6qb6wgSQ==" spinCount="100000" sheet="1" objects="1" scenarios="1"/>
  <mergeCells count="5">
    <mergeCell ref="T12:T14"/>
    <mergeCell ref="T22:T24"/>
    <mergeCell ref="T32:T34"/>
    <mergeCell ref="T42:T44"/>
    <mergeCell ref="T52:T54"/>
  </mergeCells>
  <phoneticPr fontId="10" type="noConversion"/>
  <conditionalFormatting sqref="W3:AB4 G15:AB21 G25:AB31 N23:AB23 G35:AB41 G45:AB51 G55:AB69 T2 U14:V14 U24:AB24 S34 U34:AB34 U44:AB44 U54:AB54 G3:V11 S22:AB22 S32:AB33 S42:AB43 S52:AB53 N24:S24 S14 S44 S54 S12:V13">
    <cfRule type="cellIs" dxfId="55" priority="42" stopIfTrue="1" operator="equal">
      <formula>0</formula>
    </cfRule>
  </conditionalFormatting>
  <conditionalFormatting sqref="W5:AB14">
    <cfRule type="cellIs" dxfId="54" priority="43" stopIfTrue="1" operator="equal">
      <formula>0</formula>
    </cfRule>
  </conditionalFormatting>
  <conditionalFormatting sqref="G23 G24:H24 J24:K24 G22:H22 M23:M24">
    <cfRule type="cellIs" dxfId="53" priority="41" stopIfTrue="1" operator="equal">
      <formula>0</formula>
    </cfRule>
  </conditionalFormatting>
  <conditionalFormatting sqref="I32:R32">
    <cfRule type="cellIs" dxfId="52" priority="20" stopIfTrue="1" operator="equal">
      <formula>0</formula>
    </cfRule>
  </conditionalFormatting>
  <conditionalFormatting sqref="N33:R34">
    <cfRule type="cellIs" dxfId="51" priority="24" stopIfTrue="1" operator="equal">
      <formula>0</formula>
    </cfRule>
  </conditionalFormatting>
  <conditionalFormatting sqref="I22:R22">
    <cfRule type="cellIs" dxfId="50" priority="28" stopIfTrue="1" operator="equal">
      <formula>0</formula>
    </cfRule>
  </conditionalFormatting>
  <conditionalFormatting sqref="I24">
    <cfRule type="cellIs" dxfId="49" priority="36" stopIfTrue="1" operator="equal">
      <formula>0</formula>
    </cfRule>
  </conditionalFormatting>
  <conditionalFormatting sqref="I42:R42">
    <cfRule type="cellIs" dxfId="48" priority="15" stopIfTrue="1" operator="equal">
      <formula>0</formula>
    </cfRule>
  </conditionalFormatting>
  <conditionalFormatting sqref="N43:R44">
    <cfRule type="cellIs" dxfId="47" priority="19" stopIfTrue="1" operator="equal">
      <formula>0</formula>
    </cfRule>
  </conditionalFormatting>
  <conditionalFormatting sqref="G33:M33 G34:H34 J34:K34 M34 G32:H32">
    <cfRule type="cellIs" dxfId="46" priority="23" stopIfTrue="1" operator="equal">
      <formula>0</formula>
    </cfRule>
  </conditionalFormatting>
  <conditionalFormatting sqref="L24">
    <cfRule type="cellIs" dxfId="45" priority="32" stopIfTrue="1" operator="equal">
      <formula>0</formula>
    </cfRule>
  </conditionalFormatting>
  <conditionalFormatting sqref="L54">
    <cfRule type="cellIs" dxfId="44" priority="11" stopIfTrue="1" operator="equal">
      <formula>0</formula>
    </cfRule>
  </conditionalFormatting>
  <conditionalFormatting sqref="I14">
    <cfRule type="cellIs" dxfId="43" priority="7" stopIfTrue="1" operator="equal">
      <formula>0</formula>
    </cfRule>
  </conditionalFormatting>
  <conditionalFormatting sqref="I12:R12">
    <cfRule type="cellIs" dxfId="42" priority="5" stopIfTrue="1" operator="equal">
      <formula>0</formula>
    </cfRule>
  </conditionalFormatting>
  <conditionalFormatting sqref="I34">
    <cfRule type="cellIs" dxfId="41" priority="22" stopIfTrue="1" operator="equal">
      <formula>0</formula>
    </cfRule>
  </conditionalFormatting>
  <conditionalFormatting sqref="L34">
    <cfRule type="cellIs" dxfId="40" priority="21" stopIfTrue="1" operator="equal">
      <formula>0</formula>
    </cfRule>
  </conditionalFormatting>
  <conditionalFormatting sqref="G43 G44:H44 J44:K44 G42:H42 M43:M44">
    <cfRule type="cellIs" dxfId="39" priority="18" stopIfTrue="1" operator="equal">
      <formula>0</formula>
    </cfRule>
  </conditionalFormatting>
  <conditionalFormatting sqref="I44">
    <cfRule type="cellIs" dxfId="38" priority="17" stopIfTrue="1" operator="equal">
      <formula>0</formula>
    </cfRule>
  </conditionalFormatting>
  <conditionalFormatting sqref="L44">
    <cfRule type="cellIs" dxfId="37" priority="16" stopIfTrue="1" operator="equal">
      <formula>0</formula>
    </cfRule>
  </conditionalFormatting>
  <conditionalFormatting sqref="N53:R54">
    <cfRule type="cellIs" dxfId="36" priority="14" stopIfTrue="1" operator="equal">
      <formula>0</formula>
    </cfRule>
  </conditionalFormatting>
  <conditionalFormatting sqref="G53 G54:H54 J54:K54 G52:H52 M53:M54">
    <cfRule type="cellIs" dxfId="35" priority="13" stopIfTrue="1" operator="equal">
      <formula>0</formula>
    </cfRule>
  </conditionalFormatting>
  <conditionalFormatting sqref="I54">
    <cfRule type="cellIs" dxfId="34" priority="12" stopIfTrue="1" operator="equal">
      <formula>0</formula>
    </cfRule>
  </conditionalFormatting>
  <conditionalFormatting sqref="I52:R52">
    <cfRule type="cellIs" dxfId="33" priority="10" stopIfTrue="1" operator="equal">
      <formula>0</formula>
    </cfRule>
  </conditionalFormatting>
  <conditionalFormatting sqref="N13:R14">
    <cfRule type="cellIs" dxfId="32" priority="9" stopIfTrue="1" operator="equal">
      <formula>0</formula>
    </cfRule>
  </conditionalFormatting>
  <conditionalFormatting sqref="G13 G14:H14 J14:K14 G12:H12 M13:M14">
    <cfRule type="cellIs" dxfId="31" priority="8" stopIfTrue="1" operator="equal">
      <formula>0</formula>
    </cfRule>
  </conditionalFormatting>
  <conditionalFormatting sqref="L14">
    <cfRule type="cellIs" dxfId="30" priority="6" stopIfTrue="1" operator="equal">
      <formula>0</formula>
    </cfRule>
  </conditionalFormatting>
  <conditionalFormatting sqref="H23:L23">
    <cfRule type="cellIs" dxfId="29" priority="4" stopIfTrue="1" operator="equal">
      <formula>0</formula>
    </cfRule>
  </conditionalFormatting>
  <conditionalFormatting sqref="H13:L13">
    <cfRule type="cellIs" dxfId="28" priority="3" stopIfTrue="1" operator="equal">
      <formula>0</formula>
    </cfRule>
  </conditionalFormatting>
  <conditionalFormatting sqref="H43:L43">
    <cfRule type="cellIs" dxfId="27" priority="2" stopIfTrue="1" operator="equal">
      <formula>0</formula>
    </cfRule>
  </conditionalFormatting>
  <conditionalFormatting sqref="H53:L53">
    <cfRule type="cellIs" dxfId="26" priority="1" stopIfTrue="1" operator="equal">
      <formula>0</formula>
    </cfRule>
  </conditionalFormatting>
  <dataValidations disablePrompts="1" count="2">
    <dataValidation operator="equal" allowBlank="1" showInputMessage="1" promptTitle="Trading Days Entered" prompt="This is the total number of_x000a_trading days for which figures_x000a_have already been entered." sqref="H3" xr:uid="{00000000-0002-0000-0500-000000000000}">
      <formula1>0</formula1>
      <formula2>0</formula2>
    </dataValidation>
    <dataValidation operator="equal" allowBlank="1" showInputMessage="1" promptTitle="Door Count" prompt="Enter the door counter_x000a_figure for the date shown." sqref="L5:L11 L15:L21 L25:L31 L35:L41 L45:L51 L55:L61" xr:uid="{00000000-0002-0000-0500-000001000000}">
      <formula1>0</formula1>
      <formula2>0</formula2>
    </dataValidation>
  </dataValidations>
  <printOptions horizontalCentered="1" verticalCentered="1"/>
  <pageMargins left="0.39374999999999999" right="0.39374999999999999" top="0.19652777777777777" bottom="0.19652777777777777" header="0.51180555555555551" footer="0.51180555555555551"/>
  <pageSetup paperSize="9" scale="10" firstPageNumber="0" fitToHeight="0" orientation="landscape" horizontalDpi="300" verticalDpi="300"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2"/>
  <dimension ref="A1:Z55"/>
  <sheetViews>
    <sheetView zoomScaleNormal="100" workbookViewId="0">
      <selection activeCell="D12" sqref="D12"/>
    </sheetView>
  </sheetViews>
  <sheetFormatPr defaultColWidth="9.140625" defaultRowHeight="12.75"/>
  <cols>
    <col min="1" max="1" width="9.140625" style="10"/>
    <col min="2" max="2" width="11.85546875" style="10" customWidth="1"/>
    <col min="3" max="3" width="6.42578125" style="10" customWidth="1"/>
    <col min="4" max="4" width="11.7109375" style="10" customWidth="1"/>
    <col min="5" max="6" width="9.140625" style="10"/>
    <col min="7" max="7" width="10.140625" style="10" hidden="1" customWidth="1"/>
    <col min="8" max="16384" width="9.140625" style="10"/>
  </cols>
  <sheetData>
    <row r="1" spans="1:26" ht="5.0999999999999996" customHeight="1">
      <c r="A1" s="1"/>
      <c r="B1" s="1"/>
      <c r="C1" s="1"/>
      <c r="D1" s="1"/>
      <c r="E1" s="1"/>
      <c r="F1" s="443"/>
      <c r="H1" s="443"/>
      <c r="I1" s="443"/>
      <c r="J1" s="443"/>
      <c r="K1" s="443"/>
      <c r="L1" s="443"/>
      <c r="M1" s="443"/>
      <c r="N1" s="443"/>
      <c r="O1" s="443"/>
      <c r="P1" s="443"/>
      <c r="Q1" s="443"/>
      <c r="R1" s="443"/>
      <c r="S1" s="443"/>
      <c r="T1" s="443"/>
      <c r="U1" s="443"/>
      <c r="V1" s="443"/>
      <c r="W1" s="443"/>
      <c r="X1" s="443"/>
      <c r="Y1" s="443"/>
      <c r="Z1" s="443"/>
    </row>
    <row r="2" spans="1:26">
      <c r="A2" s="1"/>
      <c r="B2" s="444" t="s">
        <v>372</v>
      </c>
      <c r="C2" s="443"/>
      <c r="D2" s="445">
        <f ca="1">TODAY()</f>
        <v>43979</v>
      </c>
      <c r="E2" s="1"/>
      <c r="F2" s="443"/>
      <c r="H2" s="443"/>
      <c r="I2" s="443"/>
      <c r="J2" s="443"/>
      <c r="K2" s="443"/>
      <c r="L2" s="443"/>
      <c r="M2" s="443"/>
      <c r="N2" s="443"/>
      <c r="O2" s="443"/>
      <c r="P2" s="443"/>
      <c r="Q2" s="443"/>
      <c r="R2" s="443"/>
      <c r="S2" s="443"/>
      <c r="T2" s="443"/>
      <c r="U2" s="443"/>
      <c r="V2" s="443"/>
      <c r="W2" s="443"/>
      <c r="X2" s="443"/>
      <c r="Y2" s="443"/>
      <c r="Z2" s="443"/>
    </row>
    <row r="3" spans="1:26">
      <c r="A3" s="1"/>
      <c r="B3" s="1"/>
      <c r="C3" s="1"/>
      <c r="D3" s="1"/>
      <c r="E3" s="1"/>
      <c r="F3" s="443"/>
      <c r="H3" s="443"/>
      <c r="I3" s="443"/>
      <c r="J3" s="443"/>
      <c r="K3" s="443"/>
      <c r="L3" s="443"/>
      <c r="M3" s="443"/>
      <c r="N3" s="443"/>
      <c r="O3" s="443"/>
      <c r="P3" s="443"/>
      <c r="Q3" s="443"/>
      <c r="R3" s="443"/>
      <c r="S3" s="443"/>
      <c r="T3" s="443"/>
      <c r="U3" s="443"/>
      <c r="V3" s="443"/>
      <c r="W3" s="443"/>
      <c r="X3" s="443"/>
      <c r="Y3" s="443"/>
      <c r="Z3" s="443"/>
    </row>
    <row r="4" spans="1:26">
      <c r="A4" s="1"/>
      <c r="B4" s="444" t="s">
        <v>368</v>
      </c>
      <c r="C4" s="443"/>
      <c r="D4" s="443"/>
      <c r="E4" s="1"/>
      <c r="F4" s="443"/>
      <c r="H4" s="443"/>
      <c r="I4" s="443"/>
      <c r="J4" s="443"/>
      <c r="K4" s="443"/>
      <c r="L4" s="443"/>
      <c r="M4" s="443"/>
      <c r="N4" s="443"/>
      <c r="O4" s="443"/>
      <c r="P4" s="443"/>
      <c r="Q4" s="443"/>
      <c r="R4" s="443"/>
      <c r="S4" s="443"/>
      <c r="T4" s="443"/>
      <c r="U4" s="443"/>
      <c r="V4" s="443"/>
      <c r="W4" s="443"/>
      <c r="X4" s="443"/>
      <c r="Y4" s="443"/>
      <c r="Z4" s="443"/>
    </row>
    <row r="5" spans="1:26">
      <c r="A5" s="1"/>
      <c r="B5" s="486" t="s">
        <v>354</v>
      </c>
      <c r="C5" s="487"/>
      <c r="D5" s="446" t="e">
        <f ca="1">HLOOKUP(D2,'Store Details'!F25:AU26,2,0)</f>
        <v>#N/A</v>
      </c>
      <c r="E5" s="1"/>
      <c r="F5" s="443"/>
      <c r="H5" s="443"/>
      <c r="I5" s="443"/>
      <c r="J5" s="443"/>
      <c r="K5" s="443"/>
      <c r="L5" s="443"/>
      <c r="M5" s="443"/>
      <c r="N5" s="443"/>
      <c r="O5" s="443"/>
      <c r="P5" s="443"/>
      <c r="Q5" s="443"/>
      <c r="R5" s="443"/>
      <c r="S5" s="443"/>
      <c r="T5" s="443"/>
      <c r="U5" s="443"/>
      <c r="V5" s="443"/>
      <c r="W5" s="443"/>
      <c r="X5" s="443"/>
      <c r="Y5" s="443"/>
      <c r="Z5" s="443"/>
    </row>
    <row r="6" spans="1:26">
      <c r="A6" s="1"/>
      <c r="B6" s="486" t="s">
        <v>355</v>
      </c>
      <c r="C6" s="487"/>
      <c r="D6" s="446" t="e">
        <f ca="1">VLOOKUP(D2,'Daily &amp; Weekly Totals'!E5:G61,3,0)</f>
        <v>#N/A</v>
      </c>
      <c r="E6" s="1"/>
      <c r="F6" s="443"/>
      <c r="G6" s="447">
        <f ca="1">D2+7-WEEKDAY(D2+7-1)</f>
        <v>43982</v>
      </c>
      <c r="H6" s="443"/>
      <c r="I6" s="443"/>
      <c r="J6" s="443"/>
      <c r="K6" s="443"/>
      <c r="L6" s="443"/>
      <c r="M6" s="443"/>
      <c r="N6" s="443"/>
      <c r="O6" s="443"/>
      <c r="P6" s="443"/>
      <c r="Q6" s="443"/>
      <c r="R6" s="443"/>
      <c r="S6" s="443"/>
      <c r="T6" s="443"/>
      <c r="U6" s="443"/>
      <c r="V6" s="443"/>
      <c r="W6" s="443"/>
      <c r="X6" s="443"/>
      <c r="Y6" s="443"/>
      <c r="Z6" s="443"/>
    </row>
    <row r="7" spans="1:26">
      <c r="A7" s="1"/>
      <c r="B7" s="486" t="s">
        <v>356</v>
      </c>
      <c r="C7" s="487"/>
      <c r="D7" s="446" t="e">
        <f ca="1">D6-D5</f>
        <v>#N/A</v>
      </c>
      <c r="E7" s="1"/>
      <c r="F7" s="443"/>
      <c r="H7" s="443"/>
      <c r="I7" s="443"/>
      <c r="J7" s="443"/>
      <c r="K7" s="443"/>
      <c r="L7" s="443"/>
      <c r="M7" s="443"/>
      <c r="N7" s="443"/>
      <c r="O7" s="443"/>
      <c r="P7" s="443"/>
      <c r="Q7" s="443"/>
      <c r="R7" s="443"/>
      <c r="S7" s="443"/>
      <c r="T7" s="443"/>
      <c r="U7" s="443"/>
      <c r="V7" s="443"/>
      <c r="W7" s="443"/>
      <c r="X7" s="443"/>
      <c r="Y7" s="443"/>
      <c r="Z7" s="443"/>
    </row>
    <row r="8" spans="1:26">
      <c r="A8" s="1"/>
      <c r="B8" s="486" t="s">
        <v>357</v>
      </c>
      <c r="C8" s="487"/>
      <c r="D8" s="448" t="e">
        <f ca="1">(D6/D5)-1</f>
        <v>#N/A</v>
      </c>
      <c r="E8" s="1"/>
      <c r="F8" s="443"/>
      <c r="H8" s="443"/>
      <c r="I8" s="443"/>
      <c r="J8" s="443"/>
      <c r="K8" s="443"/>
      <c r="L8" s="443"/>
      <c r="M8" s="443"/>
      <c r="N8" s="443"/>
      <c r="O8" s="443"/>
      <c r="P8" s="443"/>
      <c r="Q8" s="443"/>
      <c r="R8" s="443"/>
      <c r="S8" s="443"/>
      <c r="T8" s="443"/>
      <c r="U8" s="443"/>
      <c r="V8" s="443"/>
      <c r="W8" s="443"/>
      <c r="X8" s="443"/>
      <c r="Y8" s="443"/>
      <c r="Z8" s="443"/>
    </row>
    <row r="9" spans="1:26">
      <c r="A9" s="1"/>
      <c r="B9" s="486" t="s">
        <v>362</v>
      </c>
      <c r="C9" s="487"/>
      <c r="D9" s="449" t="e">
        <f ca="1">VLOOKUP(D2,'Daily &amp; Weekly Totals'!E5:R61,11,0)</f>
        <v>#N/A</v>
      </c>
      <c r="E9" s="1"/>
      <c r="F9" s="443"/>
      <c r="H9" s="443"/>
      <c r="I9" s="443"/>
      <c r="J9" s="443"/>
      <c r="K9" s="443"/>
      <c r="L9" s="443"/>
      <c r="M9" s="443"/>
      <c r="N9" s="443"/>
      <c r="O9" s="443"/>
      <c r="P9" s="443"/>
      <c r="Q9" s="443"/>
      <c r="R9" s="443"/>
      <c r="S9" s="443"/>
      <c r="T9" s="443"/>
      <c r="U9" s="443"/>
      <c r="V9" s="443"/>
      <c r="W9" s="443"/>
      <c r="X9" s="443"/>
      <c r="Y9" s="443"/>
      <c r="Z9" s="443"/>
    </row>
    <row r="10" spans="1:26">
      <c r="A10" s="1"/>
      <c r="B10" s="486" t="s">
        <v>361</v>
      </c>
      <c r="C10" s="487"/>
      <c r="D10" s="450" t="e">
        <f ca="1">VLOOKUP(D2,'Daily &amp; Weekly Totals'!E5:R61,14,0)</f>
        <v>#N/A</v>
      </c>
      <c r="E10" s="1"/>
      <c r="F10" s="443"/>
      <c r="G10" s="130"/>
      <c r="H10" s="443"/>
      <c r="I10" s="443"/>
      <c r="J10" s="443"/>
      <c r="K10" s="443"/>
      <c r="L10" s="443"/>
      <c r="M10" s="443"/>
      <c r="N10" s="443"/>
      <c r="O10" s="443"/>
      <c r="P10" s="443"/>
      <c r="Q10" s="443"/>
      <c r="R10" s="443"/>
      <c r="S10" s="443"/>
      <c r="T10" s="443"/>
      <c r="U10" s="443"/>
      <c r="V10" s="443"/>
      <c r="W10" s="443"/>
      <c r="X10" s="443"/>
      <c r="Y10" s="443"/>
      <c r="Z10" s="443"/>
    </row>
    <row r="11" spans="1:26">
      <c r="A11" s="1"/>
      <c r="B11" s="453" t="s">
        <v>376</v>
      </c>
      <c r="C11" s="454"/>
      <c r="D11" s="455">
        <v>0</v>
      </c>
      <c r="E11" s="1"/>
      <c r="F11" s="443"/>
      <c r="G11" s="130"/>
      <c r="H11" s="443"/>
      <c r="I11" s="443"/>
      <c r="J11" s="443"/>
      <c r="K11" s="443"/>
      <c r="L11" s="443"/>
      <c r="M11" s="443"/>
      <c r="N11" s="443"/>
      <c r="O11" s="443"/>
      <c r="P11" s="443"/>
      <c r="Q11" s="443"/>
      <c r="R11" s="443"/>
      <c r="S11" s="443"/>
      <c r="T11" s="443"/>
      <c r="U11" s="443"/>
      <c r="V11" s="443"/>
      <c r="W11" s="443"/>
      <c r="X11" s="443"/>
      <c r="Y11" s="443"/>
      <c r="Z11" s="443"/>
    </row>
    <row r="12" spans="1:26" ht="5.0999999999999996" customHeight="1">
      <c r="A12" s="1"/>
      <c r="B12" s="1"/>
      <c r="C12" s="1"/>
      <c r="D12" s="1"/>
      <c r="E12" s="1"/>
      <c r="F12" s="443"/>
      <c r="H12" s="443"/>
      <c r="I12" s="443"/>
      <c r="J12" s="443"/>
      <c r="K12" s="443"/>
      <c r="L12" s="443"/>
      <c r="M12" s="443"/>
      <c r="N12" s="443"/>
      <c r="O12" s="443"/>
      <c r="P12" s="443"/>
      <c r="Q12" s="443"/>
      <c r="R12" s="443"/>
      <c r="S12" s="443"/>
      <c r="T12" s="443"/>
      <c r="U12" s="443"/>
      <c r="V12" s="443"/>
      <c r="W12" s="443"/>
      <c r="X12" s="443"/>
      <c r="Y12" s="443"/>
      <c r="Z12" s="443"/>
    </row>
    <row r="13" spans="1:26">
      <c r="A13" s="1"/>
      <c r="B13" s="444" t="s">
        <v>369</v>
      </c>
      <c r="C13" s="443"/>
      <c r="D13" s="443"/>
      <c r="E13" s="1"/>
      <c r="F13" s="443"/>
      <c r="H13" s="443"/>
      <c r="I13" s="443"/>
      <c r="J13" s="443"/>
      <c r="K13" s="443"/>
      <c r="L13" s="443"/>
      <c r="M13" s="443"/>
      <c r="N13" s="443"/>
      <c r="O13" s="443"/>
      <c r="P13" s="443"/>
      <c r="Q13" s="443"/>
      <c r="R13" s="443"/>
      <c r="S13" s="443"/>
      <c r="T13" s="443"/>
      <c r="U13" s="443"/>
      <c r="V13" s="443"/>
      <c r="W13" s="443"/>
      <c r="X13" s="443"/>
      <c r="Y13" s="443"/>
      <c r="Z13" s="443"/>
    </row>
    <row r="14" spans="1:26">
      <c r="A14" s="1"/>
      <c r="B14" s="486" t="s">
        <v>354</v>
      </c>
      <c r="C14" s="487"/>
      <c r="D14" s="446" t="e">
        <f ca="1">HLOOKUP(D2,'Store Details'!F25:AU36,12,0)</f>
        <v>#N/A</v>
      </c>
      <c r="E14" s="1"/>
      <c r="F14" s="443"/>
      <c r="H14" s="443"/>
      <c r="I14" s="443"/>
      <c r="J14" s="443"/>
      <c r="K14" s="443"/>
      <c r="L14" s="443"/>
      <c r="M14" s="443"/>
      <c r="N14" s="443"/>
      <c r="O14" s="443"/>
      <c r="P14" s="443"/>
      <c r="Q14" s="443"/>
      <c r="R14" s="443"/>
      <c r="S14" s="443"/>
      <c r="T14" s="443"/>
      <c r="U14" s="443"/>
      <c r="V14" s="443"/>
      <c r="W14" s="443"/>
      <c r="X14" s="443"/>
      <c r="Y14" s="443"/>
      <c r="Z14" s="443"/>
    </row>
    <row r="15" spans="1:26">
      <c r="A15" s="1"/>
      <c r="B15" s="486" t="s">
        <v>355</v>
      </c>
      <c r="C15" s="487"/>
      <c r="D15" s="446" t="e">
        <f ca="1">VLOOKUP(G6,'Daily &amp; Weekly Totals'!B12:R61,6,0)</f>
        <v>#N/A</v>
      </c>
      <c r="E15" s="1"/>
      <c r="F15" s="443"/>
      <c r="H15" s="443"/>
      <c r="I15" s="443"/>
      <c r="J15" s="443"/>
      <c r="K15" s="443"/>
      <c r="L15" s="443"/>
      <c r="M15" s="443"/>
      <c r="N15" s="443"/>
      <c r="O15" s="443"/>
      <c r="P15" s="443"/>
      <c r="Q15" s="443"/>
      <c r="R15" s="443"/>
      <c r="S15" s="443"/>
      <c r="T15" s="443"/>
      <c r="U15" s="443"/>
      <c r="V15" s="443"/>
      <c r="W15" s="443"/>
      <c r="X15" s="443"/>
      <c r="Y15" s="443"/>
      <c r="Z15" s="443"/>
    </row>
    <row r="16" spans="1:26">
      <c r="A16" s="1"/>
      <c r="B16" s="486" t="s">
        <v>356</v>
      </c>
      <c r="C16" s="487"/>
      <c r="D16" s="446" t="e">
        <f ca="1">D15-D14</f>
        <v>#N/A</v>
      </c>
      <c r="E16" s="1"/>
      <c r="F16" s="443"/>
      <c r="H16" s="443"/>
      <c r="I16" s="443"/>
      <c r="J16" s="443"/>
      <c r="K16" s="443"/>
      <c r="L16" s="443"/>
      <c r="M16" s="443"/>
      <c r="N16" s="443"/>
      <c r="O16" s="443"/>
      <c r="P16" s="443"/>
      <c r="Q16" s="443"/>
      <c r="R16" s="443"/>
      <c r="S16" s="443"/>
      <c r="T16" s="443"/>
      <c r="U16" s="443"/>
      <c r="V16" s="443"/>
      <c r="W16" s="443"/>
      <c r="X16" s="443"/>
      <c r="Y16" s="443"/>
      <c r="Z16" s="443"/>
    </row>
    <row r="17" spans="1:26">
      <c r="A17" s="1"/>
      <c r="B17" s="486" t="s">
        <v>357</v>
      </c>
      <c r="C17" s="487"/>
      <c r="D17" s="448" t="e">
        <f ca="1">(D15/D14)-1</f>
        <v>#N/A</v>
      </c>
      <c r="E17" s="1"/>
      <c r="F17" s="443"/>
      <c r="H17" s="443"/>
      <c r="I17" s="443"/>
      <c r="J17" s="443"/>
      <c r="K17" s="443"/>
      <c r="L17" s="443"/>
      <c r="M17" s="443"/>
      <c r="N17" s="443"/>
      <c r="O17" s="443"/>
      <c r="P17" s="443"/>
      <c r="Q17" s="443"/>
      <c r="R17" s="443"/>
      <c r="S17" s="443"/>
      <c r="T17" s="443"/>
      <c r="U17" s="443"/>
      <c r="V17" s="443"/>
      <c r="W17" s="443"/>
      <c r="X17" s="443"/>
      <c r="Y17" s="443"/>
      <c r="Z17" s="443"/>
    </row>
    <row r="18" spans="1:26">
      <c r="A18" s="1"/>
      <c r="B18" s="486" t="s">
        <v>362</v>
      </c>
      <c r="C18" s="487"/>
      <c r="D18" s="446" t="e">
        <f ca="1">VLOOKUP(G6,'Daily &amp; Weekly Totals'!B12:R61,14,0)</f>
        <v>#N/A</v>
      </c>
      <c r="E18" s="1"/>
      <c r="F18" s="443"/>
      <c r="H18" s="443"/>
      <c r="I18" s="443"/>
      <c r="J18" s="443"/>
      <c r="K18" s="443"/>
      <c r="L18" s="443"/>
      <c r="M18" s="443"/>
      <c r="N18" s="443"/>
      <c r="O18" s="443"/>
      <c r="P18" s="443"/>
      <c r="Q18" s="443"/>
      <c r="R18" s="443"/>
      <c r="S18" s="443"/>
      <c r="T18" s="443"/>
      <c r="U18" s="443"/>
      <c r="V18" s="443"/>
      <c r="W18" s="443"/>
      <c r="X18" s="443"/>
      <c r="Y18" s="443"/>
      <c r="Z18" s="443"/>
    </row>
    <row r="19" spans="1:26">
      <c r="A19" s="1"/>
      <c r="B19" s="486" t="s">
        <v>361</v>
      </c>
      <c r="C19" s="487"/>
      <c r="D19" s="450" t="e">
        <f ca="1">VLOOKUP(G6,'Daily &amp; Weekly Totals'!B12:R61,17,0)</f>
        <v>#N/A</v>
      </c>
      <c r="E19" s="1"/>
      <c r="F19" s="443"/>
      <c r="H19" s="443"/>
      <c r="I19" s="443"/>
      <c r="J19" s="443"/>
      <c r="K19" s="443"/>
      <c r="L19" s="443"/>
      <c r="M19" s="443"/>
      <c r="N19" s="443"/>
      <c r="O19" s="443"/>
      <c r="P19" s="443"/>
      <c r="Q19" s="443"/>
      <c r="R19" s="443"/>
      <c r="S19" s="443"/>
      <c r="T19" s="443"/>
      <c r="U19" s="443"/>
      <c r="V19" s="443"/>
      <c r="W19" s="443"/>
      <c r="X19" s="443"/>
      <c r="Y19" s="443"/>
      <c r="Z19" s="443"/>
    </row>
    <row r="20" spans="1:26" ht="5.0999999999999996" customHeight="1">
      <c r="A20" s="1"/>
      <c r="B20" s="1"/>
      <c r="C20" s="1"/>
      <c r="D20" s="1"/>
      <c r="E20" s="1"/>
      <c r="F20" s="443"/>
      <c r="H20" s="443"/>
      <c r="I20" s="443"/>
      <c r="J20" s="443"/>
      <c r="K20" s="443"/>
      <c r="L20" s="443"/>
      <c r="M20" s="443"/>
      <c r="N20" s="443"/>
      <c r="O20" s="443"/>
      <c r="P20" s="443"/>
      <c r="Q20" s="443"/>
      <c r="R20" s="443"/>
      <c r="S20" s="443"/>
      <c r="T20" s="443"/>
      <c r="U20" s="443"/>
      <c r="V20" s="443"/>
      <c r="W20" s="443"/>
      <c r="X20" s="443"/>
      <c r="Y20" s="443"/>
      <c r="Z20" s="443"/>
    </row>
    <row r="21" spans="1:26">
      <c r="A21" s="1"/>
      <c r="B21" s="444" t="s">
        <v>370</v>
      </c>
      <c r="C21" s="443"/>
      <c r="D21" s="443"/>
      <c r="E21" s="1"/>
      <c r="F21" s="443"/>
      <c r="H21" s="443"/>
      <c r="I21" s="443"/>
      <c r="J21" s="443"/>
      <c r="K21" s="443"/>
      <c r="L21" s="443"/>
      <c r="M21" s="443"/>
      <c r="N21" s="443"/>
      <c r="O21" s="443"/>
      <c r="P21" s="443"/>
      <c r="Q21" s="443"/>
      <c r="R21" s="443"/>
      <c r="S21" s="443"/>
      <c r="T21" s="443"/>
      <c r="U21" s="443"/>
      <c r="V21" s="443"/>
      <c r="W21" s="443"/>
      <c r="X21" s="443"/>
      <c r="Y21" s="443"/>
      <c r="Z21" s="443"/>
    </row>
    <row r="22" spans="1:26">
      <c r="A22" s="1"/>
      <c r="B22" s="486" t="s">
        <v>354</v>
      </c>
      <c r="C22" s="487"/>
      <c r="D22" s="446" t="e">
        <f ca="1">HLOOKUP(D2,'Store Details'!F25:AU36,11,0)</f>
        <v>#N/A</v>
      </c>
      <c r="E22" s="1"/>
      <c r="F22" s="443"/>
      <c r="H22" s="443"/>
      <c r="I22" s="443"/>
      <c r="J22" s="443"/>
      <c r="K22" s="443"/>
      <c r="L22" s="443"/>
      <c r="M22" s="443"/>
      <c r="N22" s="443"/>
      <c r="O22" s="443"/>
      <c r="P22" s="443"/>
      <c r="Q22" s="443"/>
      <c r="R22" s="443"/>
      <c r="S22" s="443"/>
      <c r="T22" s="443"/>
      <c r="U22" s="443"/>
      <c r="V22" s="443"/>
      <c r="W22" s="443"/>
      <c r="X22" s="443"/>
      <c r="Y22" s="443"/>
      <c r="Z22" s="443"/>
    </row>
    <row r="23" spans="1:26">
      <c r="A23" s="1"/>
      <c r="B23" s="486" t="s">
        <v>355</v>
      </c>
      <c r="C23" s="487"/>
      <c r="D23" s="446">
        <f>'Monthly Statistics'!C30</f>
        <v>0</v>
      </c>
      <c r="E23" s="1"/>
      <c r="F23" s="443"/>
      <c r="H23" s="443"/>
      <c r="I23" s="443"/>
      <c r="J23" s="443"/>
      <c r="K23" s="443"/>
      <c r="L23" s="443"/>
      <c r="M23" s="443"/>
      <c r="N23" s="443"/>
      <c r="O23" s="443"/>
      <c r="P23" s="443"/>
      <c r="Q23" s="443"/>
      <c r="R23" s="443"/>
      <c r="S23" s="443"/>
      <c r="T23" s="443"/>
      <c r="U23" s="443"/>
      <c r="V23" s="443"/>
      <c r="W23" s="443"/>
      <c r="X23" s="443"/>
      <c r="Y23" s="443"/>
      <c r="Z23" s="443"/>
    </row>
    <row r="24" spans="1:26">
      <c r="A24" s="1"/>
      <c r="B24" s="486" t="s">
        <v>356</v>
      </c>
      <c r="C24" s="487"/>
      <c r="D24" s="446" t="e">
        <f ca="1">D23-D22</f>
        <v>#N/A</v>
      </c>
      <c r="E24" s="1"/>
      <c r="F24" s="443"/>
      <c r="H24" s="443"/>
      <c r="I24" s="443"/>
      <c r="J24" s="443"/>
      <c r="K24" s="443"/>
      <c r="L24" s="443"/>
      <c r="M24" s="443"/>
      <c r="N24" s="443"/>
      <c r="O24" s="443"/>
      <c r="P24" s="443"/>
      <c r="Q24" s="443"/>
      <c r="R24" s="443"/>
      <c r="S24" s="443"/>
      <c r="T24" s="443"/>
      <c r="U24" s="443"/>
      <c r="V24" s="443"/>
      <c r="W24" s="443"/>
      <c r="X24" s="443"/>
      <c r="Y24" s="443"/>
      <c r="Z24" s="443"/>
    </row>
    <row r="25" spans="1:26">
      <c r="A25" s="1"/>
      <c r="B25" s="486" t="s">
        <v>357</v>
      </c>
      <c r="C25" s="487"/>
      <c r="D25" s="448" t="e">
        <f ca="1">(D23/D22)-1</f>
        <v>#N/A</v>
      </c>
      <c r="E25" s="1"/>
      <c r="F25" s="443"/>
      <c r="H25" s="443"/>
      <c r="I25" s="443"/>
      <c r="J25" s="443"/>
      <c r="K25" s="443"/>
      <c r="L25" s="443"/>
      <c r="M25" s="443"/>
      <c r="N25" s="443"/>
      <c r="O25" s="443"/>
      <c r="P25" s="443"/>
      <c r="Q25" s="443"/>
      <c r="R25" s="443"/>
      <c r="S25" s="443"/>
      <c r="T25" s="443"/>
      <c r="U25" s="443"/>
      <c r="V25" s="443"/>
      <c r="W25" s="443"/>
      <c r="X25" s="443"/>
      <c r="Y25" s="443"/>
      <c r="Z25" s="443"/>
    </row>
    <row r="26" spans="1:26">
      <c r="A26" s="1"/>
      <c r="B26" s="486" t="s">
        <v>362</v>
      </c>
      <c r="C26" s="487"/>
      <c r="D26" s="446" t="str">
        <f>'Monthly Statistics'!C17</f>
        <v/>
      </c>
      <c r="E26" s="1"/>
      <c r="F26" s="443"/>
      <c r="H26" s="443"/>
      <c r="I26" s="443"/>
      <c r="J26" s="443"/>
      <c r="K26" s="443"/>
      <c r="L26" s="443"/>
      <c r="M26" s="443"/>
      <c r="N26" s="443"/>
      <c r="O26" s="443"/>
      <c r="P26" s="443"/>
      <c r="Q26" s="443"/>
      <c r="R26" s="443"/>
      <c r="S26" s="443"/>
      <c r="T26" s="443"/>
      <c r="U26" s="443"/>
      <c r="V26" s="443"/>
      <c r="W26" s="443"/>
      <c r="X26" s="443"/>
      <c r="Y26" s="443"/>
      <c r="Z26" s="443"/>
    </row>
    <row r="27" spans="1:26">
      <c r="A27" s="1"/>
      <c r="B27" s="486" t="s">
        <v>361</v>
      </c>
      <c r="C27" s="487"/>
      <c r="D27" s="130" t="str">
        <f>'Monthly Statistics'!C18</f>
        <v/>
      </c>
      <c r="E27" s="1"/>
      <c r="F27" s="443"/>
      <c r="H27" s="443"/>
      <c r="I27" s="443"/>
      <c r="J27" s="443"/>
      <c r="K27" s="443"/>
      <c r="L27" s="443"/>
      <c r="M27" s="443"/>
      <c r="N27" s="443"/>
      <c r="O27" s="443"/>
      <c r="P27" s="443"/>
      <c r="Q27" s="443"/>
      <c r="R27" s="443"/>
      <c r="S27" s="443"/>
      <c r="T27" s="443"/>
      <c r="U27" s="443"/>
      <c r="V27" s="443"/>
      <c r="W27" s="443"/>
      <c r="X27" s="443"/>
      <c r="Y27" s="443"/>
      <c r="Z27" s="443"/>
    </row>
    <row r="28" spans="1:26" ht="5.0999999999999996" customHeight="1">
      <c r="A28" s="1"/>
      <c r="B28" s="1"/>
      <c r="C28" s="1"/>
      <c r="D28" s="1"/>
      <c r="E28" s="1"/>
      <c r="F28" s="443"/>
      <c r="H28" s="443"/>
      <c r="I28" s="443"/>
      <c r="J28" s="443"/>
      <c r="K28" s="443"/>
      <c r="L28" s="443"/>
      <c r="M28" s="443"/>
      <c r="N28" s="443"/>
      <c r="O28" s="443"/>
      <c r="P28" s="443"/>
      <c r="Q28" s="443"/>
      <c r="R28" s="443"/>
      <c r="S28" s="443"/>
      <c r="T28" s="443"/>
      <c r="U28" s="443"/>
      <c r="V28" s="443"/>
      <c r="W28" s="443"/>
      <c r="X28" s="443"/>
      <c r="Y28" s="443"/>
      <c r="Z28" s="443"/>
    </row>
    <row r="29" spans="1:26">
      <c r="A29" s="1"/>
      <c r="B29" s="1"/>
      <c r="C29" s="1"/>
      <c r="D29" s="1"/>
      <c r="E29" s="1"/>
      <c r="F29" s="443"/>
      <c r="H29" s="443"/>
      <c r="I29" s="443"/>
      <c r="J29" s="443"/>
      <c r="K29" s="443"/>
      <c r="L29" s="443"/>
      <c r="M29" s="443"/>
      <c r="N29" s="443"/>
      <c r="O29" s="443"/>
      <c r="P29" s="443"/>
      <c r="Q29" s="443"/>
      <c r="R29" s="443"/>
      <c r="S29" s="443"/>
      <c r="T29" s="443"/>
      <c r="U29" s="443"/>
      <c r="V29" s="443"/>
      <c r="W29" s="443"/>
      <c r="X29" s="443"/>
      <c r="Y29" s="443"/>
      <c r="Z29" s="443"/>
    </row>
    <row r="30" spans="1:26">
      <c r="A30" s="1"/>
      <c r="B30" s="1"/>
      <c r="C30" s="1"/>
      <c r="D30" s="1"/>
      <c r="E30" s="1"/>
      <c r="F30" s="443"/>
      <c r="H30" s="443"/>
      <c r="I30" s="443"/>
      <c r="J30" s="443"/>
      <c r="K30" s="443"/>
      <c r="L30" s="443"/>
      <c r="M30" s="443"/>
      <c r="N30" s="443"/>
      <c r="O30" s="443"/>
      <c r="P30" s="443"/>
      <c r="Q30" s="443"/>
      <c r="R30" s="443"/>
      <c r="S30" s="443"/>
      <c r="T30" s="443"/>
      <c r="U30" s="443"/>
      <c r="V30" s="443"/>
      <c r="W30" s="443"/>
      <c r="X30" s="443"/>
      <c r="Y30" s="443"/>
      <c r="Z30" s="443"/>
    </row>
    <row r="31" spans="1:26">
      <c r="A31" s="443"/>
      <c r="B31" s="443"/>
      <c r="C31" s="443"/>
      <c r="D31" s="443"/>
      <c r="E31" s="443"/>
      <c r="F31" s="443"/>
      <c r="H31" s="443"/>
      <c r="I31" s="443"/>
      <c r="J31" s="443"/>
      <c r="K31" s="443"/>
      <c r="L31" s="443"/>
      <c r="M31" s="443"/>
      <c r="N31" s="443"/>
      <c r="O31" s="443"/>
      <c r="P31" s="443"/>
      <c r="Q31" s="443"/>
      <c r="R31" s="443"/>
      <c r="S31" s="443"/>
      <c r="T31" s="443"/>
      <c r="U31" s="443"/>
      <c r="V31" s="443"/>
      <c r="W31" s="443"/>
      <c r="X31" s="443"/>
      <c r="Y31" s="443"/>
      <c r="Z31" s="443"/>
    </row>
    <row r="32" spans="1:26">
      <c r="A32" s="443"/>
      <c r="B32" s="443"/>
      <c r="C32" s="443"/>
      <c r="D32" s="443"/>
      <c r="E32" s="443"/>
      <c r="F32" s="443"/>
      <c r="H32" s="443"/>
      <c r="I32" s="443"/>
      <c r="J32" s="443"/>
      <c r="K32" s="443"/>
      <c r="L32" s="443"/>
      <c r="M32" s="443"/>
      <c r="N32" s="443"/>
      <c r="O32" s="443"/>
      <c r="P32" s="443"/>
      <c r="Q32" s="443"/>
      <c r="R32" s="443"/>
      <c r="S32" s="443"/>
      <c r="T32" s="443"/>
      <c r="U32" s="443"/>
      <c r="V32" s="443"/>
      <c r="W32" s="443"/>
      <c r="X32" s="443"/>
      <c r="Y32" s="443"/>
      <c r="Z32" s="443"/>
    </row>
    <row r="33" spans="1:26">
      <c r="A33" s="443"/>
      <c r="B33" s="443"/>
      <c r="C33" s="443"/>
      <c r="D33" s="443"/>
      <c r="E33" s="443"/>
      <c r="F33" s="443"/>
      <c r="H33" s="443"/>
      <c r="I33" s="443"/>
      <c r="J33" s="443"/>
      <c r="K33" s="443"/>
      <c r="L33" s="443"/>
      <c r="M33" s="443"/>
      <c r="N33" s="443"/>
      <c r="O33" s="443"/>
      <c r="P33" s="443"/>
      <c r="Q33" s="443"/>
      <c r="R33" s="443"/>
      <c r="S33" s="443"/>
      <c r="T33" s="443"/>
      <c r="U33" s="443"/>
      <c r="V33" s="443"/>
      <c r="W33" s="443"/>
      <c r="X33" s="443"/>
      <c r="Y33" s="443"/>
      <c r="Z33" s="443"/>
    </row>
    <row r="34" spans="1:26">
      <c r="A34" s="443"/>
      <c r="B34" s="443"/>
      <c r="C34" s="443"/>
      <c r="D34" s="443"/>
      <c r="E34" s="443"/>
      <c r="F34" s="443"/>
      <c r="H34" s="443"/>
      <c r="I34" s="443"/>
      <c r="J34" s="443"/>
      <c r="K34" s="443"/>
      <c r="L34" s="443"/>
      <c r="M34" s="443"/>
      <c r="N34" s="443"/>
      <c r="O34" s="443"/>
      <c r="P34" s="443"/>
      <c r="Q34" s="443"/>
      <c r="R34" s="443"/>
      <c r="S34" s="443"/>
      <c r="T34" s="443"/>
      <c r="U34" s="443"/>
      <c r="V34" s="443"/>
      <c r="W34" s="443"/>
      <c r="X34" s="443"/>
      <c r="Y34" s="443"/>
      <c r="Z34" s="443"/>
    </row>
    <row r="35" spans="1:26">
      <c r="A35" s="443"/>
      <c r="B35" s="443"/>
      <c r="C35" s="443"/>
      <c r="D35" s="443"/>
      <c r="E35" s="443"/>
      <c r="F35" s="443"/>
      <c r="H35" s="443"/>
      <c r="I35" s="443"/>
      <c r="J35" s="443"/>
      <c r="K35" s="443"/>
      <c r="L35" s="443"/>
      <c r="M35" s="443"/>
      <c r="N35" s="443"/>
      <c r="O35" s="443"/>
      <c r="P35" s="443"/>
      <c r="Q35" s="443"/>
      <c r="R35" s="443"/>
      <c r="S35" s="443"/>
      <c r="T35" s="443"/>
      <c r="U35" s="443"/>
      <c r="V35" s="443"/>
      <c r="W35" s="443"/>
      <c r="X35" s="443"/>
      <c r="Y35" s="443"/>
      <c r="Z35" s="443"/>
    </row>
    <row r="36" spans="1:26">
      <c r="A36" s="443"/>
      <c r="B36" s="443"/>
      <c r="C36" s="443"/>
      <c r="D36" s="443"/>
      <c r="E36" s="443"/>
      <c r="F36" s="443"/>
      <c r="H36" s="443"/>
      <c r="I36" s="443"/>
      <c r="J36" s="443"/>
      <c r="K36" s="443"/>
      <c r="L36" s="443"/>
      <c r="M36" s="443"/>
      <c r="N36" s="443"/>
      <c r="O36" s="443"/>
      <c r="P36" s="443"/>
      <c r="Q36" s="443"/>
      <c r="R36" s="443"/>
      <c r="S36" s="443"/>
      <c r="T36" s="443"/>
      <c r="U36" s="443"/>
      <c r="V36" s="443"/>
      <c r="W36" s="443"/>
      <c r="X36" s="443"/>
      <c r="Y36" s="443"/>
      <c r="Z36" s="443"/>
    </row>
    <row r="37" spans="1:26">
      <c r="A37" s="443"/>
      <c r="B37" s="443"/>
      <c r="C37" s="443"/>
      <c r="D37" s="443"/>
      <c r="E37" s="443"/>
      <c r="F37" s="443"/>
      <c r="H37" s="443"/>
      <c r="I37" s="443"/>
      <c r="J37" s="443"/>
      <c r="K37" s="443"/>
      <c r="L37" s="443"/>
      <c r="M37" s="443"/>
      <c r="N37" s="443"/>
      <c r="O37" s="443"/>
      <c r="P37" s="443"/>
      <c r="Q37" s="443"/>
      <c r="R37" s="443"/>
      <c r="S37" s="443"/>
      <c r="T37" s="443"/>
      <c r="U37" s="443"/>
      <c r="V37" s="443"/>
      <c r="W37" s="443"/>
      <c r="X37" s="443"/>
      <c r="Y37" s="443"/>
      <c r="Z37" s="443"/>
    </row>
    <row r="38" spans="1:26">
      <c r="A38" s="443"/>
      <c r="B38" s="443"/>
      <c r="C38" s="443"/>
      <c r="D38" s="443"/>
      <c r="E38" s="443"/>
      <c r="F38" s="443"/>
      <c r="H38" s="443"/>
      <c r="I38" s="443"/>
      <c r="J38" s="443"/>
      <c r="K38" s="443"/>
      <c r="L38" s="443"/>
      <c r="M38" s="443"/>
      <c r="N38" s="443"/>
      <c r="O38" s="443"/>
      <c r="P38" s="443"/>
      <c r="Q38" s="443"/>
      <c r="R38" s="443"/>
      <c r="S38" s="443"/>
      <c r="T38" s="443"/>
      <c r="U38" s="443"/>
      <c r="V38" s="443"/>
      <c r="W38" s="443"/>
      <c r="X38" s="443"/>
      <c r="Y38" s="443"/>
      <c r="Z38" s="443"/>
    </row>
    <row r="39" spans="1:26">
      <c r="A39" s="443"/>
      <c r="B39" s="443"/>
      <c r="C39" s="443"/>
      <c r="D39" s="443"/>
      <c r="E39" s="443"/>
      <c r="F39" s="443"/>
      <c r="H39" s="443"/>
      <c r="I39" s="443"/>
      <c r="J39" s="443"/>
      <c r="K39" s="443"/>
      <c r="L39" s="443"/>
      <c r="M39" s="443"/>
      <c r="N39" s="443"/>
      <c r="O39" s="443"/>
      <c r="P39" s="443"/>
      <c r="Q39" s="443"/>
      <c r="R39" s="443"/>
      <c r="S39" s="443"/>
      <c r="T39" s="443"/>
      <c r="U39" s="443"/>
      <c r="V39" s="443"/>
      <c r="W39" s="443"/>
      <c r="X39" s="443"/>
      <c r="Y39" s="443"/>
      <c r="Z39" s="443"/>
    </row>
    <row r="40" spans="1:26">
      <c r="A40" s="443"/>
      <c r="B40" s="443"/>
      <c r="C40" s="443"/>
      <c r="D40" s="443"/>
      <c r="E40" s="443"/>
      <c r="F40" s="443"/>
      <c r="H40" s="443"/>
      <c r="I40" s="443"/>
      <c r="J40" s="443"/>
      <c r="K40" s="443"/>
      <c r="L40" s="443"/>
      <c r="M40" s="443"/>
      <c r="N40" s="443"/>
      <c r="O40" s="443"/>
      <c r="P40" s="443"/>
      <c r="Q40" s="443"/>
      <c r="R40" s="443"/>
      <c r="S40" s="443"/>
      <c r="T40" s="443"/>
      <c r="U40" s="443"/>
      <c r="V40" s="443"/>
      <c r="W40" s="443"/>
      <c r="X40" s="443"/>
      <c r="Y40" s="443"/>
      <c r="Z40" s="443"/>
    </row>
    <row r="41" spans="1:26">
      <c r="A41" s="443"/>
      <c r="B41" s="443"/>
      <c r="C41" s="443"/>
      <c r="D41" s="443"/>
      <c r="E41" s="443"/>
      <c r="F41" s="443"/>
      <c r="H41" s="443"/>
      <c r="I41" s="443"/>
      <c r="J41" s="443"/>
      <c r="K41" s="443"/>
      <c r="L41" s="443"/>
      <c r="M41" s="443"/>
      <c r="N41" s="443"/>
      <c r="O41" s="443"/>
      <c r="P41" s="443"/>
      <c r="Q41" s="443"/>
      <c r="R41" s="443"/>
      <c r="S41" s="443"/>
      <c r="T41" s="443"/>
      <c r="U41" s="443"/>
      <c r="V41" s="443"/>
      <c r="W41" s="443"/>
      <c r="X41" s="443"/>
      <c r="Y41" s="443"/>
      <c r="Z41" s="443"/>
    </row>
    <row r="42" spans="1:26">
      <c r="A42" s="443"/>
      <c r="B42" s="443"/>
      <c r="C42" s="443"/>
      <c r="D42" s="443"/>
      <c r="E42" s="443"/>
      <c r="F42" s="443"/>
      <c r="H42" s="443"/>
      <c r="I42" s="443"/>
      <c r="J42" s="443"/>
      <c r="K42" s="443"/>
      <c r="L42" s="443"/>
      <c r="M42" s="443"/>
      <c r="N42" s="443"/>
      <c r="O42" s="443"/>
      <c r="P42" s="443"/>
      <c r="Q42" s="443"/>
      <c r="R42" s="443"/>
      <c r="S42" s="443"/>
      <c r="T42" s="443"/>
      <c r="U42" s="443"/>
      <c r="V42" s="443"/>
      <c r="W42" s="443"/>
      <c r="X42" s="443"/>
      <c r="Y42" s="443"/>
      <c r="Z42" s="443"/>
    </row>
    <row r="43" spans="1:26">
      <c r="A43" s="443"/>
      <c r="B43" s="443"/>
      <c r="C43" s="443"/>
      <c r="D43" s="443"/>
      <c r="E43" s="443"/>
      <c r="F43" s="443"/>
      <c r="H43" s="443"/>
      <c r="I43" s="443"/>
      <c r="J43" s="443"/>
      <c r="K43" s="443"/>
      <c r="L43" s="443"/>
      <c r="M43" s="443"/>
      <c r="N43" s="443"/>
      <c r="O43" s="443"/>
      <c r="P43" s="443"/>
      <c r="Q43" s="443"/>
      <c r="R43" s="443"/>
      <c r="S43" s="443"/>
      <c r="T43" s="443"/>
      <c r="U43" s="443"/>
      <c r="V43" s="443"/>
      <c r="W43" s="443"/>
      <c r="X43" s="443"/>
      <c r="Y43" s="443"/>
      <c r="Z43" s="443"/>
    </row>
    <row r="44" spans="1:26">
      <c r="A44" s="443"/>
      <c r="B44" s="443"/>
      <c r="C44" s="443"/>
      <c r="D44" s="443"/>
      <c r="E44" s="443"/>
      <c r="F44" s="443"/>
      <c r="H44" s="443"/>
      <c r="I44" s="443"/>
      <c r="J44" s="443"/>
      <c r="K44" s="443"/>
      <c r="L44" s="443"/>
      <c r="M44" s="443"/>
      <c r="N44" s="443"/>
      <c r="O44" s="443"/>
      <c r="P44" s="443"/>
      <c r="Q44" s="443"/>
      <c r="R44" s="443"/>
      <c r="S44" s="443"/>
      <c r="T44" s="443"/>
      <c r="U44" s="443"/>
      <c r="V44" s="443"/>
      <c r="W44" s="443"/>
      <c r="X44" s="443"/>
      <c r="Y44" s="443"/>
      <c r="Z44" s="443"/>
    </row>
    <row r="45" spans="1:26">
      <c r="A45" s="443"/>
      <c r="B45" s="443"/>
      <c r="C45" s="443"/>
      <c r="D45" s="443"/>
      <c r="E45" s="443"/>
      <c r="F45" s="443"/>
      <c r="H45" s="443"/>
      <c r="I45" s="443"/>
      <c r="J45" s="443"/>
      <c r="K45" s="443"/>
      <c r="L45" s="443"/>
      <c r="M45" s="443"/>
      <c r="N45" s="443"/>
      <c r="O45" s="443"/>
      <c r="P45" s="443"/>
      <c r="Q45" s="443"/>
      <c r="R45" s="443"/>
      <c r="S45" s="443"/>
      <c r="T45" s="443"/>
      <c r="U45" s="443"/>
      <c r="V45" s="443"/>
      <c r="W45" s="443"/>
      <c r="X45" s="443"/>
      <c r="Y45" s="443"/>
      <c r="Z45" s="443"/>
    </row>
    <row r="46" spans="1:26">
      <c r="A46" s="443"/>
      <c r="B46" s="443"/>
      <c r="C46" s="443"/>
      <c r="D46" s="443"/>
      <c r="E46" s="443"/>
      <c r="F46" s="443"/>
      <c r="H46" s="443"/>
      <c r="I46" s="443"/>
      <c r="J46" s="443"/>
      <c r="K46" s="443"/>
      <c r="L46" s="443"/>
      <c r="M46" s="443"/>
      <c r="N46" s="443"/>
      <c r="O46" s="443"/>
      <c r="P46" s="443"/>
      <c r="Q46" s="443"/>
      <c r="R46" s="443"/>
      <c r="S46" s="443"/>
      <c r="T46" s="443"/>
      <c r="U46" s="443"/>
      <c r="V46" s="443"/>
      <c r="W46" s="443"/>
      <c r="X46" s="443"/>
      <c r="Y46" s="443"/>
      <c r="Z46" s="443"/>
    </row>
    <row r="47" spans="1:26">
      <c r="A47" s="443"/>
      <c r="B47" s="443"/>
      <c r="C47" s="443"/>
      <c r="D47" s="443"/>
      <c r="E47" s="443"/>
      <c r="F47" s="443"/>
      <c r="H47" s="443"/>
      <c r="I47" s="443"/>
      <c r="J47" s="443"/>
      <c r="K47" s="443"/>
      <c r="L47" s="443"/>
      <c r="M47" s="443"/>
      <c r="N47" s="443"/>
      <c r="O47" s="443"/>
      <c r="P47" s="443"/>
      <c r="Q47" s="443"/>
      <c r="R47" s="443"/>
      <c r="S47" s="443"/>
      <c r="T47" s="443"/>
      <c r="U47" s="443"/>
      <c r="V47" s="443"/>
      <c r="W47" s="443"/>
      <c r="X47" s="443"/>
      <c r="Y47" s="443"/>
      <c r="Z47" s="443"/>
    </row>
    <row r="48" spans="1:26">
      <c r="A48" s="443"/>
      <c r="B48" s="443"/>
      <c r="C48" s="443"/>
      <c r="D48" s="443"/>
      <c r="E48" s="443"/>
      <c r="F48" s="443"/>
      <c r="H48" s="443"/>
      <c r="I48" s="443"/>
      <c r="J48" s="443"/>
      <c r="K48" s="443"/>
      <c r="L48" s="443"/>
      <c r="M48" s="443"/>
      <c r="N48" s="443"/>
      <c r="O48" s="443"/>
      <c r="P48" s="443"/>
      <c r="Q48" s="443"/>
      <c r="R48" s="443"/>
      <c r="S48" s="443"/>
      <c r="T48" s="443"/>
      <c r="U48" s="443"/>
      <c r="V48" s="443"/>
      <c r="W48" s="443"/>
      <c r="X48" s="443"/>
      <c r="Y48" s="443"/>
      <c r="Z48" s="443"/>
    </row>
    <row r="49" spans="1:26">
      <c r="A49" s="443"/>
      <c r="B49" s="443"/>
      <c r="C49" s="443"/>
      <c r="D49" s="443"/>
      <c r="E49" s="443"/>
      <c r="F49" s="443"/>
      <c r="H49" s="443"/>
      <c r="I49" s="443"/>
      <c r="J49" s="443"/>
      <c r="K49" s="443"/>
      <c r="L49" s="443"/>
      <c r="M49" s="443"/>
      <c r="N49" s="443"/>
      <c r="O49" s="443"/>
      <c r="P49" s="443"/>
      <c r="Q49" s="443"/>
      <c r="R49" s="443"/>
      <c r="S49" s="443"/>
      <c r="T49" s="443"/>
      <c r="U49" s="443"/>
      <c r="V49" s="443"/>
      <c r="W49" s="443"/>
      <c r="X49" s="443"/>
      <c r="Y49" s="443"/>
      <c r="Z49" s="443"/>
    </row>
    <row r="50" spans="1:26">
      <c r="A50" s="443"/>
      <c r="B50" s="443"/>
      <c r="C50" s="443"/>
      <c r="D50" s="443"/>
      <c r="E50" s="443"/>
      <c r="F50" s="443"/>
      <c r="H50" s="443"/>
      <c r="I50" s="443"/>
      <c r="J50" s="443"/>
      <c r="K50" s="443"/>
      <c r="L50" s="443"/>
      <c r="M50" s="443"/>
      <c r="N50" s="443"/>
      <c r="O50" s="443"/>
      <c r="P50" s="443"/>
      <c r="Q50" s="443"/>
      <c r="R50" s="443"/>
      <c r="S50" s="443"/>
      <c r="T50" s="443"/>
      <c r="U50" s="443"/>
      <c r="V50" s="443"/>
      <c r="W50" s="443"/>
      <c r="X50" s="443"/>
      <c r="Y50" s="443"/>
      <c r="Z50" s="443"/>
    </row>
    <row r="51" spans="1:26">
      <c r="A51" s="443"/>
      <c r="B51" s="443"/>
      <c r="C51" s="443"/>
      <c r="D51" s="443"/>
      <c r="E51" s="443"/>
      <c r="F51" s="443"/>
      <c r="H51" s="443"/>
      <c r="I51" s="443"/>
      <c r="J51" s="443"/>
      <c r="K51" s="443"/>
      <c r="L51" s="443"/>
      <c r="M51" s="443"/>
      <c r="N51" s="443"/>
      <c r="O51" s="443"/>
      <c r="P51" s="443"/>
      <c r="Q51" s="443"/>
      <c r="R51" s="443"/>
      <c r="S51" s="443"/>
      <c r="T51" s="443"/>
      <c r="U51" s="443"/>
      <c r="V51" s="443"/>
      <c r="W51" s="443"/>
      <c r="X51" s="443"/>
      <c r="Y51" s="443"/>
      <c r="Z51" s="443"/>
    </row>
    <row r="52" spans="1:26">
      <c r="A52" s="443"/>
      <c r="B52" s="443"/>
      <c r="C52" s="443"/>
      <c r="D52" s="443"/>
      <c r="E52" s="443"/>
      <c r="F52" s="443"/>
      <c r="H52" s="443"/>
      <c r="I52" s="443"/>
      <c r="J52" s="443"/>
      <c r="K52" s="443"/>
      <c r="L52" s="443"/>
      <c r="M52" s="443"/>
      <c r="N52" s="443"/>
      <c r="O52" s="443"/>
      <c r="P52" s="443"/>
      <c r="Q52" s="443"/>
      <c r="R52" s="443"/>
      <c r="S52" s="443"/>
      <c r="T52" s="443"/>
      <c r="U52" s="443"/>
      <c r="V52" s="443"/>
      <c r="W52" s="443"/>
      <c r="X52" s="443"/>
      <c r="Y52" s="443"/>
      <c r="Z52" s="443"/>
    </row>
    <row r="53" spans="1:26">
      <c r="A53" s="443"/>
      <c r="B53" s="443"/>
      <c r="C53" s="443"/>
      <c r="D53" s="443"/>
      <c r="E53" s="443"/>
      <c r="F53" s="443"/>
      <c r="H53" s="443"/>
      <c r="I53" s="443"/>
      <c r="J53" s="443"/>
      <c r="K53" s="443"/>
      <c r="L53" s="443"/>
      <c r="M53" s="443"/>
      <c r="N53" s="443"/>
      <c r="O53" s="443"/>
      <c r="P53" s="443"/>
      <c r="Q53" s="443"/>
      <c r="R53" s="443"/>
      <c r="S53" s="443"/>
      <c r="T53" s="443"/>
      <c r="U53" s="443"/>
      <c r="V53" s="443"/>
      <c r="W53" s="443"/>
      <c r="X53" s="443"/>
      <c r="Y53" s="443"/>
      <c r="Z53" s="443"/>
    </row>
    <row r="54" spans="1:26">
      <c r="A54" s="443"/>
      <c r="B54" s="443"/>
      <c r="C54" s="443"/>
      <c r="D54" s="443"/>
      <c r="E54" s="443"/>
      <c r="F54" s="443"/>
      <c r="H54" s="443"/>
      <c r="I54" s="443"/>
      <c r="J54" s="443"/>
      <c r="K54" s="443"/>
      <c r="L54" s="443"/>
      <c r="M54" s="443"/>
      <c r="N54" s="443"/>
      <c r="O54" s="443"/>
      <c r="P54" s="443"/>
      <c r="Q54" s="443"/>
      <c r="R54" s="443"/>
      <c r="S54" s="443"/>
      <c r="T54" s="443"/>
      <c r="U54" s="443"/>
      <c r="V54" s="443"/>
      <c r="W54" s="443"/>
      <c r="X54" s="443"/>
      <c r="Y54" s="443"/>
      <c r="Z54" s="443"/>
    </row>
    <row r="55" spans="1:26">
      <c r="A55" s="443"/>
      <c r="B55" s="443"/>
      <c r="C55" s="443"/>
      <c r="D55" s="443"/>
      <c r="E55" s="443"/>
      <c r="F55" s="443"/>
      <c r="H55" s="443"/>
      <c r="I55" s="443"/>
      <c r="J55" s="443"/>
      <c r="K55" s="443"/>
      <c r="L55" s="443"/>
      <c r="M55" s="443"/>
      <c r="N55" s="443"/>
      <c r="O55" s="443"/>
      <c r="P55" s="443"/>
      <c r="Q55" s="443"/>
      <c r="R55" s="443"/>
      <c r="S55" s="443"/>
      <c r="T55" s="443"/>
      <c r="U55" s="443"/>
      <c r="V55" s="443"/>
      <c r="W55" s="443"/>
      <c r="X55" s="443"/>
      <c r="Y55" s="443"/>
      <c r="Z55" s="443"/>
    </row>
  </sheetData>
  <sheetProtection algorithmName="SHA-512" hashValue="FgeVUlIdvT9hAvmYQi+UhiLI9ScXkWL9kRp2r8jBGlmN6EVCFH8oyF49X9r31qbtoCEJu/DDBBcJTw4phVaVQg==" saltValue="78BE6zsQTToBSGeGjQ8w+Q==" spinCount="100000" sheet="1" objects="1" scenarios="1"/>
  <mergeCells count="18">
    <mergeCell ref="B27:C27"/>
    <mergeCell ref="B14:C14"/>
    <mergeCell ref="B15:C15"/>
    <mergeCell ref="B16:C16"/>
    <mergeCell ref="B17:C17"/>
    <mergeCell ref="B18:C18"/>
    <mergeCell ref="B19:C19"/>
    <mergeCell ref="B22:C22"/>
    <mergeCell ref="B23:C23"/>
    <mergeCell ref="B24:C24"/>
    <mergeCell ref="B25:C25"/>
    <mergeCell ref="B26:C26"/>
    <mergeCell ref="B10:C10"/>
    <mergeCell ref="B5:C5"/>
    <mergeCell ref="B6:C6"/>
    <mergeCell ref="B7:C7"/>
    <mergeCell ref="B8:C8"/>
    <mergeCell ref="B9:C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SendSelectedCells_inOutlookEmail">
                <anchor moveWithCells="1" sizeWithCells="1">
                  <from>
                    <xdr:col>1</xdr:col>
                    <xdr:colOff>552450</xdr:colOff>
                    <xdr:row>28</xdr:row>
                    <xdr:rowOff>47625</xdr:rowOff>
                  </from>
                  <to>
                    <xdr:col>3</xdr:col>
                    <xdr:colOff>171450</xdr:colOff>
                    <xdr:row>29</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B34"/>
  <sheetViews>
    <sheetView zoomScale="115" zoomScaleNormal="115" workbookViewId="0">
      <selection activeCell="N20" sqref="N20"/>
    </sheetView>
  </sheetViews>
  <sheetFormatPr defaultColWidth="10.28515625" defaultRowHeight="12.75"/>
  <cols>
    <col min="1" max="1" width="1.28515625" style="10" customWidth="1"/>
    <col min="2" max="2" width="11.5703125" style="10" customWidth="1"/>
    <col min="3" max="3" width="10.7109375" style="10" customWidth="1"/>
    <col min="4" max="4" width="11.28515625" style="10" customWidth="1"/>
    <col min="5" max="5" width="12.28515625" style="10" customWidth="1"/>
    <col min="6" max="6" width="11.28515625" style="10" customWidth="1"/>
    <col min="7" max="7" width="11.28515625" style="10" hidden="1" customWidth="1"/>
    <col min="8" max="8" width="1.28515625" style="10" customWidth="1"/>
    <col min="9" max="9" width="2.7109375" style="10" customWidth="1"/>
    <col min="10" max="10" width="1.28515625" style="10" customWidth="1"/>
    <col min="11" max="11" width="12.42578125" style="10" customWidth="1"/>
    <col min="12" max="12" width="10.28515625" style="10"/>
    <col min="13" max="13" width="1.28515625" style="10" customWidth="1"/>
    <col min="14" max="14" width="12.7109375" style="10" customWidth="1"/>
    <col min="15" max="15" width="1.28515625" style="10" customWidth="1"/>
    <col min="16" max="16" width="12.7109375" style="10" customWidth="1"/>
    <col min="17" max="17" width="10.28515625" style="10"/>
    <col min="18" max="18" width="1.28515625" style="10" customWidth="1"/>
    <col min="19" max="19" width="12.7109375" style="10" customWidth="1"/>
    <col min="20" max="20" width="1.28515625" style="10" customWidth="1"/>
    <col min="21" max="21" width="12.42578125" style="10" customWidth="1"/>
    <col min="22" max="22" width="9.85546875" style="10" customWidth="1"/>
    <col min="23" max="23" width="1.28515625" style="10" customWidth="1"/>
    <col min="24" max="24" width="12.7109375" style="10" customWidth="1"/>
    <col min="25" max="25" width="1.28515625" style="10" customWidth="1"/>
    <col min="26" max="26" width="12.42578125" style="10" customWidth="1"/>
    <col min="27" max="27" width="10.28515625" style="10"/>
    <col min="28" max="28" width="1.28515625" style="10" customWidth="1"/>
    <col min="29" max="29" width="2.7109375" style="10" customWidth="1"/>
    <col min="30" max="16384" width="10.28515625" style="10"/>
  </cols>
  <sheetData>
    <row r="1" spans="1:28" ht="15.75">
      <c r="B1" s="221" t="s">
        <v>143</v>
      </c>
    </row>
    <row r="2" spans="1:28" ht="12.2" customHeight="1">
      <c r="B2" s="73"/>
      <c r="C2" s="73"/>
      <c r="D2" s="73"/>
      <c r="E2" s="73"/>
      <c r="G2" s="73"/>
      <c r="J2" s="222"/>
      <c r="K2" s="222"/>
      <c r="L2" s="222"/>
      <c r="M2" s="223"/>
      <c r="N2" s="223"/>
      <c r="O2" s="223"/>
      <c r="P2" s="223"/>
      <c r="Q2" s="223"/>
      <c r="R2" s="223"/>
      <c r="S2" s="223"/>
      <c r="T2" s="223"/>
      <c r="U2" s="223"/>
      <c r="V2" s="223"/>
      <c r="W2" s="223"/>
    </row>
    <row r="3" spans="1:28" ht="12.2" customHeight="1">
      <c r="B3" s="224">
        <f ca="1">TODAY()</f>
        <v>43979</v>
      </c>
      <c r="C3" s="379"/>
      <c r="D3" s="379"/>
      <c r="F3" s="225"/>
      <c r="G3" s="73"/>
      <c r="J3" s="222"/>
      <c r="K3" s="224">
        <f ca="1">B3</f>
        <v>43979</v>
      </c>
      <c r="L3" s="226"/>
      <c r="M3" s="223"/>
      <c r="N3" s="223"/>
      <c r="O3" s="222"/>
      <c r="P3" s="224">
        <f ca="1">K3</f>
        <v>43979</v>
      </c>
      <c r="Q3" s="226"/>
      <c r="R3" s="223"/>
      <c r="S3" s="223"/>
      <c r="T3" s="222"/>
      <c r="U3" s="224">
        <f ca="1">K3</f>
        <v>43979</v>
      </c>
      <c r="V3" s="226"/>
      <c r="W3" s="223"/>
      <c r="Y3" s="222"/>
      <c r="Z3" s="224">
        <f ca="1">P3</f>
        <v>43979</v>
      </c>
      <c r="AA3" s="226"/>
      <c r="AB3" s="223"/>
    </row>
    <row r="4" spans="1:28" ht="7.5" customHeight="1">
      <c r="A4" s="227"/>
      <c r="B4" s="228"/>
      <c r="C4" s="228"/>
      <c r="D4" s="228">
        <v>55</v>
      </c>
      <c r="E4" s="228"/>
      <c r="F4" s="228"/>
      <c r="G4" s="228"/>
      <c r="H4" s="227"/>
      <c r="J4" s="229"/>
      <c r="K4" s="229"/>
      <c r="L4" s="229"/>
      <c r="M4" s="230"/>
      <c r="N4" s="223"/>
      <c r="O4" s="229"/>
      <c r="P4" s="229"/>
      <c r="Q4" s="229"/>
      <c r="R4" s="230"/>
      <c r="S4" s="223"/>
      <c r="T4" s="229"/>
      <c r="U4" s="229"/>
      <c r="V4" s="229"/>
      <c r="W4" s="230"/>
      <c r="Y4" s="229"/>
      <c r="Z4" s="229"/>
      <c r="AA4" s="229"/>
      <c r="AB4" s="230"/>
    </row>
    <row r="5" spans="1:28" ht="22.5">
      <c r="A5" s="227"/>
      <c r="B5" s="133" t="s">
        <v>87</v>
      </c>
      <c r="C5" s="133" t="s">
        <v>90</v>
      </c>
      <c r="D5" s="133" t="s">
        <v>144</v>
      </c>
      <c r="E5" s="231" t="s">
        <v>145</v>
      </c>
      <c r="F5" s="133" t="s">
        <v>146</v>
      </c>
      <c r="G5" s="232" t="s">
        <v>147</v>
      </c>
      <c r="H5" s="233"/>
      <c r="I5" s="234"/>
      <c r="J5" s="235"/>
      <c r="K5" s="236" t="str">
        <f t="shared" ref="K5:K26" si="0">B5</f>
        <v>Employee</v>
      </c>
      <c r="L5" s="236" t="s">
        <v>148</v>
      </c>
      <c r="M5" s="237"/>
      <c r="N5" s="238"/>
      <c r="O5" s="235"/>
      <c r="P5" s="236" t="str">
        <f t="shared" ref="P5:P26" si="1">K5</f>
        <v>Employee</v>
      </c>
      <c r="Q5" s="236" t="str">
        <f t="shared" ref="Q5:Q26" si="2">L5</f>
        <v>$ Per Day</v>
      </c>
      <c r="R5" s="237"/>
      <c r="S5" s="239"/>
      <c r="T5" s="235"/>
      <c r="U5" s="236" t="str">
        <f t="shared" ref="U5:U26" si="3">K5</f>
        <v>Employee</v>
      </c>
      <c r="V5" s="236" t="str">
        <f t="shared" ref="V5:V26" si="4">L5</f>
        <v>$ Per Day</v>
      </c>
      <c r="W5" s="237"/>
      <c r="X5" s="239"/>
      <c r="Y5" s="235"/>
      <c r="Z5" s="236" t="str">
        <f>K5</f>
        <v>Employee</v>
      </c>
      <c r="AA5" s="236" t="str">
        <f>L5</f>
        <v>$ Per Day</v>
      </c>
      <c r="AB5" s="230"/>
    </row>
    <row r="6" spans="1:28" ht="12.95" customHeight="1">
      <c r="A6" s="227"/>
      <c r="B6" s="134">
        <f>'Weekly Minimums Planner'!I13</f>
        <v>0</v>
      </c>
      <c r="C6" s="135" t="e">
        <f>'Weekly Minimums Planner'!M13</f>
        <v>#N/A</v>
      </c>
      <c r="D6" s="240" t="str">
        <f>IF(ISERROR(C6*('Weekly Minimums Planner'!$S$10)+C6),"",(C6*('Weekly Minimums Planner'!$S$10)+C6))</f>
        <v/>
      </c>
      <c r="E6" s="136">
        <f>'Weekly Minimums Planner'!P13</f>
        <v>0</v>
      </c>
      <c r="F6" s="303" t="str">
        <f>IF(ISERROR(C6-E6),"",IF(C6-E6&lt;0,"Done!",C6-E6))</f>
        <v/>
      </c>
      <c r="G6" s="241">
        <v>5</v>
      </c>
      <c r="H6" s="227"/>
      <c r="J6" s="229"/>
      <c r="K6" s="242">
        <f t="shared" si="0"/>
        <v>0</v>
      </c>
      <c r="L6" s="243">
        <f ca="1">IF(ISERROR(VLOOKUP($B$3,Budgets!$C$6:$X$47,3)),"",(VLOOKUP($B$3,Budgets!$C$6:$X$47,3)))</f>
        <v>0</v>
      </c>
      <c r="M6" s="230"/>
      <c r="N6" s="244"/>
      <c r="O6" s="229"/>
      <c r="P6" s="242">
        <f t="shared" si="1"/>
        <v>0</v>
      </c>
      <c r="Q6" s="243">
        <f t="shared" ca="1" si="2"/>
        <v>0</v>
      </c>
      <c r="R6" s="230"/>
      <c r="S6" s="245"/>
      <c r="T6" s="229"/>
      <c r="U6" s="242">
        <f t="shared" si="3"/>
        <v>0</v>
      </c>
      <c r="V6" s="243">
        <f t="shared" ca="1" si="4"/>
        <v>0</v>
      </c>
      <c r="W6" s="230"/>
      <c r="X6" s="245"/>
      <c r="Y6" s="229"/>
      <c r="Z6" s="242">
        <f t="shared" ref="Z6:Z26" si="5">P6</f>
        <v>0</v>
      </c>
      <c r="AA6" s="243">
        <f t="shared" ref="AA6:AA26" ca="1" si="6">Q6</f>
        <v>0</v>
      </c>
      <c r="AB6" s="230"/>
    </row>
    <row r="7" spans="1:28" ht="12.95" customHeight="1">
      <c r="A7" s="227"/>
      <c r="B7" s="134" t="str">
        <f>'Weekly Minimums Planner'!I14</f>
        <v/>
      </c>
      <c r="C7" s="135" t="e">
        <f>'Weekly Minimums Planner'!M14</f>
        <v>#N/A</v>
      </c>
      <c r="D7" s="240" t="str">
        <f>IF(ISERROR(C7*('Weekly Minimums Planner'!$S$10)+C7),"",(C7*('Weekly Minimums Planner'!$S$10)+C7))</f>
        <v/>
      </c>
      <c r="E7" s="136">
        <f>'Weekly Minimums Planner'!P14</f>
        <v>0</v>
      </c>
      <c r="F7" s="303" t="str">
        <f t="shared" ref="F7:F26" si="7">IF(ISERROR(C7-E7),"",IF(C7-E7&lt;0,"Done!",C7-E7))</f>
        <v/>
      </c>
      <c r="G7" s="241">
        <v>5</v>
      </c>
      <c r="H7" s="227"/>
      <c r="J7" s="229"/>
      <c r="K7" s="242" t="str">
        <f t="shared" si="0"/>
        <v/>
      </c>
      <c r="L7" s="243">
        <f ca="1">IF(ISERROR(VLOOKUP($B$3,Budgets!$C$6:$X$47,4)),"",(VLOOKUP($B$3,Budgets!$C$6:$X$47,4)))</f>
        <v>0</v>
      </c>
      <c r="M7" s="230"/>
      <c r="N7" s="246"/>
      <c r="O7" s="229"/>
      <c r="P7" s="242" t="str">
        <f t="shared" si="1"/>
        <v/>
      </c>
      <c r="Q7" s="243">
        <f t="shared" ca="1" si="2"/>
        <v>0</v>
      </c>
      <c r="R7" s="230"/>
      <c r="S7" s="245"/>
      <c r="T7" s="229"/>
      <c r="U7" s="242" t="str">
        <f t="shared" si="3"/>
        <v/>
      </c>
      <c r="V7" s="243">
        <f t="shared" ca="1" si="4"/>
        <v>0</v>
      </c>
      <c r="W7" s="230"/>
      <c r="X7" s="245"/>
      <c r="Y7" s="229"/>
      <c r="Z7" s="242" t="str">
        <f t="shared" si="5"/>
        <v/>
      </c>
      <c r="AA7" s="243">
        <f t="shared" ca="1" si="6"/>
        <v>0</v>
      </c>
      <c r="AB7" s="230"/>
    </row>
    <row r="8" spans="1:28" ht="12.95" customHeight="1">
      <c r="A8" s="227"/>
      <c r="B8" s="134" t="str">
        <f>'Weekly Minimums Planner'!I15</f>
        <v/>
      </c>
      <c r="C8" s="135" t="e">
        <f>'Weekly Minimums Planner'!M15</f>
        <v>#N/A</v>
      </c>
      <c r="D8" s="240" t="str">
        <f>IF(ISERROR(C8*('Weekly Minimums Planner'!$S$10)+C8),"",(C8*('Weekly Minimums Planner'!$S$10)+C8))</f>
        <v/>
      </c>
      <c r="E8" s="136">
        <f>'Weekly Minimums Planner'!P15</f>
        <v>0</v>
      </c>
      <c r="F8" s="303" t="str">
        <f t="shared" si="7"/>
        <v/>
      </c>
      <c r="G8" s="241">
        <v>0</v>
      </c>
      <c r="H8" s="227"/>
      <c r="J8" s="229"/>
      <c r="K8" s="242" t="str">
        <f t="shared" si="0"/>
        <v/>
      </c>
      <c r="L8" s="243">
        <f ca="1">IF(ISERROR(VLOOKUP($B$3,Budgets!$C$6:$X$47,5)),"",(VLOOKUP($B$3,Budgets!$C$6:$X$47,5)))</f>
        <v>0</v>
      </c>
      <c r="M8" s="230"/>
      <c r="N8" s="247"/>
      <c r="O8" s="229"/>
      <c r="P8" s="242" t="str">
        <f t="shared" si="1"/>
        <v/>
      </c>
      <c r="Q8" s="243">
        <f t="shared" ca="1" si="2"/>
        <v>0</v>
      </c>
      <c r="R8" s="230"/>
      <c r="S8" s="245"/>
      <c r="T8" s="229"/>
      <c r="U8" s="242" t="str">
        <f t="shared" si="3"/>
        <v/>
      </c>
      <c r="V8" s="243">
        <f t="shared" ca="1" si="4"/>
        <v>0</v>
      </c>
      <c r="W8" s="230"/>
      <c r="X8" s="245"/>
      <c r="Y8" s="229"/>
      <c r="Z8" s="242" t="str">
        <f t="shared" si="5"/>
        <v/>
      </c>
      <c r="AA8" s="243">
        <f t="shared" ca="1" si="6"/>
        <v>0</v>
      </c>
      <c r="AB8" s="230"/>
    </row>
    <row r="9" spans="1:28" ht="12.95" customHeight="1">
      <c r="A9" s="227"/>
      <c r="B9" s="134" t="str">
        <f>'Weekly Minimums Planner'!I16</f>
        <v/>
      </c>
      <c r="C9" s="135" t="e">
        <f>'Weekly Minimums Planner'!M16</f>
        <v>#N/A</v>
      </c>
      <c r="D9" s="240" t="str">
        <f>IF(ISERROR(C9*('Weekly Minimums Planner'!$S$10)+C9),"",(C9*('Weekly Minimums Planner'!$S$10)+C9))</f>
        <v/>
      </c>
      <c r="E9" s="136">
        <f>'Weekly Minimums Planner'!P16</f>
        <v>0</v>
      </c>
      <c r="F9" s="303" t="str">
        <f t="shared" si="7"/>
        <v/>
      </c>
      <c r="G9" s="241">
        <v>0</v>
      </c>
      <c r="H9" s="227"/>
      <c r="J9" s="229"/>
      <c r="K9" s="242" t="str">
        <f t="shared" si="0"/>
        <v/>
      </c>
      <c r="L9" s="243">
        <f ca="1">IF(ISERROR(VLOOKUP($B$3,Budgets!$C$6:$X$47,6)),"",(VLOOKUP($B$3,Budgets!$C$6:$X$47,6)))</f>
        <v>0</v>
      </c>
      <c r="M9" s="230"/>
      <c r="N9" s="223"/>
      <c r="O9" s="229"/>
      <c r="P9" s="242" t="str">
        <f t="shared" si="1"/>
        <v/>
      </c>
      <c r="Q9" s="243">
        <f t="shared" ca="1" si="2"/>
        <v>0</v>
      </c>
      <c r="R9" s="230"/>
      <c r="S9" s="245"/>
      <c r="T9" s="229"/>
      <c r="U9" s="242" t="str">
        <f t="shared" si="3"/>
        <v/>
      </c>
      <c r="V9" s="243">
        <f t="shared" ca="1" si="4"/>
        <v>0</v>
      </c>
      <c r="W9" s="230"/>
      <c r="X9" s="245"/>
      <c r="Y9" s="229"/>
      <c r="Z9" s="242" t="str">
        <f t="shared" si="5"/>
        <v/>
      </c>
      <c r="AA9" s="243">
        <f t="shared" ca="1" si="6"/>
        <v>0</v>
      </c>
      <c r="AB9" s="230"/>
    </row>
    <row r="10" spans="1:28" ht="12.95" customHeight="1">
      <c r="A10" s="227"/>
      <c r="B10" s="134" t="str">
        <f>'Weekly Minimums Planner'!I17</f>
        <v/>
      </c>
      <c r="C10" s="135" t="e">
        <f>'Weekly Minimums Planner'!M17</f>
        <v>#N/A</v>
      </c>
      <c r="D10" s="240" t="str">
        <f>IF(ISERROR(C10*('Weekly Minimums Planner'!$S$10)+C10),"",(C10*('Weekly Minimums Planner'!$S$10)+C10))</f>
        <v/>
      </c>
      <c r="E10" s="136">
        <f>'Weekly Minimums Planner'!P17</f>
        <v>0</v>
      </c>
      <c r="F10" s="303" t="str">
        <f t="shared" si="7"/>
        <v/>
      </c>
      <c r="G10" s="241">
        <v>0</v>
      </c>
      <c r="H10" s="227"/>
      <c r="J10" s="229"/>
      <c r="K10" s="242" t="str">
        <f t="shared" si="0"/>
        <v/>
      </c>
      <c r="L10" s="243">
        <f ca="1">IF(ISERROR(VLOOKUP($B$3,Budgets!$C$6:$X$47,7)),"",(VLOOKUP($B$3,Budgets!$C$6:$X$47,7)))</f>
        <v>0</v>
      </c>
      <c r="M10" s="230"/>
      <c r="N10" s="245"/>
      <c r="O10" s="229"/>
      <c r="P10" s="242" t="str">
        <f t="shared" si="1"/>
        <v/>
      </c>
      <c r="Q10" s="243">
        <f t="shared" ca="1" si="2"/>
        <v>0</v>
      </c>
      <c r="R10" s="230"/>
      <c r="S10" s="245"/>
      <c r="T10" s="229"/>
      <c r="U10" s="242" t="str">
        <f t="shared" si="3"/>
        <v/>
      </c>
      <c r="V10" s="243">
        <f t="shared" ca="1" si="4"/>
        <v>0</v>
      </c>
      <c r="W10" s="230"/>
      <c r="X10" s="245"/>
      <c r="Y10" s="229"/>
      <c r="Z10" s="242" t="str">
        <f t="shared" si="5"/>
        <v/>
      </c>
      <c r="AA10" s="243">
        <f t="shared" ca="1" si="6"/>
        <v>0</v>
      </c>
      <c r="AB10" s="230"/>
    </row>
    <row r="11" spans="1:28" ht="12.95" customHeight="1">
      <c r="A11" s="227"/>
      <c r="B11" s="134" t="str">
        <f>'Weekly Minimums Planner'!I18</f>
        <v/>
      </c>
      <c r="C11" s="135" t="e">
        <f>'Weekly Minimums Planner'!M18</f>
        <v>#N/A</v>
      </c>
      <c r="D11" s="240" t="str">
        <f>IF(ISERROR(C11*('Weekly Minimums Planner'!$S$10)+C11),"",(C11*('Weekly Minimums Planner'!$S$10)+C11))</f>
        <v/>
      </c>
      <c r="E11" s="136">
        <f>'Weekly Minimums Planner'!P18</f>
        <v>0</v>
      </c>
      <c r="F11" s="303" t="str">
        <f t="shared" si="7"/>
        <v/>
      </c>
      <c r="G11" s="241">
        <v>0</v>
      </c>
      <c r="H11" s="227"/>
      <c r="J11" s="229"/>
      <c r="K11" s="242" t="str">
        <f t="shared" si="0"/>
        <v/>
      </c>
      <c r="L11" s="243">
        <f ca="1">IF(ISERROR(VLOOKUP($B$3,Budgets!$C$6:$X$47,8)),"",(VLOOKUP($B$3,Budgets!$C$6:$X$47,8)))</f>
        <v>0</v>
      </c>
      <c r="M11" s="230"/>
      <c r="N11" s="223"/>
      <c r="O11" s="229"/>
      <c r="P11" s="242" t="str">
        <f t="shared" si="1"/>
        <v/>
      </c>
      <c r="Q11" s="243">
        <f t="shared" ca="1" si="2"/>
        <v>0</v>
      </c>
      <c r="R11" s="230"/>
      <c r="S11" s="245"/>
      <c r="T11" s="229"/>
      <c r="U11" s="242" t="str">
        <f t="shared" si="3"/>
        <v/>
      </c>
      <c r="V11" s="243">
        <f t="shared" ca="1" si="4"/>
        <v>0</v>
      </c>
      <c r="W11" s="230"/>
      <c r="X11" s="245"/>
      <c r="Y11" s="229"/>
      <c r="Z11" s="242" t="str">
        <f t="shared" si="5"/>
        <v/>
      </c>
      <c r="AA11" s="243">
        <f t="shared" ca="1" si="6"/>
        <v>0</v>
      </c>
      <c r="AB11" s="230"/>
    </row>
    <row r="12" spans="1:28" ht="12.95" customHeight="1">
      <c r="A12" s="227"/>
      <c r="B12" s="134" t="str">
        <f>'Weekly Minimums Planner'!I19</f>
        <v/>
      </c>
      <c r="C12" s="135" t="e">
        <f>'Weekly Minimums Planner'!M19</f>
        <v>#N/A</v>
      </c>
      <c r="D12" s="240" t="str">
        <f>IF(ISERROR(C12*('Weekly Minimums Planner'!$S$10)+C12),"",(C12*('Weekly Minimums Planner'!$S$10)+C12))</f>
        <v/>
      </c>
      <c r="E12" s="136">
        <f>'Weekly Minimums Planner'!P19</f>
        <v>0</v>
      </c>
      <c r="F12" s="303" t="str">
        <f t="shared" si="7"/>
        <v/>
      </c>
      <c r="G12" s="241">
        <v>0</v>
      </c>
      <c r="H12" s="227"/>
      <c r="J12" s="229"/>
      <c r="K12" s="242" t="str">
        <f t="shared" si="0"/>
        <v/>
      </c>
      <c r="L12" s="243">
        <f ca="1">IF(ISERROR(VLOOKUP($B$3,Budgets!$C$6:$X$47,9)),"",(VLOOKUP($B$3,Budgets!$C$6:$X$47,9)))</f>
        <v>0</v>
      </c>
      <c r="M12" s="230"/>
      <c r="N12" s="223"/>
      <c r="O12" s="229"/>
      <c r="P12" s="242" t="str">
        <f t="shared" si="1"/>
        <v/>
      </c>
      <c r="Q12" s="243">
        <f t="shared" ca="1" si="2"/>
        <v>0</v>
      </c>
      <c r="R12" s="230"/>
      <c r="S12" s="245"/>
      <c r="T12" s="229"/>
      <c r="U12" s="242" t="str">
        <f t="shared" si="3"/>
        <v/>
      </c>
      <c r="V12" s="243">
        <f t="shared" ca="1" si="4"/>
        <v>0</v>
      </c>
      <c r="W12" s="230"/>
      <c r="X12" s="245"/>
      <c r="Y12" s="229"/>
      <c r="Z12" s="242" t="str">
        <f t="shared" si="5"/>
        <v/>
      </c>
      <c r="AA12" s="243">
        <f t="shared" ca="1" si="6"/>
        <v>0</v>
      </c>
      <c r="AB12" s="230"/>
    </row>
    <row r="13" spans="1:28" ht="12.95" customHeight="1">
      <c r="A13" s="227"/>
      <c r="B13" s="134" t="str">
        <f>'Weekly Minimums Planner'!I20</f>
        <v/>
      </c>
      <c r="C13" s="135" t="e">
        <f>'Weekly Minimums Planner'!M20</f>
        <v>#N/A</v>
      </c>
      <c r="D13" s="240" t="str">
        <f>IF(ISERROR(C13*('Weekly Minimums Planner'!$S$10)+C13),"",(C13*('Weekly Minimums Planner'!$S$10)+C13))</f>
        <v/>
      </c>
      <c r="E13" s="136">
        <f>'Weekly Minimums Planner'!P20</f>
        <v>0</v>
      </c>
      <c r="F13" s="303" t="str">
        <f t="shared" si="7"/>
        <v/>
      </c>
      <c r="G13" s="241">
        <v>0</v>
      </c>
      <c r="H13" s="227"/>
      <c r="J13" s="229"/>
      <c r="K13" s="242" t="str">
        <f t="shared" si="0"/>
        <v/>
      </c>
      <c r="L13" s="243">
        <f ca="1">IF(ISERROR(VLOOKUP($B$3,Budgets!$C$6:$X$47,10)),"",(VLOOKUP($B$3,Budgets!$C$6:$X$47,10)))</f>
        <v>0</v>
      </c>
      <c r="M13" s="230"/>
      <c r="N13" s="223"/>
      <c r="O13" s="229"/>
      <c r="P13" s="242" t="str">
        <f t="shared" si="1"/>
        <v/>
      </c>
      <c r="Q13" s="243">
        <f t="shared" ca="1" si="2"/>
        <v>0</v>
      </c>
      <c r="R13" s="230"/>
      <c r="S13" s="245"/>
      <c r="T13" s="229"/>
      <c r="U13" s="242" t="str">
        <f t="shared" si="3"/>
        <v/>
      </c>
      <c r="V13" s="243">
        <f t="shared" ca="1" si="4"/>
        <v>0</v>
      </c>
      <c r="W13" s="230"/>
      <c r="X13" s="245"/>
      <c r="Y13" s="229"/>
      <c r="Z13" s="242" t="str">
        <f t="shared" si="5"/>
        <v/>
      </c>
      <c r="AA13" s="243">
        <f t="shared" ca="1" si="6"/>
        <v>0</v>
      </c>
      <c r="AB13" s="230"/>
    </row>
    <row r="14" spans="1:28" ht="12.95" customHeight="1">
      <c r="A14" s="227"/>
      <c r="B14" s="134" t="str">
        <f>'Weekly Minimums Planner'!I21</f>
        <v/>
      </c>
      <c r="C14" s="135" t="e">
        <f>'Weekly Minimums Planner'!M21</f>
        <v>#N/A</v>
      </c>
      <c r="D14" s="240" t="str">
        <f>IF(ISERROR(C14*('Weekly Minimums Planner'!$S$10)+C14),"",(C14*('Weekly Minimums Planner'!$S$10)+C14))</f>
        <v/>
      </c>
      <c r="E14" s="136">
        <f>'Weekly Minimums Planner'!P21</f>
        <v>0</v>
      </c>
      <c r="F14" s="303" t="str">
        <f t="shared" si="7"/>
        <v/>
      </c>
      <c r="G14" s="241">
        <v>0</v>
      </c>
      <c r="H14" s="227"/>
      <c r="J14" s="229"/>
      <c r="K14" s="242" t="str">
        <f t="shared" si="0"/>
        <v/>
      </c>
      <c r="L14" s="243">
        <f ca="1">IF(ISERROR(VLOOKUP($B$3,Budgets!$C$6:$X$47,11)),"",(VLOOKUP($B$3,Budgets!$C$6:$X$47,11)))</f>
        <v>0</v>
      </c>
      <c r="M14" s="230"/>
      <c r="N14" s="223"/>
      <c r="O14" s="229"/>
      <c r="P14" s="242" t="str">
        <f t="shared" si="1"/>
        <v/>
      </c>
      <c r="Q14" s="243">
        <f t="shared" ca="1" si="2"/>
        <v>0</v>
      </c>
      <c r="R14" s="230"/>
      <c r="S14" s="245"/>
      <c r="T14" s="229"/>
      <c r="U14" s="242" t="str">
        <f t="shared" si="3"/>
        <v/>
      </c>
      <c r="V14" s="243">
        <f t="shared" ca="1" si="4"/>
        <v>0</v>
      </c>
      <c r="W14" s="230"/>
      <c r="X14" s="245"/>
      <c r="Y14" s="229"/>
      <c r="Z14" s="242" t="str">
        <f t="shared" si="5"/>
        <v/>
      </c>
      <c r="AA14" s="243">
        <f t="shared" ca="1" si="6"/>
        <v>0</v>
      </c>
      <c r="AB14" s="230"/>
    </row>
    <row r="15" spans="1:28" ht="12.95" customHeight="1">
      <c r="A15" s="227"/>
      <c r="B15" s="134" t="str">
        <f>'Weekly Minimums Planner'!I22</f>
        <v/>
      </c>
      <c r="C15" s="135" t="e">
        <f>'Weekly Minimums Planner'!M22</f>
        <v>#N/A</v>
      </c>
      <c r="D15" s="240" t="str">
        <f>IF(ISERROR(C15*('Weekly Minimums Planner'!$S$10)+C15),"",(C15*('Weekly Minimums Planner'!$S$10)+C15))</f>
        <v/>
      </c>
      <c r="E15" s="136">
        <f>'Weekly Minimums Planner'!P22</f>
        <v>0</v>
      </c>
      <c r="F15" s="303" t="str">
        <f t="shared" si="7"/>
        <v/>
      </c>
      <c r="G15" s="241">
        <v>0</v>
      </c>
      <c r="H15" s="227"/>
      <c r="J15" s="229"/>
      <c r="K15" s="242" t="str">
        <f t="shared" si="0"/>
        <v/>
      </c>
      <c r="L15" s="243">
        <f ca="1">IF(ISERROR(VLOOKUP($B$3,Budgets!$C$6:$X$47,12)),"",(VLOOKUP($B$3,Budgets!$C$6:$X$47,12)))</f>
        <v>0</v>
      </c>
      <c r="M15" s="230"/>
      <c r="N15" s="223"/>
      <c r="O15" s="229"/>
      <c r="P15" s="242" t="str">
        <f t="shared" si="1"/>
        <v/>
      </c>
      <c r="Q15" s="243">
        <f t="shared" ca="1" si="2"/>
        <v>0</v>
      </c>
      <c r="R15" s="230"/>
      <c r="S15" s="245"/>
      <c r="T15" s="229"/>
      <c r="U15" s="242" t="str">
        <f t="shared" si="3"/>
        <v/>
      </c>
      <c r="V15" s="243">
        <f t="shared" ca="1" si="4"/>
        <v>0</v>
      </c>
      <c r="W15" s="230"/>
      <c r="X15" s="245"/>
      <c r="Y15" s="229"/>
      <c r="Z15" s="242" t="str">
        <f t="shared" si="5"/>
        <v/>
      </c>
      <c r="AA15" s="243">
        <f t="shared" ca="1" si="6"/>
        <v>0</v>
      </c>
      <c r="AB15" s="230"/>
    </row>
    <row r="16" spans="1:28" ht="12.95" customHeight="1">
      <c r="A16" s="227"/>
      <c r="B16" s="134" t="str">
        <f>'Weekly Minimums Planner'!I23</f>
        <v/>
      </c>
      <c r="C16" s="135" t="e">
        <f>'Weekly Minimums Planner'!M23</f>
        <v>#N/A</v>
      </c>
      <c r="D16" s="240" t="str">
        <f>IF(ISERROR(C16*('Weekly Minimums Planner'!$S$10)+C16),"",(C16*('Weekly Minimums Planner'!$S$10)+C16))</f>
        <v/>
      </c>
      <c r="E16" s="136">
        <f>'Weekly Minimums Planner'!P23</f>
        <v>0</v>
      </c>
      <c r="F16" s="303" t="str">
        <f t="shared" si="7"/>
        <v/>
      </c>
      <c r="G16" s="241">
        <v>0</v>
      </c>
      <c r="H16" s="227"/>
      <c r="J16" s="229"/>
      <c r="K16" s="242" t="str">
        <f t="shared" si="0"/>
        <v/>
      </c>
      <c r="L16" s="243">
        <f ca="1">IF(ISERROR(VLOOKUP($B$3,Budgets!$C$6:$X$47,13)),"",(VLOOKUP($B$3,Budgets!$C$6:$X$47,13)))</f>
        <v>0</v>
      </c>
      <c r="M16" s="230"/>
      <c r="N16" s="223"/>
      <c r="O16" s="229"/>
      <c r="P16" s="242" t="str">
        <f t="shared" si="1"/>
        <v/>
      </c>
      <c r="Q16" s="243">
        <f t="shared" ca="1" si="2"/>
        <v>0</v>
      </c>
      <c r="R16" s="230"/>
      <c r="S16" s="245"/>
      <c r="T16" s="229"/>
      <c r="U16" s="242" t="str">
        <f t="shared" si="3"/>
        <v/>
      </c>
      <c r="V16" s="243">
        <f t="shared" ca="1" si="4"/>
        <v>0</v>
      </c>
      <c r="W16" s="230"/>
      <c r="X16" s="245"/>
      <c r="Y16" s="229"/>
      <c r="Z16" s="242" t="str">
        <f t="shared" si="5"/>
        <v/>
      </c>
      <c r="AA16" s="243">
        <f t="shared" ca="1" si="6"/>
        <v>0</v>
      </c>
      <c r="AB16" s="230"/>
    </row>
    <row r="17" spans="1:28" ht="12.95" customHeight="1">
      <c r="A17" s="227"/>
      <c r="B17" s="134" t="str">
        <f>'Weekly Minimums Planner'!I24</f>
        <v/>
      </c>
      <c r="C17" s="135" t="e">
        <f>'Weekly Minimums Planner'!M24</f>
        <v>#N/A</v>
      </c>
      <c r="D17" s="240" t="str">
        <f>IF(ISERROR(C17*('Weekly Minimums Planner'!$S$10)+C17),"",(C17*('Weekly Minimums Planner'!$S$10)+C17))</f>
        <v/>
      </c>
      <c r="E17" s="136">
        <f>'Weekly Minimums Planner'!P24</f>
        <v>0</v>
      </c>
      <c r="F17" s="303" t="str">
        <f t="shared" si="7"/>
        <v/>
      </c>
      <c r="G17" s="241">
        <v>0</v>
      </c>
      <c r="H17" s="227"/>
      <c r="J17" s="229"/>
      <c r="K17" s="242" t="str">
        <f t="shared" si="0"/>
        <v/>
      </c>
      <c r="L17" s="243">
        <f ca="1">IF(ISERROR(VLOOKUP($B$3,Budgets!$C$6:$X$47,14)),"",(VLOOKUP($B$3,Budgets!$C$6:$X$47,14)))</f>
        <v>0</v>
      </c>
      <c r="M17" s="230"/>
      <c r="N17" s="223"/>
      <c r="O17" s="229"/>
      <c r="P17" s="242" t="str">
        <f t="shared" si="1"/>
        <v/>
      </c>
      <c r="Q17" s="243">
        <f t="shared" ca="1" si="2"/>
        <v>0</v>
      </c>
      <c r="R17" s="230"/>
      <c r="S17" s="245"/>
      <c r="T17" s="229"/>
      <c r="U17" s="242" t="str">
        <f t="shared" si="3"/>
        <v/>
      </c>
      <c r="V17" s="243">
        <f t="shared" ca="1" si="4"/>
        <v>0</v>
      </c>
      <c r="W17" s="230"/>
      <c r="X17" s="245"/>
      <c r="Y17" s="229"/>
      <c r="Z17" s="242" t="str">
        <f t="shared" si="5"/>
        <v/>
      </c>
      <c r="AA17" s="243">
        <f t="shared" ca="1" si="6"/>
        <v>0</v>
      </c>
      <c r="AB17" s="230"/>
    </row>
    <row r="18" spans="1:28" ht="12.95" customHeight="1">
      <c r="A18" s="227"/>
      <c r="B18" s="134" t="str">
        <f>'Weekly Minimums Planner'!I25</f>
        <v/>
      </c>
      <c r="C18" s="135" t="e">
        <f>'Weekly Minimums Planner'!M25</f>
        <v>#N/A</v>
      </c>
      <c r="D18" s="240" t="str">
        <f>IF(ISERROR(C18*('Weekly Minimums Planner'!$S$10)+C18),"",(C18*('Weekly Minimums Planner'!$S$10)+C18))</f>
        <v/>
      </c>
      <c r="E18" s="136">
        <f>'Weekly Minimums Planner'!P25</f>
        <v>0</v>
      </c>
      <c r="F18" s="303" t="str">
        <f t="shared" si="7"/>
        <v/>
      </c>
      <c r="G18" s="241">
        <v>0</v>
      </c>
      <c r="H18" s="227"/>
      <c r="J18" s="229"/>
      <c r="K18" s="242" t="str">
        <f t="shared" si="0"/>
        <v/>
      </c>
      <c r="L18" s="243">
        <f ca="1">IF(ISERROR(VLOOKUP($B$3,Budgets!$C$6:$X$47,15)),"",(VLOOKUP($B$3,Budgets!$C$6:$X$47,15)))</f>
        <v>0</v>
      </c>
      <c r="M18" s="230"/>
      <c r="N18" s="223"/>
      <c r="O18" s="229"/>
      <c r="P18" s="242" t="str">
        <f t="shared" si="1"/>
        <v/>
      </c>
      <c r="Q18" s="243">
        <f t="shared" ca="1" si="2"/>
        <v>0</v>
      </c>
      <c r="R18" s="230"/>
      <c r="S18" s="245"/>
      <c r="T18" s="229"/>
      <c r="U18" s="242" t="str">
        <f t="shared" si="3"/>
        <v/>
      </c>
      <c r="V18" s="243">
        <f t="shared" ca="1" si="4"/>
        <v>0</v>
      </c>
      <c r="W18" s="230"/>
      <c r="X18" s="245"/>
      <c r="Y18" s="229"/>
      <c r="Z18" s="242" t="str">
        <f t="shared" si="5"/>
        <v/>
      </c>
      <c r="AA18" s="243">
        <f t="shared" ca="1" si="6"/>
        <v>0</v>
      </c>
      <c r="AB18" s="230"/>
    </row>
    <row r="19" spans="1:28" ht="12.95" customHeight="1">
      <c r="A19" s="227"/>
      <c r="B19" s="134" t="str">
        <f>'Weekly Minimums Planner'!I26</f>
        <v/>
      </c>
      <c r="C19" s="135" t="e">
        <f>'Weekly Minimums Planner'!M26</f>
        <v>#N/A</v>
      </c>
      <c r="D19" s="240" t="str">
        <f>IF(ISERROR(C19*('Weekly Minimums Planner'!$S$10)+C19),"",(C19*('Weekly Minimums Planner'!$S$10)+C19))</f>
        <v/>
      </c>
      <c r="E19" s="136">
        <f>'Weekly Minimums Planner'!P26</f>
        <v>0</v>
      </c>
      <c r="F19" s="303" t="str">
        <f t="shared" si="7"/>
        <v/>
      </c>
      <c r="G19" s="241">
        <v>0</v>
      </c>
      <c r="H19" s="227"/>
      <c r="J19" s="229"/>
      <c r="K19" s="242" t="str">
        <f t="shared" si="0"/>
        <v/>
      </c>
      <c r="L19" s="243">
        <f ca="1">IF(ISERROR(VLOOKUP($B$3,Budgets!$C$6:$X$47,16)),"",(VLOOKUP($B$3,Budgets!$C$6:$X$47,16)))</f>
        <v>0</v>
      </c>
      <c r="M19" s="230"/>
      <c r="N19" s="223"/>
      <c r="O19" s="229"/>
      <c r="P19" s="242" t="str">
        <f t="shared" si="1"/>
        <v/>
      </c>
      <c r="Q19" s="243">
        <f t="shared" ca="1" si="2"/>
        <v>0</v>
      </c>
      <c r="R19" s="230"/>
      <c r="S19" s="245"/>
      <c r="T19" s="229"/>
      <c r="U19" s="242" t="str">
        <f t="shared" si="3"/>
        <v/>
      </c>
      <c r="V19" s="243">
        <f t="shared" ca="1" si="4"/>
        <v>0</v>
      </c>
      <c r="W19" s="230"/>
      <c r="X19" s="245"/>
      <c r="Y19" s="229"/>
      <c r="Z19" s="242" t="str">
        <f t="shared" si="5"/>
        <v/>
      </c>
      <c r="AA19" s="243">
        <f t="shared" ca="1" si="6"/>
        <v>0</v>
      </c>
      <c r="AB19" s="230"/>
    </row>
    <row r="20" spans="1:28" ht="12.95" customHeight="1">
      <c r="A20" s="227"/>
      <c r="B20" s="134" t="str">
        <f>'Weekly Minimums Planner'!I31</f>
        <v/>
      </c>
      <c r="C20" s="135" t="e">
        <f>'Weekly Minimums Planner'!M31</f>
        <v>#N/A</v>
      </c>
      <c r="D20" s="240" t="str">
        <f>IF(ISERROR(C20*('Weekly Minimums Planner'!$S$10)+C20),"",(C20*('Weekly Minimums Planner'!$S$10)+C20))</f>
        <v/>
      </c>
      <c r="E20" s="136">
        <f>'Weekly Minimums Planner'!P31</f>
        <v>0</v>
      </c>
      <c r="F20" s="303" t="str">
        <f t="shared" si="7"/>
        <v/>
      </c>
      <c r="G20" s="241">
        <v>0</v>
      </c>
      <c r="H20" s="227"/>
      <c r="J20" s="229"/>
      <c r="K20" s="242" t="str">
        <f t="shared" si="0"/>
        <v/>
      </c>
      <c r="L20" s="243">
        <f ca="1">IF(ISERROR(VLOOKUP($B$3,Budgets!$C$6:$X$47,17)),"",(VLOOKUP($B$3,Budgets!$C$6:$X$47,17)))</f>
        <v>0</v>
      </c>
      <c r="M20" s="230"/>
      <c r="N20" s="223"/>
      <c r="O20" s="229"/>
      <c r="P20" s="242" t="str">
        <f t="shared" si="1"/>
        <v/>
      </c>
      <c r="Q20" s="243">
        <f t="shared" ca="1" si="2"/>
        <v>0</v>
      </c>
      <c r="R20" s="230"/>
      <c r="S20" s="245"/>
      <c r="T20" s="229"/>
      <c r="U20" s="242" t="str">
        <f t="shared" si="3"/>
        <v/>
      </c>
      <c r="V20" s="243">
        <f t="shared" ca="1" si="4"/>
        <v>0</v>
      </c>
      <c r="W20" s="230"/>
      <c r="X20" s="245"/>
      <c r="Y20" s="229"/>
      <c r="Z20" s="242" t="str">
        <f t="shared" si="5"/>
        <v/>
      </c>
      <c r="AA20" s="243">
        <f t="shared" ca="1" si="6"/>
        <v>0</v>
      </c>
      <c r="AB20" s="230"/>
    </row>
    <row r="21" spans="1:28" ht="12.95" customHeight="1">
      <c r="A21" s="227"/>
      <c r="B21" s="134" t="str">
        <f>'Weekly Minimums Planner'!I32</f>
        <v/>
      </c>
      <c r="C21" s="135" t="e">
        <f>'Weekly Minimums Planner'!M32</f>
        <v>#N/A</v>
      </c>
      <c r="D21" s="240" t="str">
        <f>IF(ISERROR(C21*('Weekly Minimums Planner'!$S$10)+C21),"",(C21*('Weekly Minimums Planner'!$S$10)+C21))</f>
        <v/>
      </c>
      <c r="E21" s="136">
        <f>'Weekly Minimums Planner'!P32</f>
        <v>0</v>
      </c>
      <c r="F21" s="303" t="str">
        <f t="shared" si="7"/>
        <v/>
      </c>
      <c r="G21" s="241">
        <v>0</v>
      </c>
      <c r="H21" s="227"/>
      <c r="J21" s="229"/>
      <c r="K21" s="242" t="str">
        <f t="shared" si="0"/>
        <v/>
      </c>
      <c r="L21" s="243">
        <f ca="1">IF(ISERROR(VLOOKUP($B$3,Budgets!$C$6:$X$47,18)),"",(VLOOKUP($B$3,Budgets!$C$6:$X$47,18)))</f>
        <v>0</v>
      </c>
      <c r="M21" s="230"/>
      <c r="N21" s="223"/>
      <c r="O21" s="229"/>
      <c r="P21" s="242" t="str">
        <f t="shared" si="1"/>
        <v/>
      </c>
      <c r="Q21" s="243">
        <f t="shared" ca="1" si="2"/>
        <v>0</v>
      </c>
      <c r="R21" s="230"/>
      <c r="S21" s="245"/>
      <c r="T21" s="229"/>
      <c r="U21" s="242" t="str">
        <f t="shared" si="3"/>
        <v/>
      </c>
      <c r="V21" s="243">
        <f t="shared" ca="1" si="4"/>
        <v>0</v>
      </c>
      <c r="W21" s="230"/>
      <c r="X21" s="245"/>
      <c r="Y21" s="229"/>
      <c r="Z21" s="242" t="str">
        <f t="shared" si="5"/>
        <v/>
      </c>
      <c r="AA21" s="243">
        <f t="shared" ca="1" si="6"/>
        <v>0</v>
      </c>
      <c r="AB21" s="230"/>
    </row>
    <row r="22" spans="1:28" ht="12.95" customHeight="1">
      <c r="A22" s="227"/>
      <c r="B22" s="134" t="str">
        <f>'Weekly Minimums Planner'!I33</f>
        <v/>
      </c>
      <c r="C22" s="135" t="e">
        <f>'Weekly Minimums Planner'!M33</f>
        <v>#N/A</v>
      </c>
      <c r="D22" s="240" t="str">
        <f>IF(ISERROR(C22*('Weekly Minimums Planner'!$S$10)+C22),"",(C22*('Weekly Minimums Planner'!$S$10)+C22))</f>
        <v/>
      </c>
      <c r="E22" s="136">
        <f>'Weekly Minimums Planner'!P33</f>
        <v>0</v>
      </c>
      <c r="F22" s="303" t="str">
        <f t="shared" si="7"/>
        <v/>
      </c>
      <c r="G22" s="241">
        <v>0</v>
      </c>
      <c r="H22" s="227"/>
      <c r="J22" s="229"/>
      <c r="K22" s="242" t="str">
        <f t="shared" si="0"/>
        <v/>
      </c>
      <c r="L22" s="243">
        <f ca="1">IF(ISERROR(VLOOKUP($B$3,Budgets!$C$6:$X$47,19)),"",(VLOOKUP($B$3,Budgets!$C$6:$X$47,19)))</f>
        <v>0</v>
      </c>
      <c r="M22" s="230"/>
      <c r="N22" s="223"/>
      <c r="O22" s="229"/>
      <c r="P22" s="242" t="str">
        <f t="shared" si="1"/>
        <v/>
      </c>
      <c r="Q22" s="243">
        <f t="shared" ca="1" si="2"/>
        <v>0</v>
      </c>
      <c r="R22" s="230"/>
      <c r="S22" s="245"/>
      <c r="T22" s="229"/>
      <c r="U22" s="242" t="str">
        <f t="shared" si="3"/>
        <v/>
      </c>
      <c r="V22" s="243">
        <f t="shared" ca="1" si="4"/>
        <v>0</v>
      </c>
      <c r="W22" s="230"/>
      <c r="X22" s="245"/>
      <c r="Y22" s="229"/>
      <c r="Z22" s="242" t="str">
        <f t="shared" si="5"/>
        <v/>
      </c>
      <c r="AA22" s="243">
        <f t="shared" ca="1" si="6"/>
        <v>0</v>
      </c>
      <c r="AB22" s="230"/>
    </row>
    <row r="23" spans="1:28" ht="12.95" customHeight="1">
      <c r="A23" s="227"/>
      <c r="B23" s="134" t="str">
        <f>'Weekly Minimums Planner'!I34</f>
        <v/>
      </c>
      <c r="C23" s="135" t="e">
        <f>'Weekly Minimums Planner'!M34</f>
        <v>#N/A</v>
      </c>
      <c r="D23" s="240" t="str">
        <f>IF(ISERROR(C23*('Weekly Minimums Planner'!$S$10)+C23),"",(C23*('Weekly Minimums Planner'!$S$10)+C23))</f>
        <v/>
      </c>
      <c r="E23" s="136">
        <f>'Weekly Minimums Planner'!P34</f>
        <v>0</v>
      </c>
      <c r="F23" s="303" t="str">
        <f t="shared" si="7"/>
        <v/>
      </c>
      <c r="G23" s="241">
        <v>0</v>
      </c>
      <c r="H23" s="227"/>
      <c r="J23" s="229"/>
      <c r="K23" s="242" t="str">
        <f t="shared" si="0"/>
        <v/>
      </c>
      <c r="L23" s="243">
        <f ca="1">IF(ISERROR(VLOOKUP($B$3,Budgets!$C$6:$X$47,20)),"",(VLOOKUP($B$3,Budgets!$C$6:$X$47,20)))</f>
        <v>0</v>
      </c>
      <c r="M23" s="230"/>
      <c r="N23" s="223"/>
      <c r="O23" s="229"/>
      <c r="P23" s="242" t="str">
        <f t="shared" si="1"/>
        <v/>
      </c>
      <c r="Q23" s="243">
        <f t="shared" ca="1" si="2"/>
        <v>0</v>
      </c>
      <c r="R23" s="230"/>
      <c r="S23" s="245"/>
      <c r="T23" s="229"/>
      <c r="U23" s="242" t="str">
        <f t="shared" si="3"/>
        <v/>
      </c>
      <c r="V23" s="243">
        <f t="shared" ca="1" si="4"/>
        <v>0</v>
      </c>
      <c r="W23" s="230"/>
      <c r="X23" s="245"/>
      <c r="Y23" s="229"/>
      <c r="Z23" s="242" t="str">
        <f t="shared" si="5"/>
        <v/>
      </c>
      <c r="AA23" s="243">
        <f t="shared" ca="1" si="6"/>
        <v>0</v>
      </c>
      <c r="AB23" s="230"/>
    </row>
    <row r="24" spans="1:28" ht="12.95" customHeight="1">
      <c r="A24" s="227"/>
      <c r="B24" s="134" t="str">
        <f>'Weekly Minimums Planner'!I35</f>
        <v/>
      </c>
      <c r="C24" s="135" t="e">
        <f>'Weekly Minimums Planner'!M35</f>
        <v>#N/A</v>
      </c>
      <c r="D24" s="240" t="str">
        <f>IF(ISERROR(C24*('Weekly Minimums Planner'!$S$10)+C24),"",(C24*('Weekly Minimums Planner'!$S$10)+C24))</f>
        <v/>
      </c>
      <c r="E24" s="136">
        <f>'Weekly Minimums Planner'!P35</f>
        <v>0</v>
      </c>
      <c r="F24" s="303" t="str">
        <f t="shared" si="7"/>
        <v/>
      </c>
      <c r="G24" s="241">
        <v>0</v>
      </c>
      <c r="H24" s="227"/>
      <c r="J24" s="229"/>
      <c r="K24" s="242" t="str">
        <f t="shared" si="0"/>
        <v/>
      </c>
      <c r="L24" s="243">
        <f ca="1">IF(ISERROR(VLOOKUP($B$3,Budgets!$C$6:$X$47,21)),"",(VLOOKUP($B$3,Budgets!$C$6:$X$47,21)))</f>
        <v>0</v>
      </c>
      <c r="M24" s="230"/>
      <c r="N24" s="223"/>
      <c r="O24" s="229"/>
      <c r="P24" s="242" t="str">
        <f t="shared" si="1"/>
        <v/>
      </c>
      <c r="Q24" s="243">
        <f t="shared" ca="1" si="2"/>
        <v>0</v>
      </c>
      <c r="R24" s="230"/>
      <c r="S24" s="245"/>
      <c r="T24" s="229"/>
      <c r="U24" s="242" t="str">
        <f t="shared" si="3"/>
        <v/>
      </c>
      <c r="V24" s="243">
        <f t="shared" ca="1" si="4"/>
        <v>0</v>
      </c>
      <c r="W24" s="230"/>
      <c r="X24" s="245"/>
      <c r="Y24" s="229"/>
      <c r="Z24" s="242" t="str">
        <f t="shared" si="5"/>
        <v/>
      </c>
      <c r="AA24" s="243">
        <f t="shared" ca="1" si="6"/>
        <v>0</v>
      </c>
      <c r="AB24" s="230"/>
    </row>
    <row r="25" spans="1:28" ht="12.95" customHeight="1">
      <c r="A25" s="227"/>
      <c r="B25" s="134" t="str">
        <f>'Weekly Minimums Planner'!I36</f>
        <v/>
      </c>
      <c r="C25" s="135" t="e">
        <f>'Weekly Minimums Planner'!M36</f>
        <v>#N/A</v>
      </c>
      <c r="D25" s="240" t="str">
        <f>IF(ISERROR(C25*('Weekly Minimums Planner'!$S$10)+C25),"",(C25*('Weekly Minimums Planner'!$S$10)+C25))</f>
        <v/>
      </c>
      <c r="E25" s="137">
        <f>'Weekly Minimums Planner'!P36</f>
        <v>0</v>
      </c>
      <c r="F25" s="303" t="str">
        <f t="shared" si="7"/>
        <v/>
      </c>
      <c r="G25" s="248">
        <v>0</v>
      </c>
      <c r="H25" s="227"/>
      <c r="J25" s="229"/>
      <c r="K25" s="242" t="str">
        <f t="shared" si="0"/>
        <v/>
      </c>
      <c r="L25" s="243">
        <f ca="1">IF(ISERROR(VLOOKUP($B$3,Budgets!$C$6:$X$47,22)),"",(VLOOKUP($B$3,Budgets!$C$6:$X$47,22)))</f>
        <v>0</v>
      </c>
      <c r="M25" s="230"/>
      <c r="N25" s="223"/>
      <c r="O25" s="229"/>
      <c r="P25" s="242" t="str">
        <f t="shared" si="1"/>
        <v/>
      </c>
      <c r="Q25" s="243">
        <f t="shared" ca="1" si="2"/>
        <v>0</v>
      </c>
      <c r="R25" s="230"/>
      <c r="S25" s="245"/>
      <c r="T25" s="229"/>
      <c r="U25" s="242" t="str">
        <f t="shared" si="3"/>
        <v/>
      </c>
      <c r="V25" s="243">
        <f t="shared" ca="1" si="4"/>
        <v>0</v>
      </c>
      <c r="W25" s="230"/>
      <c r="X25" s="245"/>
      <c r="Y25" s="229"/>
      <c r="Z25" s="242" t="str">
        <f t="shared" si="5"/>
        <v/>
      </c>
      <c r="AA25" s="243">
        <f t="shared" ca="1" si="6"/>
        <v>0</v>
      </c>
      <c r="AB25" s="230"/>
    </row>
    <row r="26" spans="1:28" ht="12.95" customHeight="1">
      <c r="A26" s="227"/>
      <c r="B26" s="138" t="s">
        <v>149</v>
      </c>
      <c r="C26" s="139" t="e">
        <f>'Weekly Minimums Planner'!N8</f>
        <v>#N/A</v>
      </c>
      <c r="D26" s="249" t="e">
        <f>C26*('Weekly Minimums Planner'!S10)+C26</f>
        <v>#N/A</v>
      </c>
      <c r="E26" s="140">
        <f>'Weekly Minimums Planner'!P39</f>
        <v>0</v>
      </c>
      <c r="F26" s="303" t="str">
        <f t="shared" si="7"/>
        <v/>
      </c>
      <c r="G26" s="307">
        <f ca="1">8-(WEEKDAY(B3,2))</f>
        <v>4</v>
      </c>
      <c r="H26" s="227"/>
      <c r="J26" s="229"/>
      <c r="K26" s="250" t="str">
        <f t="shared" si="0"/>
        <v>Store</v>
      </c>
      <c r="L26" s="251">
        <f ca="1">SUM(L6:L25)</f>
        <v>0</v>
      </c>
      <c r="M26" s="230"/>
      <c r="N26" s="223"/>
      <c r="O26" s="229"/>
      <c r="P26" s="250" t="str">
        <f t="shared" si="1"/>
        <v>Store</v>
      </c>
      <c r="Q26" s="251">
        <f t="shared" ca="1" si="2"/>
        <v>0</v>
      </c>
      <c r="R26" s="230"/>
      <c r="S26" s="245"/>
      <c r="T26" s="229"/>
      <c r="U26" s="250" t="str">
        <f t="shared" si="3"/>
        <v>Store</v>
      </c>
      <c r="V26" s="251">
        <f t="shared" ca="1" si="4"/>
        <v>0</v>
      </c>
      <c r="W26" s="230"/>
      <c r="X26" s="245"/>
      <c r="Y26" s="229"/>
      <c r="Z26" s="250" t="str">
        <f t="shared" si="5"/>
        <v>Store</v>
      </c>
      <c r="AA26" s="251">
        <f t="shared" ca="1" si="6"/>
        <v>0</v>
      </c>
      <c r="AB26" s="230"/>
    </row>
    <row r="27" spans="1:28" ht="7.15" customHeight="1">
      <c r="A27" s="227"/>
      <c r="B27" s="227"/>
      <c r="C27" s="227"/>
      <c r="D27" s="227"/>
      <c r="E27" s="227"/>
      <c r="F27" s="227"/>
      <c r="G27" s="227"/>
      <c r="H27" s="227"/>
      <c r="J27" s="230"/>
      <c r="K27" s="230"/>
      <c r="L27" s="230"/>
      <c r="M27" s="230"/>
      <c r="N27" s="223"/>
      <c r="O27" s="230"/>
      <c r="P27" s="230"/>
      <c r="Q27" s="230"/>
      <c r="R27" s="230"/>
      <c r="S27" s="223"/>
      <c r="T27" s="230"/>
      <c r="U27" s="230"/>
      <c r="V27" s="230"/>
      <c r="W27" s="230"/>
      <c r="Y27" s="230"/>
      <c r="Z27" s="230"/>
      <c r="AA27" s="230"/>
      <c r="AB27" s="230"/>
    </row>
    <row r="28" spans="1:28" ht="12.2" customHeight="1">
      <c r="J28" s="223"/>
      <c r="K28" s="223"/>
      <c r="L28" s="223"/>
      <c r="M28" s="223"/>
      <c r="N28" s="223"/>
      <c r="O28" s="223"/>
      <c r="P28" s="223"/>
      <c r="Q28" s="223"/>
      <c r="R28" s="223"/>
      <c r="S28" s="223"/>
      <c r="T28" s="223"/>
      <c r="U28" s="223"/>
      <c r="V28" s="223"/>
      <c r="W28" s="223"/>
      <c r="Y28" s="223"/>
      <c r="Z28" s="223"/>
      <c r="AA28" s="223"/>
      <c r="AB28" s="223"/>
    </row>
    <row r="30" spans="1:28">
      <c r="A30" s="252"/>
      <c r="B30" s="252"/>
      <c r="C30" s="252"/>
      <c r="E30" s="252"/>
      <c r="F30" s="252"/>
      <c r="G30" s="252"/>
      <c r="J30" s="252"/>
    </row>
    <row r="32" spans="1:28">
      <c r="B32" s="141"/>
    </row>
    <row r="33" spans="2:4">
      <c r="D33" s="224"/>
    </row>
    <row r="34" spans="2:4">
      <c r="B34" s="141"/>
    </row>
  </sheetData>
  <sheetProtection algorithmName="SHA-512" hashValue="75r2j+ZaY+SwhrUfeU5tQAqd/TT4Du+q/9p6qQeUp8RmUsn7dQUv6nl4AKr5C2qPYkE7jIFCQ+cwFWUban+01A==" saltValue="iAeaCpMEcHp6jCwfS5DETA==" spinCount="100000" sheet="1" objects="1" scenarios="1"/>
  <phoneticPr fontId="10" type="noConversion"/>
  <conditionalFormatting sqref="A6:A25">
    <cfRule type="cellIs" dxfId="25" priority="1" stopIfTrue="1" operator="equal">
      <formula>0</formula>
    </cfRule>
  </conditionalFormatting>
  <conditionalFormatting sqref="B6:B25 C26 E6:E26">
    <cfRule type="cellIs" dxfId="24" priority="2" stopIfTrue="1" operator="equal">
      <formula>0</formula>
    </cfRule>
  </conditionalFormatting>
  <conditionalFormatting sqref="D26 K6:K25 P6:P25 U6:U25 Z6:Z25 F6:F26">
    <cfRule type="cellIs" dxfId="23" priority="3" stopIfTrue="1" operator="equal">
      <formula>0</formula>
    </cfRule>
  </conditionalFormatting>
  <conditionalFormatting sqref="Q6:Q26 V6:V26 AA6:AA26 L6:L26">
    <cfRule type="cellIs" dxfId="22" priority="4" stopIfTrue="1" operator="lessThan">
      <formula>0.1</formula>
    </cfRule>
  </conditionalFormatting>
  <pageMargins left="0.19685039370078741" right="0.39370078740157483" top="0.39370078740157483" bottom="0.39370078740157483" header="0.51181102362204722" footer="0.51181102362204722"/>
  <pageSetup paperSize="9" firstPageNumber="0" orientation="landscape" horizontalDpi="300" verticalDpi="300" r:id="rId1"/>
  <headerFooter alignWithMargins="0"/>
  <colBreaks count="1" manualBreakCount="1">
    <brk id="8" max="1048575" man="1"/>
  </col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B1:AG175"/>
  <sheetViews>
    <sheetView zoomScale="90" zoomScaleNormal="90" workbookViewId="0">
      <selection activeCell="B3" sqref="B3"/>
    </sheetView>
  </sheetViews>
  <sheetFormatPr defaultColWidth="11.5703125" defaultRowHeight="14.25" customHeight="1"/>
  <cols>
    <col min="1" max="1" width="2.5703125" customWidth="1"/>
    <col min="4" max="4" width="2.42578125" customWidth="1"/>
    <col min="5" max="17" width="11.28515625" customWidth="1"/>
    <col min="18" max="18" width="12.85546875" customWidth="1"/>
    <col min="19" max="19" width="11.28515625" customWidth="1"/>
    <col min="25" max="32" width="0" hidden="1" customWidth="1"/>
    <col min="33" max="33" width="11.28515625" customWidth="1"/>
  </cols>
  <sheetData>
    <row r="1" spans="2:33" s="25" customFormat="1" ht="14.25" customHeight="1"/>
    <row r="2" spans="2:33" s="148" customFormat="1" ht="14.25" customHeight="1">
      <c r="B2" s="149">
        <f>'Daily &amp; Weekly Totals'!B5</f>
        <v>43922</v>
      </c>
      <c r="E2" s="150" t="str">
        <f>IF('Monthly Statistics'!E$5&gt;0,'Monthly Statistics'!E$5," ")</f>
        <v xml:space="preserve"> </v>
      </c>
      <c r="F2" s="150" t="str">
        <f>IF('Monthly Statistics'!F$5&gt;0,'Monthly Statistics'!F$5," ")</f>
        <v xml:space="preserve"> </v>
      </c>
      <c r="G2" s="150" t="str">
        <f>IF('Monthly Statistics'!G$5&gt;0,'Monthly Statistics'!G$5," ")</f>
        <v xml:space="preserve"> </v>
      </c>
      <c r="H2" s="150" t="str">
        <f>IF('Monthly Statistics'!H$5&gt;0,'Monthly Statistics'!H$5," ")</f>
        <v xml:space="preserve"> </v>
      </c>
      <c r="I2" s="150" t="str">
        <f>IF('Monthly Statistics'!I$5&gt;0,'Monthly Statistics'!I$5," ")</f>
        <v xml:space="preserve"> </v>
      </c>
      <c r="J2" s="150" t="str">
        <f>IF('Monthly Statistics'!J$5&gt;0,'Monthly Statistics'!J$5," ")</f>
        <v xml:space="preserve"> </v>
      </c>
      <c r="K2" s="151" t="str">
        <f>IF('Monthly Statistics'!K$5&gt;0,'Monthly Statistics'!K$5," ")</f>
        <v xml:space="preserve"> </v>
      </c>
      <c r="L2" s="151" t="str">
        <f>IF('Monthly Statistics'!L$5&gt;0,'Monthly Statistics'!L$5," ")</f>
        <v xml:space="preserve"> </v>
      </c>
      <c r="M2" s="151" t="str">
        <f>IF('Monthly Statistics'!M$5&gt;0,'Monthly Statistics'!M$5," ")</f>
        <v xml:space="preserve"> </v>
      </c>
      <c r="N2" s="151" t="str">
        <f>IF('Monthly Statistics'!N$5&gt;0,'Monthly Statistics'!N$5," ")</f>
        <v xml:space="preserve"> </v>
      </c>
      <c r="O2" s="151" t="str">
        <f>IF('Monthly Statistics'!O$5&gt;0,'Monthly Statistics'!O$5," ")</f>
        <v xml:space="preserve"> </v>
      </c>
      <c r="P2" s="151" t="str">
        <f>IF('Monthly Statistics'!P$5&gt;0,'Monthly Statistics'!P$5," ")</f>
        <v xml:space="preserve"> </v>
      </c>
      <c r="Q2" s="151" t="str">
        <f>IF('Monthly Statistics'!Q$5&gt;0,'Monthly Statistics'!Q$5," ")</f>
        <v xml:space="preserve"> </v>
      </c>
      <c r="R2" s="151" t="str">
        <f>IF('Monthly Statistics'!R$5&gt;0,'Monthly Statistics'!R$5," ")</f>
        <v xml:space="preserve"> </v>
      </c>
      <c r="S2" s="150" t="str">
        <f>IF('Monthly Statistics'!S$5&gt;0,'Monthly Statistics'!S$5," ")</f>
        <v xml:space="preserve"> </v>
      </c>
      <c r="T2" s="150" t="str">
        <f>IF('Monthly Statistics'!T$5&gt;0,'Monthly Statistics'!T$5," ")</f>
        <v xml:space="preserve"> </v>
      </c>
      <c r="U2" s="150" t="str">
        <f>IF('Monthly Statistics'!U$5&gt;0,'Monthly Statistics'!U$5," ")</f>
        <v xml:space="preserve"> </v>
      </c>
      <c r="V2" s="150" t="str">
        <f>IF('Monthly Statistics'!V$5&gt;0,'Monthly Statistics'!V$5," ")</f>
        <v xml:space="preserve"> </v>
      </c>
      <c r="W2" s="150" t="str">
        <f>IF('Monthly Statistics'!W$5&gt;0,'Monthly Statistics'!W$5," ")</f>
        <v xml:space="preserve"> </v>
      </c>
      <c r="X2" s="150" t="str">
        <f>IF('Monthly Statistics'!X$5&gt;0,'Monthly Statistics'!X$5," ")</f>
        <v xml:space="preserve"> </v>
      </c>
      <c r="Y2" s="150" t="e">
        <f>IF('Monthly Statistics'!Y$5&gt;0,'Monthly Statistics'!Y$5," ")</f>
        <v>#REF!</v>
      </c>
      <c r="Z2" s="152" t="e">
        <f>IF('Monthly Statistics'!Z$5&gt;0,'Monthly Statistics'!Z$5," ")</f>
        <v>#REF!</v>
      </c>
      <c r="AA2" s="152" t="e">
        <f>IF('Monthly Statistics'!AA$5&gt;0,'Monthly Statistics'!AA$5," ")</f>
        <v>#REF!</v>
      </c>
      <c r="AB2" s="152" t="e">
        <f>IF('Monthly Statistics'!AB$5&gt;0,'Monthly Statistics'!AB$5," ")</f>
        <v>#REF!</v>
      </c>
      <c r="AC2" s="152" t="e">
        <f>IF('Monthly Statistics'!AC$5&gt;0,'Monthly Statistics'!AC$5," ")</f>
        <v>#REF!</v>
      </c>
      <c r="AD2" s="152" t="e">
        <f>IF('Monthly Statistics'!AD$5&gt;0,'Monthly Statistics'!AD$5," ")</f>
        <v>#REF!</v>
      </c>
      <c r="AE2" s="152" t="e">
        <f>IF('Monthly Statistics'!AE$5&gt;0,'Monthly Statistics'!AE$5," ")</f>
        <v>#REF!</v>
      </c>
      <c r="AF2" s="152" t="e">
        <f>IF('Monthly Statistics'!AF$5&gt;0,'Monthly Statistics'!AF$5," ")</f>
        <v>#REF!</v>
      </c>
      <c r="AG2" s="152" t="str">
        <f>IF('Monthly Statistics'!AG$5&gt;0,'Monthly Statistics'!AG$5," ")</f>
        <v>Refunds From</v>
      </c>
    </row>
    <row r="3" spans="2:33" s="148" customFormat="1" ht="14.25" customHeight="1">
      <c r="B3" s="149">
        <f>'Daily &amp; Weekly Totals'!B6</f>
        <v>43951</v>
      </c>
      <c r="E3" s="152" t="str">
        <f>IF('Monthly Statistics'!E$5&gt;0,'Monthly Statistics'!E6," ")</f>
        <v xml:space="preserve"> </v>
      </c>
      <c r="F3" s="152" t="str">
        <f>IF('Monthly Statistics'!F$5&gt;0,'Monthly Statistics'!F6," ")</f>
        <v xml:space="preserve"> </v>
      </c>
      <c r="G3" s="152" t="str">
        <f>IF('Monthly Statistics'!G$5&gt;0,'Monthly Statistics'!G6," ")</f>
        <v xml:space="preserve"> </v>
      </c>
      <c r="H3" s="152" t="str">
        <f>IF('Monthly Statistics'!H$5&gt;0,'Monthly Statistics'!H6," ")</f>
        <v xml:space="preserve"> </v>
      </c>
      <c r="I3" s="152" t="str">
        <f>IF('Monthly Statistics'!I$5&gt;0,'Monthly Statistics'!I6," ")</f>
        <v xml:space="preserve"> </v>
      </c>
      <c r="J3" s="152" t="str">
        <f>IF('Monthly Statistics'!J$5&gt;0,'Monthly Statistics'!J6," ")</f>
        <v xml:space="preserve"> </v>
      </c>
      <c r="K3" s="152" t="str">
        <f>IF('Monthly Statistics'!K$5&gt;0,'Monthly Statistics'!K6," ")</f>
        <v xml:space="preserve"> </v>
      </c>
      <c r="L3" s="152" t="str">
        <f>IF('Monthly Statistics'!L$5&gt;0,'Monthly Statistics'!L6," ")</f>
        <v xml:space="preserve"> </v>
      </c>
      <c r="M3" s="152" t="str">
        <f>IF('Monthly Statistics'!M$5&gt;0,'Monthly Statistics'!M6," ")</f>
        <v xml:space="preserve"> </v>
      </c>
      <c r="N3" s="152" t="str">
        <f>IF('Monthly Statistics'!N$5&gt;0,'Monthly Statistics'!N6," ")</f>
        <v xml:space="preserve"> </v>
      </c>
      <c r="O3" s="152" t="str">
        <f>IF('Monthly Statistics'!O$5&gt;0,'Monthly Statistics'!O6," ")</f>
        <v xml:space="preserve"> </v>
      </c>
      <c r="P3" s="152" t="str">
        <f>IF('Monthly Statistics'!P$5&gt;0,'Monthly Statistics'!P6," ")</f>
        <v xml:space="preserve"> </v>
      </c>
      <c r="Q3" s="152" t="str">
        <f>IF('Monthly Statistics'!Q$5&gt;0,'Monthly Statistics'!Q6," ")</f>
        <v xml:space="preserve"> </v>
      </c>
      <c r="R3" s="152" t="str">
        <f>IF('Monthly Statistics'!R$5&gt;0,'Monthly Statistics'!R6," ")</f>
        <v xml:space="preserve"> </v>
      </c>
      <c r="S3" s="152" t="str">
        <f>IF('Monthly Statistics'!S$5&gt;0,'Monthly Statistics'!S6," ")</f>
        <v xml:space="preserve"> </v>
      </c>
      <c r="T3" s="152" t="str">
        <f>IF('Monthly Statistics'!T$5&gt;0,'Monthly Statistics'!T6," ")</f>
        <v xml:space="preserve"> </v>
      </c>
      <c r="U3" s="152" t="str">
        <f>IF('Monthly Statistics'!U$5&gt;0,'Monthly Statistics'!U6," ")</f>
        <v xml:space="preserve"> </v>
      </c>
      <c r="V3" s="152" t="str">
        <f>IF('Monthly Statistics'!V$5&gt;0,'Monthly Statistics'!V6," ")</f>
        <v xml:space="preserve"> </v>
      </c>
      <c r="W3" s="152" t="str">
        <f>IF('Monthly Statistics'!W$5&gt;0,'Monthly Statistics'!W6," ")</f>
        <v xml:space="preserve"> </v>
      </c>
      <c r="X3" s="152" t="str">
        <f>IF('Monthly Statistics'!X$5&gt;0,'Monthly Statistics'!X6," ")</f>
        <v xml:space="preserve"> </v>
      </c>
      <c r="Y3" s="152" t="e">
        <f>IF('Monthly Statistics'!Y$5&gt;0,'Monthly Statistics'!Y6," ")</f>
        <v>#REF!</v>
      </c>
      <c r="Z3" s="152" t="e">
        <f>IF('Monthly Statistics'!Z$5&gt;0,'Monthly Statistics'!Z6," ")</f>
        <v>#REF!</v>
      </c>
      <c r="AA3" s="152" t="e">
        <f>IF('Monthly Statistics'!AA$5&gt;0,'Monthly Statistics'!AA6," ")</f>
        <v>#REF!</v>
      </c>
      <c r="AB3" s="152" t="e">
        <f>IF('Monthly Statistics'!AB$5&gt;0,'Monthly Statistics'!AB6," ")</f>
        <v>#REF!</v>
      </c>
      <c r="AC3" s="152" t="e">
        <f>IF('Monthly Statistics'!AC$5&gt;0,'Monthly Statistics'!AC6," ")</f>
        <v>#REF!</v>
      </c>
      <c r="AD3" s="152" t="e">
        <f>IF('Monthly Statistics'!AD$5&gt;0,'Monthly Statistics'!AD6," ")</f>
        <v>#REF!</v>
      </c>
      <c r="AE3" s="152" t="e">
        <f>IF('Monthly Statistics'!AE$5&gt;0,'Monthly Statistics'!AE6," ")</f>
        <v>#REF!</v>
      </c>
      <c r="AF3" s="152" t="e">
        <f>IF('Monthly Statistics'!AF$5&gt;0,'Monthly Statistics'!AF6," ")</f>
        <v>#REF!</v>
      </c>
      <c r="AG3" s="152" t="str">
        <f>IF('Monthly Statistics'!AG$5&gt;0,'Monthly Statistics'!AG6," ")</f>
        <v>Other Stores</v>
      </c>
    </row>
    <row r="4" spans="2:33" s="148" customFormat="1" ht="14.25" customHeight="1">
      <c r="E4" s="153">
        <f t="shared" ref="E4:AG4" si="0">SUMIF($C$6:$C$47,"&gt;="&amp;$B$2,E6:E47)-SUMIF($C$6:$C$47,"&gt;"&amp;$B$3,E6:E47)</f>
        <v>0</v>
      </c>
      <c r="F4" s="153">
        <f t="shared" si="0"/>
        <v>0</v>
      </c>
      <c r="G4" s="153">
        <f t="shared" si="0"/>
        <v>0</v>
      </c>
      <c r="H4" s="153">
        <f t="shared" si="0"/>
        <v>0</v>
      </c>
      <c r="I4" s="153">
        <f t="shared" si="0"/>
        <v>0</v>
      </c>
      <c r="J4" s="153">
        <f t="shared" si="0"/>
        <v>0</v>
      </c>
      <c r="K4" s="153">
        <f t="shared" si="0"/>
        <v>0</v>
      </c>
      <c r="L4" s="153">
        <f t="shared" si="0"/>
        <v>0</v>
      </c>
      <c r="M4" s="153">
        <f t="shared" si="0"/>
        <v>0</v>
      </c>
      <c r="N4" s="153">
        <f t="shared" si="0"/>
        <v>0</v>
      </c>
      <c r="O4" s="153">
        <f t="shared" si="0"/>
        <v>0</v>
      </c>
      <c r="P4" s="153">
        <f t="shared" si="0"/>
        <v>0</v>
      </c>
      <c r="Q4" s="153">
        <f t="shared" si="0"/>
        <v>0</v>
      </c>
      <c r="R4" s="153">
        <f t="shared" si="0"/>
        <v>0</v>
      </c>
      <c r="S4" s="153">
        <f t="shared" si="0"/>
        <v>0</v>
      </c>
      <c r="T4" s="153">
        <f t="shared" si="0"/>
        <v>0</v>
      </c>
      <c r="U4" s="153">
        <f t="shared" si="0"/>
        <v>0</v>
      </c>
      <c r="V4" s="153">
        <f t="shared" si="0"/>
        <v>0</v>
      </c>
      <c r="W4" s="153">
        <f t="shared" si="0"/>
        <v>0</v>
      </c>
      <c r="X4" s="153">
        <f t="shared" si="0"/>
        <v>0</v>
      </c>
      <c r="Y4" s="153">
        <f t="shared" si="0"/>
        <v>0</v>
      </c>
      <c r="Z4" s="153">
        <f t="shared" si="0"/>
        <v>0</v>
      </c>
      <c r="AA4" s="153">
        <f t="shared" si="0"/>
        <v>0</v>
      </c>
      <c r="AB4" s="153">
        <f t="shared" si="0"/>
        <v>0</v>
      </c>
      <c r="AC4" s="153">
        <f t="shared" si="0"/>
        <v>0</v>
      </c>
      <c r="AD4" s="153">
        <f t="shared" si="0"/>
        <v>0</v>
      </c>
      <c r="AE4" s="153">
        <f t="shared" si="0"/>
        <v>0</v>
      </c>
      <c r="AF4" s="153">
        <f t="shared" si="0"/>
        <v>0</v>
      </c>
      <c r="AG4" s="153">
        <f t="shared" si="0"/>
        <v>0</v>
      </c>
    </row>
    <row r="5" spans="2:33" s="25" customFormat="1" ht="14.25" customHeight="1"/>
    <row r="6" spans="2:33" s="25" customFormat="1" ht="14.25" customHeight="1">
      <c r="B6" s="154" t="s">
        <v>26</v>
      </c>
      <c r="C6" s="155">
        <f>'Daily &amp; Weekly Totals'!E5</f>
        <v>43920</v>
      </c>
      <c r="E6" s="10" t="str">
        <f>IF(Friedman!H3=0,"",Friedman!H3)</f>
        <v/>
      </c>
      <c r="F6" s="10" t="str">
        <f>IF(Friedman!L3=0,"",Friedman!L3)</f>
        <v/>
      </c>
      <c r="G6" s="10" t="str">
        <f>IF(Friedman!P3=0,"",Friedman!P3)</f>
        <v/>
      </c>
      <c r="H6" s="10" t="str">
        <f>IF(Friedman!T3=0,"",Friedman!T3)</f>
        <v/>
      </c>
      <c r="I6" s="10" t="str">
        <f>IF(Friedman!X3=0,"",Friedman!X3)</f>
        <v/>
      </c>
      <c r="J6" s="10" t="str">
        <f>IF(Friedman!AB3=0,"",Friedman!AB3)</f>
        <v/>
      </c>
      <c r="K6" s="10" t="str">
        <f>IF(Friedman!AF3=0,"",Friedman!AF3)</f>
        <v/>
      </c>
      <c r="L6" s="10" t="str">
        <f>IF(Friedman!AJ3=0,"",Friedman!AJ3)</f>
        <v/>
      </c>
      <c r="M6" s="10" t="str">
        <f>IF(Friedman!AN3=0,"",Friedman!AN3)</f>
        <v/>
      </c>
      <c r="N6" s="10" t="str">
        <f>IF(Friedman!AR3=0,"",Friedman!AR3)</f>
        <v/>
      </c>
      <c r="O6" s="10" t="str">
        <f>IF(Friedman!AV3=0,"",Friedman!AV3)</f>
        <v/>
      </c>
      <c r="P6" s="10" t="str">
        <f>IF(Friedman!AZ3=0,"",Friedman!AZ3)</f>
        <v/>
      </c>
      <c r="Q6" s="10" t="str">
        <f>IF(Friedman!BD3=0,"",Friedman!BD3)</f>
        <v/>
      </c>
      <c r="R6" s="10" t="str">
        <f>IF(Friedman!BH3=0,"",Friedman!BH3)</f>
        <v/>
      </c>
      <c r="S6" s="10" t="str">
        <f>IF(Friedman!BL3=0,"",Friedman!BL3)</f>
        <v/>
      </c>
      <c r="T6" s="10" t="str">
        <f>IF(Friedman!BP3=0,"",Friedman!BP3)</f>
        <v/>
      </c>
      <c r="U6" s="10" t="str">
        <f>IF(Friedman!BT3=0,"",Friedman!BT3)</f>
        <v/>
      </c>
      <c r="V6" s="10" t="str">
        <f>IF(Friedman!BX3=0,"",Friedman!BX3)</f>
        <v/>
      </c>
      <c r="W6" s="10" t="str">
        <f>IF(Friedman!CB3=0,"",Friedman!CB3)</f>
        <v/>
      </c>
      <c r="X6" s="10" t="str">
        <f>IF(Friedman!CF3=0,"",Friedman!CF3)</f>
        <v/>
      </c>
      <c r="Y6" s="10"/>
      <c r="Z6" s="10"/>
      <c r="AA6" s="10"/>
      <c r="AB6" s="10"/>
      <c r="AC6" s="10"/>
      <c r="AD6" s="10"/>
      <c r="AE6" s="10"/>
      <c r="AF6" s="10"/>
      <c r="AG6" s="10" t="str">
        <f>IF(Friedman!C3=0,"",Friedman!C3)</f>
        <v/>
      </c>
    </row>
    <row r="7" spans="2:33" s="25" customFormat="1" ht="14.25" customHeight="1">
      <c r="B7" s="154" t="s">
        <v>27</v>
      </c>
      <c r="C7" s="155">
        <f>'Daily &amp; Weekly Totals'!E6</f>
        <v>43921</v>
      </c>
      <c r="E7" s="10" t="str">
        <f>IF(Friedman!H4=0,"",Friedman!H4)</f>
        <v/>
      </c>
      <c r="F7" s="10" t="str">
        <f>IF(Friedman!L4=0,"",Friedman!L4)</f>
        <v/>
      </c>
      <c r="G7" s="10" t="str">
        <f>IF(Friedman!P4=0,"",Friedman!P4)</f>
        <v/>
      </c>
      <c r="H7" s="10" t="str">
        <f>IF(Friedman!T4=0,"",Friedman!T4)</f>
        <v/>
      </c>
      <c r="I7" s="10" t="str">
        <f>IF(Friedman!X4=0,"",Friedman!X4)</f>
        <v/>
      </c>
      <c r="J7" s="10" t="str">
        <f>IF(Friedman!AB4=0,"",Friedman!AB4)</f>
        <v/>
      </c>
      <c r="K7" s="10" t="str">
        <f>IF(Friedman!AF4=0,"",Friedman!AF4)</f>
        <v/>
      </c>
      <c r="L7" s="10" t="str">
        <f>IF(Friedman!AJ4=0,"",Friedman!AJ4)</f>
        <v/>
      </c>
      <c r="M7" s="10" t="str">
        <f>IF(Friedman!AN4=0,"",Friedman!AN4)</f>
        <v/>
      </c>
      <c r="N7" s="10" t="str">
        <f>IF(Friedman!AR4=0,"",Friedman!AR4)</f>
        <v/>
      </c>
      <c r="O7" s="10" t="str">
        <f>IF(Friedman!AV4=0,"",Friedman!AV4)</f>
        <v/>
      </c>
      <c r="P7" s="10" t="str">
        <f>IF(Friedman!AZ4=0,"",Friedman!AZ4)</f>
        <v/>
      </c>
      <c r="Q7" s="10" t="str">
        <f>IF(Friedman!BD4=0,"",Friedman!BD4)</f>
        <v/>
      </c>
      <c r="R7" s="10" t="str">
        <f>IF(Friedman!BH4=0,"",Friedman!BH4)</f>
        <v/>
      </c>
      <c r="S7" s="10" t="str">
        <f>IF(Friedman!BL4=0,"",Friedman!BL4)</f>
        <v/>
      </c>
      <c r="T7" s="10" t="str">
        <f>IF(Friedman!BP4=0,"",Friedman!BP4)</f>
        <v/>
      </c>
      <c r="U7" s="10" t="str">
        <f>IF(Friedman!BT4=0,"",Friedman!BT4)</f>
        <v/>
      </c>
      <c r="V7" s="10" t="str">
        <f>IF(Friedman!BX4=0,"",Friedman!BX4)</f>
        <v/>
      </c>
      <c r="W7" s="10" t="str">
        <f>IF(Friedman!CB4=0,"",Friedman!CB4)</f>
        <v/>
      </c>
      <c r="X7" s="10" t="str">
        <f>IF(Friedman!CF4=0,"",Friedman!CF4)</f>
        <v/>
      </c>
      <c r="Y7" s="10"/>
      <c r="Z7" s="10"/>
      <c r="AA7" s="10"/>
      <c r="AB7" s="10"/>
      <c r="AC7" s="10"/>
      <c r="AD7" s="10"/>
      <c r="AE7" s="10"/>
      <c r="AF7" s="10"/>
      <c r="AG7" s="10" t="str">
        <f>IF(Friedman!C4=0,"",Friedman!C4)</f>
        <v/>
      </c>
    </row>
    <row r="8" spans="2:33" s="25" customFormat="1" ht="14.25" customHeight="1">
      <c r="B8" s="154" t="s">
        <v>28</v>
      </c>
      <c r="C8" s="155">
        <f>'Daily &amp; Weekly Totals'!E7</f>
        <v>43922</v>
      </c>
      <c r="E8" s="10" t="str">
        <f>IF(Friedman!H5=0,"",Friedman!H5)</f>
        <v/>
      </c>
      <c r="F8" s="10" t="str">
        <f>IF(Friedman!L5=0,"",Friedman!L5)</f>
        <v/>
      </c>
      <c r="G8" s="10" t="str">
        <f>IF(Friedman!P5=0,"",Friedman!P5)</f>
        <v/>
      </c>
      <c r="H8" s="10" t="str">
        <f>IF(Friedman!T5=0,"",Friedman!T5)</f>
        <v/>
      </c>
      <c r="I8" s="10" t="str">
        <f>IF(Friedman!X5=0,"",Friedman!X5)</f>
        <v/>
      </c>
      <c r="J8" s="10" t="str">
        <f>IF(Friedman!AB5=0,"",Friedman!AB5)</f>
        <v/>
      </c>
      <c r="K8" s="10" t="str">
        <f>IF(Friedman!AF5=0,"",Friedman!AF5)</f>
        <v/>
      </c>
      <c r="L8" s="10" t="str">
        <f>IF(Friedman!AJ5=0,"",Friedman!AJ5)</f>
        <v/>
      </c>
      <c r="M8" s="10" t="str">
        <f>IF(Friedman!AN5=0,"",Friedman!AN5)</f>
        <v/>
      </c>
      <c r="N8" s="10" t="str">
        <f>IF(Friedman!AR5=0,"",Friedman!AR5)</f>
        <v/>
      </c>
      <c r="O8" s="10" t="str">
        <f>IF(Friedman!AV5=0,"",Friedman!AV5)</f>
        <v/>
      </c>
      <c r="P8" s="10" t="str">
        <f>IF(Friedman!AZ5=0,"",Friedman!AZ5)</f>
        <v/>
      </c>
      <c r="Q8" s="10" t="str">
        <f>IF(Friedman!BD5=0,"",Friedman!BD5)</f>
        <v/>
      </c>
      <c r="R8" s="10" t="str">
        <f>IF(Friedman!BH5=0,"",Friedman!BH5)</f>
        <v/>
      </c>
      <c r="S8" s="10" t="str">
        <f>IF(Friedman!BL5=0,"",Friedman!BL5)</f>
        <v/>
      </c>
      <c r="T8" s="10" t="str">
        <f>IF(Friedman!BP5=0,"",Friedman!BP5)</f>
        <v/>
      </c>
      <c r="U8" s="10" t="str">
        <f>IF(Friedman!BT5=0,"",Friedman!BT5)</f>
        <v/>
      </c>
      <c r="V8" s="10" t="str">
        <f>IF(Friedman!BX5=0,"",Friedman!BX5)</f>
        <v/>
      </c>
      <c r="W8" s="10" t="str">
        <f>IF(Friedman!CB5=0,"",Friedman!CB5)</f>
        <v/>
      </c>
      <c r="X8" s="10" t="str">
        <f>IF(Friedman!CF5=0,"",Friedman!CF5)</f>
        <v/>
      </c>
      <c r="Y8" s="10"/>
      <c r="Z8" s="10"/>
      <c r="AA8" s="10"/>
      <c r="AB8" s="10"/>
      <c r="AC8" s="10"/>
      <c r="AD8" s="10"/>
      <c r="AE8" s="10"/>
      <c r="AF8" s="10"/>
      <c r="AG8" s="10" t="str">
        <f>IF(Friedman!C5=0,"",Friedman!C5)</f>
        <v/>
      </c>
    </row>
    <row r="9" spans="2:33" s="25" customFormat="1" ht="14.25" customHeight="1">
      <c r="B9" s="154" t="s">
        <v>29</v>
      </c>
      <c r="C9" s="155">
        <f>'Daily &amp; Weekly Totals'!E8</f>
        <v>43923</v>
      </c>
      <c r="E9" s="10" t="str">
        <f>IF(Friedman!H6=0,"",Friedman!H6)</f>
        <v/>
      </c>
      <c r="F9" s="10" t="str">
        <f>IF(Friedman!L6=0,"",Friedman!L6)</f>
        <v/>
      </c>
      <c r="G9" s="10" t="str">
        <f>IF(Friedman!P6=0,"",Friedman!P6)</f>
        <v/>
      </c>
      <c r="H9" s="10" t="str">
        <f>IF(Friedman!T6=0,"",Friedman!T6)</f>
        <v/>
      </c>
      <c r="I9" s="10" t="str">
        <f>IF(Friedman!X6=0,"",Friedman!X6)</f>
        <v/>
      </c>
      <c r="J9" s="10" t="str">
        <f>IF(Friedman!AB6=0,"",Friedman!AB6)</f>
        <v/>
      </c>
      <c r="K9" s="10" t="str">
        <f>IF(Friedman!AF6=0,"",Friedman!AF6)</f>
        <v/>
      </c>
      <c r="L9" s="10" t="str">
        <f>IF(Friedman!AJ6=0,"",Friedman!AJ6)</f>
        <v/>
      </c>
      <c r="M9" s="10" t="str">
        <f>IF(Friedman!AN6=0,"",Friedman!AN6)</f>
        <v/>
      </c>
      <c r="N9" s="10" t="str">
        <f>IF(Friedman!AR6=0,"",Friedman!AR6)</f>
        <v/>
      </c>
      <c r="O9" s="10" t="str">
        <f>IF(Friedman!AV6=0,"",Friedman!AV6)</f>
        <v/>
      </c>
      <c r="P9" s="10" t="str">
        <f>IF(Friedman!AZ6=0,"",Friedman!AZ6)</f>
        <v/>
      </c>
      <c r="Q9" s="10" t="str">
        <f>IF(Friedman!BD6=0,"",Friedman!BD6)</f>
        <v/>
      </c>
      <c r="R9" s="10" t="str">
        <f>IF(Friedman!BH6=0,"",Friedman!BH6)</f>
        <v/>
      </c>
      <c r="S9" s="10" t="str">
        <f>IF(Friedman!BL6=0,"",Friedman!BL6)</f>
        <v/>
      </c>
      <c r="T9" s="10" t="str">
        <f>IF(Friedman!BP6=0,"",Friedman!BP6)</f>
        <v/>
      </c>
      <c r="U9" s="10" t="str">
        <f>IF(Friedman!BT6=0,"",Friedman!BT6)</f>
        <v/>
      </c>
      <c r="V9" s="10" t="str">
        <f>IF(Friedman!BX6=0,"",Friedman!BX6)</f>
        <v/>
      </c>
      <c r="W9" s="10" t="str">
        <f>IF(Friedman!CB6=0,"",Friedman!CB6)</f>
        <v/>
      </c>
      <c r="X9" s="10" t="str">
        <f>IF(Friedman!CF6=0,"",Friedman!CF6)</f>
        <v/>
      </c>
      <c r="Y9" s="10"/>
      <c r="Z9" s="10"/>
      <c r="AA9" s="10"/>
      <c r="AB9" s="10"/>
      <c r="AC9" s="10"/>
      <c r="AD9" s="10"/>
      <c r="AE9" s="10"/>
      <c r="AF9" s="10"/>
      <c r="AG9" s="10" t="str">
        <f>IF(Friedman!C6=0,"",Friedman!C6)</f>
        <v/>
      </c>
    </row>
    <row r="10" spans="2:33" s="25" customFormat="1" ht="14.25" customHeight="1">
      <c r="B10" s="154" t="s">
        <v>30</v>
      </c>
      <c r="C10" s="155">
        <f>'Daily &amp; Weekly Totals'!E9</f>
        <v>43924</v>
      </c>
      <c r="E10" s="10" t="str">
        <f>IF(Friedman!H7=0,"",Friedman!H7)</f>
        <v/>
      </c>
      <c r="F10" s="10" t="str">
        <f>IF(Friedman!L7=0,"",Friedman!L7)</f>
        <v/>
      </c>
      <c r="G10" s="10" t="str">
        <f>IF(Friedman!P7=0,"",Friedman!P7)</f>
        <v/>
      </c>
      <c r="H10" s="10" t="str">
        <f>IF(Friedman!T7=0,"",Friedman!T7)</f>
        <v/>
      </c>
      <c r="I10" s="10" t="str">
        <f>IF(Friedman!X7=0,"",Friedman!X7)</f>
        <v/>
      </c>
      <c r="J10" s="10" t="str">
        <f>IF(Friedman!AB7=0,"",Friedman!AB7)</f>
        <v/>
      </c>
      <c r="K10" s="10" t="str">
        <f>IF(Friedman!AF7=0,"",Friedman!AF7)</f>
        <v/>
      </c>
      <c r="L10" s="10" t="str">
        <f>IF(Friedman!AJ7=0,"",Friedman!AJ7)</f>
        <v/>
      </c>
      <c r="M10" s="10" t="str">
        <f>IF(Friedman!AN7=0,"",Friedman!AN7)</f>
        <v/>
      </c>
      <c r="N10" s="10" t="str">
        <f>IF(Friedman!AR7=0,"",Friedman!AR7)</f>
        <v/>
      </c>
      <c r="O10" s="10" t="str">
        <f>IF(Friedman!AV7=0,"",Friedman!AV7)</f>
        <v/>
      </c>
      <c r="P10" s="10" t="str">
        <f>IF(Friedman!AZ7=0,"",Friedman!AZ7)</f>
        <v/>
      </c>
      <c r="Q10" s="10" t="str">
        <f>IF(Friedman!BD7=0,"",Friedman!BD7)</f>
        <v/>
      </c>
      <c r="R10" s="10" t="str">
        <f>IF(Friedman!BH7=0,"",Friedman!BH7)</f>
        <v/>
      </c>
      <c r="S10" s="10" t="str">
        <f>IF(Friedman!BL7=0,"",Friedman!BL7)</f>
        <v/>
      </c>
      <c r="T10" s="10" t="str">
        <f>IF(Friedman!BP7=0,"",Friedman!BP7)</f>
        <v/>
      </c>
      <c r="U10" s="10" t="str">
        <f>IF(Friedman!BT7=0,"",Friedman!BT7)</f>
        <v/>
      </c>
      <c r="V10" s="10" t="str">
        <f>IF(Friedman!BX7=0,"",Friedman!BX7)</f>
        <v/>
      </c>
      <c r="W10" s="10" t="str">
        <f>IF(Friedman!CB7=0,"",Friedman!CB7)</f>
        <v/>
      </c>
      <c r="X10" s="10" t="str">
        <f>IF(Friedman!CF7=0,"",Friedman!CF7)</f>
        <v/>
      </c>
      <c r="Y10" s="10"/>
      <c r="Z10" s="10"/>
      <c r="AA10" s="10"/>
      <c r="AB10" s="10"/>
      <c r="AC10" s="10"/>
      <c r="AD10" s="10"/>
      <c r="AE10" s="10"/>
      <c r="AF10" s="10"/>
      <c r="AG10" s="10" t="str">
        <f>IF(Friedman!C7=0,"",Friedman!C7)</f>
        <v/>
      </c>
    </row>
    <row r="11" spans="2:33" s="25" customFormat="1" ht="14.25" customHeight="1">
      <c r="B11" s="154" t="s">
        <v>31</v>
      </c>
      <c r="C11" s="155">
        <f>'Daily &amp; Weekly Totals'!E10</f>
        <v>43925</v>
      </c>
      <c r="E11" s="10" t="str">
        <f>IF(Friedman!H8=0,"",Friedman!H8)</f>
        <v/>
      </c>
      <c r="F11" s="10" t="str">
        <f>IF(Friedman!L8=0,"",Friedman!L8)</f>
        <v/>
      </c>
      <c r="G11" s="10" t="str">
        <f>IF(Friedman!P8=0,"",Friedman!P8)</f>
        <v/>
      </c>
      <c r="H11" s="10" t="str">
        <f>IF(Friedman!T8=0,"",Friedman!T8)</f>
        <v/>
      </c>
      <c r="I11" s="10" t="str">
        <f>IF(Friedman!X8=0,"",Friedman!X8)</f>
        <v/>
      </c>
      <c r="J11" s="10" t="str">
        <f>IF(Friedman!AB8=0,"",Friedman!AB8)</f>
        <v/>
      </c>
      <c r="K11" s="10" t="str">
        <f>IF(Friedman!AF8=0,"",Friedman!AF8)</f>
        <v/>
      </c>
      <c r="L11" s="10" t="str">
        <f>IF(Friedman!AJ8=0,"",Friedman!AJ8)</f>
        <v/>
      </c>
      <c r="M11" s="10" t="str">
        <f>IF(Friedman!AN8=0,"",Friedman!AN8)</f>
        <v/>
      </c>
      <c r="N11" s="10" t="str">
        <f>IF(Friedman!AR8=0,"",Friedman!AR8)</f>
        <v/>
      </c>
      <c r="O11" s="10" t="str">
        <f>IF(Friedman!AV8=0,"",Friedman!AV8)</f>
        <v/>
      </c>
      <c r="P11" s="10" t="str">
        <f>IF(Friedman!AZ8=0,"",Friedman!AZ8)</f>
        <v/>
      </c>
      <c r="Q11" s="10" t="str">
        <f>IF(Friedman!BD8=0,"",Friedman!BD8)</f>
        <v/>
      </c>
      <c r="R11" s="10" t="str">
        <f>IF(Friedman!BH8=0,"",Friedman!BH8)</f>
        <v/>
      </c>
      <c r="S11" s="10" t="str">
        <f>IF(Friedman!BL8=0,"",Friedman!BL8)</f>
        <v/>
      </c>
      <c r="T11" s="10" t="str">
        <f>IF(Friedman!BP8=0,"",Friedman!BP8)</f>
        <v/>
      </c>
      <c r="U11" s="10" t="str">
        <f>IF(Friedman!BT8=0,"",Friedman!BT8)</f>
        <v/>
      </c>
      <c r="V11" s="10" t="str">
        <f>IF(Friedman!BX8=0,"",Friedman!BX8)</f>
        <v/>
      </c>
      <c r="W11" s="10" t="str">
        <f>IF(Friedman!CB8=0,"",Friedman!CB8)</f>
        <v/>
      </c>
      <c r="X11" s="10" t="str">
        <f>IF(Friedman!CF8=0,"",Friedman!CF8)</f>
        <v/>
      </c>
      <c r="Y11" s="10"/>
      <c r="Z11" s="10"/>
      <c r="AA11" s="10"/>
      <c r="AB11" s="10"/>
      <c r="AC11" s="10"/>
      <c r="AD11" s="10"/>
      <c r="AE11" s="10"/>
      <c r="AF11" s="10"/>
      <c r="AG11" s="10" t="str">
        <f>IF(Friedman!C8=0,"",Friedman!C8)</f>
        <v/>
      </c>
    </row>
    <row r="12" spans="2:33" s="25" customFormat="1" ht="14.25" customHeight="1">
      <c r="B12" s="154" t="s">
        <v>32</v>
      </c>
      <c r="C12" s="155">
        <f>'Daily &amp; Weekly Totals'!E11</f>
        <v>43926</v>
      </c>
      <c r="E12" s="10" t="str">
        <f>IF(Friedman!H9=0,"",Friedman!H9)</f>
        <v/>
      </c>
      <c r="F12" s="10" t="str">
        <f>IF(Friedman!L9=0,"",Friedman!L9)</f>
        <v/>
      </c>
      <c r="G12" s="10" t="str">
        <f>IF(Friedman!P9=0,"",Friedman!P9)</f>
        <v/>
      </c>
      <c r="H12" s="10" t="str">
        <f>IF(Friedman!T9=0,"",Friedman!T9)</f>
        <v/>
      </c>
      <c r="I12" s="10" t="str">
        <f>IF(Friedman!X9=0,"",Friedman!X9)</f>
        <v/>
      </c>
      <c r="J12" s="10" t="str">
        <f>IF(Friedman!AB9=0,"",Friedman!AB9)</f>
        <v/>
      </c>
      <c r="K12" s="10" t="str">
        <f>IF(Friedman!AF9=0,"",Friedman!AF9)</f>
        <v/>
      </c>
      <c r="L12" s="10" t="str">
        <f>IF(Friedman!AJ9=0,"",Friedman!AJ9)</f>
        <v/>
      </c>
      <c r="M12" s="10" t="str">
        <f>IF(Friedman!AN9=0,"",Friedman!AN9)</f>
        <v/>
      </c>
      <c r="N12" s="10" t="str">
        <f>IF(Friedman!AR9=0,"",Friedman!AR9)</f>
        <v/>
      </c>
      <c r="O12" s="10" t="str">
        <f>IF(Friedman!AV9=0,"",Friedman!AV9)</f>
        <v/>
      </c>
      <c r="P12" s="10" t="str">
        <f>IF(Friedman!AZ9=0,"",Friedman!AZ9)</f>
        <v/>
      </c>
      <c r="Q12" s="10" t="str">
        <f>IF(Friedman!BD9=0,"",Friedman!BD9)</f>
        <v/>
      </c>
      <c r="R12" s="10" t="str">
        <f>IF(Friedman!BH9=0,"",Friedman!BH9)</f>
        <v/>
      </c>
      <c r="S12" s="10" t="str">
        <f>IF(Friedman!BL9=0,"",Friedman!BL9)</f>
        <v/>
      </c>
      <c r="T12" s="10" t="str">
        <f>IF(Friedman!BP9=0,"",Friedman!BP9)</f>
        <v/>
      </c>
      <c r="U12" s="10" t="str">
        <f>IF(Friedman!BT9=0,"",Friedman!BT9)</f>
        <v/>
      </c>
      <c r="V12" s="10" t="str">
        <f>IF(Friedman!BX9=0,"",Friedman!BX9)</f>
        <v/>
      </c>
      <c r="W12" s="10" t="str">
        <f>IF(Friedman!CB9=0,"",Friedman!CB9)</f>
        <v/>
      </c>
      <c r="X12" s="10" t="str">
        <f>IF(Friedman!CF9=0,"",Friedman!CF9)</f>
        <v/>
      </c>
      <c r="Y12" s="10"/>
      <c r="Z12" s="10"/>
      <c r="AA12" s="10"/>
      <c r="AB12" s="10"/>
      <c r="AC12" s="10"/>
      <c r="AD12" s="10"/>
      <c r="AE12" s="10"/>
      <c r="AF12" s="10"/>
      <c r="AG12" s="10" t="str">
        <f>IF(Friedman!C9=0,"",Friedman!C9)</f>
        <v/>
      </c>
    </row>
    <row r="13" spans="2:33" s="25" customFormat="1" ht="14.25" customHeight="1">
      <c r="B13" s="154" t="s">
        <v>26</v>
      </c>
      <c r="C13" s="155">
        <f>'Daily &amp; Weekly Totals'!E15</f>
        <v>43927</v>
      </c>
      <c r="E13" s="10" t="str">
        <f>IF(Friedman!H10=0,"",Friedman!H10)</f>
        <v/>
      </c>
      <c r="F13" s="10" t="str">
        <f>IF(Friedman!L10=0,"",Friedman!L10)</f>
        <v/>
      </c>
      <c r="G13" s="10" t="str">
        <f>IF(Friedman!P10=0,"",Friedman!P10)</f>
        <v/>
      </c>
      <c r="H13" s="10" t="str">
        <f>IF(Friedman!T10=0,"",Friedman!T10)</f>
        <v/>
      </c>
      <c r="I13" s="10" t="str">
        <f>IF(Friedman!X10=0,"",Friedman!X10)</f>
        <v/>
      </c>
      <c r="J13" s="10" t="str">
        <f>IF(Friedman!AB10=0,"",Friedman!AB10)</f>
        <v/>
      </c>
      <c r="K13" s="10" t="str">
        <f>IF(Friedman!AF10=0,"",Friedman!AF10)</f>
        <v/>
      </c>
      <c r="L13" s="10" t="str">
        <f>IF(Friedman!AJ10=0,"",Friedman!AJ10)</f>
        <v/>
      </c>
      <c r="M13" s="10" t="str">
        <f>IF(Friedman!AN10=0,"",Friedman!AN10)</f>
        <v/>
      </c>
      <c r="N13" s="10" t="str">
        <f>IF(Friedman!AR10=0,"",Friedman!AR10)</f>
        <v/>
      </c>
      <c r="O13" s="10" t="str">
        <f>IF(Friedman!AV10=0,"",Friedman!AV10)</f>
        <v/>
      </c>
      <c r="P13" s="10" t="str">
        <f>IF(Friedman!AZ10=0,"",Friedman!AZ10)</f>
        <v/>
      </c>
      <c r="Q13" s="10" t="str">
        <f>IF(Friedman!BD10=0,"",Friedman!BD10)</f>
        <v/>
      </c>
      <c r="R13" s="10" t="str">
        <f>IF(Friedman!BH10=0,"",Friedman!BH10)</f>
        <v/>
      </c>
      <c r="S13" s="10" t="str">
        <f>IF(Friedman!BL10=0,"",Friedman!BL10)</f>
        <v/>
      </c>
      <c r="T13" s="10" t="str">
        <f>IF(Friedman!BP10=0,"",Friedman!BP10)</f>
        <v/>
      </c>
      <c r="U13" s="10" t="str">
        <f>IF(Friedman!BT10=0,"",Friedman!BT10)</f>
        <v/>
      </c>
      <c r="V13" s="10" t="str">
        <f>IF(Friedman!BX10=0,"",Friedman!BX10)</f>
        <v/>
      </c>
      <c r="W13" s="10" t="str">
        <f>IF(Friedman!CB10=0,"",Friedman!CB10)</f>
        <v/>
      </c>
      <c r="X13" s="10" t="str">
        <f>IF(Friedman!CF10=0,"",Friedman!CF10)</f>
        <v/>
      </c>
      <c r="Y13" s="10"/>
      <c r="Z13" s="10"/>
      <c r="AA13" s="10"/>
      <c r="AB13" s="10"/>
      <c r="AC13" s="10"/>
      <c r="AD13" s="10"/>
      <c r="AE13" s="10"/>
      <c r="AF13" s="10"/>
      <c r="AG13" s="10" t="str">
        <f>IF(Friedman!C10=0,"",Friedman!C10)</f>
        <v/>
      </c>
    </row>
    <row r="14" spans="2:33" s="25" customFormat="1" ht="14.25" customHeight="1">
      <c r="B14" s="154" t="s">
        <v>27</v>
      </c>
      <c r="C14" s="155">
        <f>'Daily &amp; Weekly Totals'!E16</f>
        <v>43928</v>
      </c>
      <c r="E14" s="10" t="str">
        <f>IF(Friedman!H11=0,"",Friedman!H11)</f>
        <v/>
      </c>
      <c r="F14" s="10" t="str">
        <f>IF(Friedman!L11=0,"",Friedman!L11)</f>
        <v/>
      </c>
      <c r="G14" s="10" t="str">
        <f>IF(Friedman!P11=0,"",Friedman!P11)</f>
        <v/>
      </c>
      <c r="H14" s="10" t="str">
        <f>IF(Friedman!T11=0,"",Friedman!T11)</f>
        <v/>
      </c>
      <c r="I14" s="10" t="str">
        <f>IF(Friedman!X11=0,"",Friedman!X11)</f>
        <v/>
      </c>
      <c r="J14" s="10" t="str">
        <f>IF(Friedman!AB11=0,"",Friedman!AB11)</f>
        <v/>
      </c>
      <c r="K14" s="10" t="str">
        <f>IF(Friedman!AF11=0,"",Friedman!AF11)</f>
        <v/>
      </c>
      <c r="L14" s="10" t="str">
        <f>IF(Friedman!AJ11=0,"",Friedman!AJ11)</f>
        <v/>
      </c>
      <c r="M14" s="10" t="str">
        <f>IF(Friedman!AN11=0,"",Friedman!AN11)</f>
        <v/>
      </c>
      <c r="N14" s="10" t="str">
        <f>IF(Friedman!AR11=0,"",Friedman!AR11)</f>
        <v/>
      </c>
      <c r="O14" s="10" t="str">
        <f>IF(Friedman!AV11=0,"",Friedman!AV11)</f>
        <v/>
      </c>
      <c r="P14" s="10" t="str">
        <f>IF(Friedman!AZ11=0,"",Friedman!AZ11)</f>
        <v/>
      </c>
      <c r="Q14" s="10" t="str">
        <f>IF(Friedman!BD11=0,"",Friedman!BD11)</f>
        <v/>
      </c>
      <c r="R14" s="10" t="str">
        <f>IF(Friedman!BH11=0,"",Friedman!BH11)</f>
        <v/>
      </c>
      <c r="S14" s="10" t="str">
        <f>IF(Friedman!BL11=0,"",Friedman!BL11)</f>
        <v/>
      </c>
      <c r="T14" s="10" t="str">
        <f>IF(Friedman!BP11=0,"",Friedman!BP11)</f>
        <v/>
      </c>
      <c r="U14" s="10" t="str">
        <f>IF(Friedman!BT11=0,"",Friedman!BT11)</f>
        <v/>
      </c>
      <c r="V14" s="10" t="str">
        <f>IF(Friedman!BX11=0,"",Friedman!BX11)</f>
        <v/>
      </c>
      <c r="W14" s="10" t="str">
        <f>IF(Friedman!CB11=0,"",Friedman!CB11)</f>
        <v/>
      </c>
      <c r="X14" s="10" t="str">
        <f>IF(Friedman!CF11=0,"",Friedman!CF11)</f>
        <v/>
      </c>
      <c r="Y14" s="10"/>
      <c r="Z14" s="10"/>
      <c r="AA14" s="10"/>
      <c r="AB14" s="10"/>
      <c r="AC14" s="10"/>
      <c r="AD14" s="10"/>
      <c r="AE14" s="10"/>
      <c r="AF14" s="10"/>
      <c r="AG14" s="10" t="str">
        <f>IF(Friedman!C11=0,"",Friedman!C11)</f>
        <v/>
      </c>
    </row>
    <row r="15" spans="2:33" s="25" customFormat="1" ht="14.25" customHeight="1">
      <c r="B15" s="154" t="s">
        <v>28</v>
      </c>
      <c r="C15" s="155">
        <f>'Daily &amp; Weekly Totals'!E17</f>
        <v>43929</v>
      </c>
      <c r="E15" s="10" t="str">
        <f>IF(Friedman!H12=0,"",Friedman!H12)</f>
        <v/>
      </c>
      <c r="F15" s="10" t="str">
        <f>IF(Friedman!L12=0,"",Friedman!L12)</f>
        <v/>
      </c>
      <c r="G15" s="10" t="str">
        <f>IF(Friedman!P12=0,"",Friedman!P12)</f>
        <v/>
      </c>
      <c r="H15" s="10" t="str">
        <f>IF(Friedman!T12=0,"",Friedman!T12)</f>
        <v/>
      </c>
      <c r="I15" s="10" t="str">
        <f>IF(Friedman!X12=0,"",Friedman!X12)</f>
        <v/>
      </c>
      <c r="J15" s="10" t="str">
        <f>IF(Friedman!AB12=0,"",Friedman!AB12)</f>
        <v/>
      </c>
      <c r="K15" s="10" t="str">
        <f>IF(Friedman!AF12=0,"",Friedman!AF12)</f>
        <v/>
      </c>
      <c r="L15" s="10" t="str">
        <f>IF(Friedman!AJ12=0,"",Friedman!AJ12)</f>
        <v/>
      </c>
      <c r="M15" s="10" t="str">
        <f>IF(Friedman!AN12=0,"",Friedman!AN12)</f>
        <v/>
      </c>
      <c r="N15" s="10" t="str">
        <f>IF(Friedman!AR12=0,"",Friedman!AR12)</f>
        <v/>
      </c>
      <c r="O15" s="10" t="str">
        <f>IF(Friedman!AV12=0,"",Friedman!AV12)</f>
        <v/>
      </c>
      <c r="P15" s="10" t="str">
        <f>IF(Friedman!AZ12=0,"",Friedman!AZ12)</f>
        <v/>
      </c>
      <c r="Q15" s="10" t="str">
        <f>IF(Friedman!BD12=0,"",Friedman!BD12)</f>
        <v/>
      </c>
      <c r="R15" s="10" t="str">
        <f>IF(Friedman!BH12=0,"",Friedman!BH12)</f>
        <v/>
      </c>
      <c r="S15" s="10" t="str">
        <f>IF(Friedman!BL12=0,"",Friedman!BL12)</f>
        <v/>
      </c>
      <c r="T15" s="10" t="str">
        <f>IF(Friedman!BP12=0,"",Friedman!BP12)</f>
        <v/>
      </c>
      <c r="U15" s="10" t="str">
        <f>IF(Friedman!BT12=0,"",Friedman!BT12)</f>
        <v/>
      </c>
      <c r="V15" s="10" t="str">
        <f>IF(Friedman!BX12=0,"",Friedman!BX12)</f>
        <v/>
      </c>
      <c r="W15" s="10" t="str">
        <f>IF(Friedman!CB12=0,"",Friedman!CB12)</f>
        <v/>
      </c>
      <c r="X15" s="10" t="str">
        <f>IF(Friedman!CF12=0,"",Friedman!CF12)</f>
        <v/>
      </c>
      <c r="Y15" s="10"/>
      <c r="Z15" s="10"/>
      <c r="AA15" s="10"/>
      <c r="AB15" s="10"/>
      <c r="AC15" s="10"/>
      <c r="AD15" s="10"/>
      <c r="AE15" s="10"/>
      <c r="AF15" s="10"/>
      <c r="AG15" s="10" t="str">
        <f>IF(Friedman!C12=0,"",Friedman!C12)</f>
        <v/>
      </c>
    </row>
    <row r="16" spans="2:33" s="25" customFormat="1" ht="14.25" customHeight="1">
      <c r="B16" s="154" t="s">
        <v>29</v>
      </c>
      <c r="C16" s="155">
        <f>'Daily &amp; Weekly Totals'!E18</f>
        <v>43930</v>
      </c>
      <c r="E16" s="10" t="str">
        <f>IF(Friedman!H13=0,"",Friedman!H13)</f>
        <v/>
      </c>
      <c r="F16" s="10" t="str">
        <f>IF(Friedman!L13=0,"",Friedman!L13)</f>
        <v/>
      </c>
      <c r="G16" s="10" t="str">
        <f>IF(Friedman!P13=0,"",Friedman!P13)</f>
        <v/>
      </c>
      <c r="H16" s="10" t="str">
        <f>IF(Friedman!T13=0,"",Friedman!T13)</f>
        <v/>
      </c>
      <c r="I16" s="10" t="str">
        <f>IF(Friedman!X13=0,"",Friedman!X13)</f>
        <v/>
      </c>
      <c r="J16" s="10" t="str">
        <f>IF(Friedman!AB13=0,"",Friedman!AB13)</f>
        <v/>
      </c>
      <c r="K16" s="10" t="str">
        <f>IF(Friedman!AF13=0,"",Friedman!AF13)</f>
        <v/>
      </c>
      <c r="L16" s="10" t="str">
        <f>IF(Friedman!AJ13=0,"",Friedman!AJ13)</f>
        <v/>
      </c>
      <c r="M16" s="10" t="str">
        <f>IF(Friedman!AN13=0,"",Friedman!AN13)</f>
        <v/>
      </c>
      <c r="N16" s="10" t="str">
        <f>IF(Friedman!AR13=0,"",Friedman!AR13)</f>
        <v/>
      </c>
      <c r="O16" s="10" t="str">
        <f>IF(Friedman!AV13=0,"",Friedman!AV13)</f>
        <v/>
      </c>
      <c r="P16" s="10" t="str">
        <f>IF(Friedman!AZ13=0,"",Friedman!AZ13)</f>
        <v/>
      </c>
      <c r="Q16" s="10" t="str">
        <f>IF(Friedman!BD13=0,"",Friedman!BD13)</f>
        <v/>
      </c>
      <c r="R16" s="10" t="str">
        <f>IF(Friedman!BH13=0,"",Friedman!BH13)</f>
        <v/>
      </c>
      <c r="S16" s="10" t="str">
        <f>IF(Friedman!BL13=0,"",Friedman!BL13)</f>
        <v/>
      </c>
      <c r="T16" s="10" t="str">
        <f>IF(Friedman!BP13=0,"",Friedman!BP13)</f>
        <v/>
      </c>
      <c r="U16" s="10" t="str">
        <f>IF(Friedman!BT13=0,"",Friedman!BT13)</f>
        <v/>
      </c>
      <c r="V16" s="10" t="str">
        <f>IF(Friedman!BX13=0,"",Friedman!BX13)</f>
        <v/>
      </c>
      <c r="W16" s="10" t="str">
        <f>IF(Friedman!CB13=0,"",Friedman!CB13)</f>
        <v/>
      </c>
      <c r="X16" s="10" t="str">
        <f>IF(Friedman!CF13=0,"",Friedman!CF13)</f>
        <v/>
      </c>
      <c r="Y16" s="10"/>
      <c r="Z16" s="10"/>
      <c r="AA16" s="10"/>
      <c r="AB16" s="10"/>
      <c r="AC16" s="10"/>
      <c r="AD16" s="10"/>
      <c r="AE16" s="10"/>
      <c r="AF16" s="10"/>
      <c r="AG16" s="10" t="str">
        <f>IF(Friedman!C13=0,"",Friedman!C13)</f>
        <v/>
      </c>
    </row>
    <row r="17" spans="2:33" s="25" customFormat="1" ht="14.25" customHeight="1">
      <c r="B17" s="154" t="s">
        <v>30</v>
      </c>
      <c r="C17" s="155">
        <f>'Daily &amp; Weekly Totals'!E19</f>
        <v>43931</v>
      </c>
      <c r="E17" s="10" t="str">
        <f>IF(Friedman!H14=0,"",Friedman!H14)</f>
        <v/>
      </c>
      <c r="F17" s="10" t="str">
        <f>IF(Friedman!L14=0,"",Friedman!L14)</f>
        <v/>
      </c>
      <c r="G17" s="10" t="str">
        <f>IF(Friedman!P14=0,"",Friedman!P14)</f>
        <v/>
      </c>
      <c r="H17" s="10" t="str">
        <f>IF(Friedman!T14=0,"",Friedman!T14)</f>
        <v/>
      </c>
      <c r="I17" s="10" t="str">
        <f>IF(Friedman!X14=0,"",Friedman!X14)</f>
        <v/>
      </c>
      <c r="J17" s="10" t="str">
        <f>IF(Friedman!AB14=0,"",Friedman!AB14)</f>
        <v/>
      </c>
      <c r="K17" s="10" t="str">
        <f>IF(Friedman!AF14=0,"",Friedman!AF14)</f>
        <v/>
      </c>
      <c r="L17" s="10" t="str">
        <f>IF(Friedman!AJ14=0,"",Friedman!AJ14)</f>
        <v/>
      </c>
      <c r="M17" s="10" t="str">
        <f>IF(Friedman!AN14=0,"",Friedman!AN14)</f>
        <v/>
      </c>
      <c r="N17" s="10" t="str">
        <f>IF(Friedman!AR14=0,"",Friedman!AR14)</f>
        <v/>
      </c>
      <c r="O17" s="10" t="str">
        <f>IF(Friedman!AV14=0,"",Friedman!AV14)</f>
        <v/>
      </c>
      <c r="P17" s="10" t="str">
        <f>IF(Friedman!AZ14=0,"",Friedman!AZ14)</f>
        <v/>
      </c>
      <c r="Q17" s="10" t="str">
        <f>IF(Friedman!BD14=0,"",Friedman!BD14)</f>
        <v/>
      </c>
      <c r="R17" s="10" t="str">
        <f>IF(Friedman!BH14=0,"",Friedman!BH14)</f>
        <v/>
      </c>
      <c r="S17" s="10" t="str">
        <f>IF(Friedman!BL14=0,"",Friedman!BL14)</f>
        <v/>
      </c>
      <c r="T17" s="10" t="str">
        <f>IF(Friedman!BP14=0,"",Friedman!BP14)</f>
        <v/>
      </c>
      <c r="U17" s="10" t="str">
        <f>IF(Friedman!BT14=0,"",Friedman!BT14)</f>
        <v/>
      </c>
      <c r="V17" s="10" t="str">
        <f>IF(Friedman!BX14=0,"",Friedman!BX14)</f>
        <v/>
      </c>
      <c r="W17" s="10" t="str">
        <f>IF(Friedman!CB14=0,"",Friedman!CB14)</f>
        <v/>
      </c>
      <c r="X17" s="10" t="str">
        <f>IF(Friedman!CF14=0,"",Friedman!CF14)</f>
        <v/>
      </c>
      <c r="Y17" s="10"/>
      <c r="Z17" s="10"/>
      <c r="AA17" s="10"/>
      <c r="AB17" s="10"/>
      <c r="AC17" s="10"/>
      <c r="AD17" s="10"/>
      <c r="AE17" s="10"/>
      <c r="AF17" s="10"/>
      <c r="AG17" s="10" t="str">
        <f>IF(Friedman!C14=0,"",Friedman!C14)</f>
        <v/>
      </c>
    </row>
    <row r="18" spans="2:33" s="25" customFormat="1" ht="14.25" customHeight="1">
      <c r="B18" s="154" t="s">
        <v>31</v>
      </c>
      <c r="C18" s="155">
        <f>'Daily &amp; Weekly Totals'!E20</f>
        <v>43932</v>
      </c>
      <c r="E18" s="10" t="str">
        <f>IF(Friedman!H15=0,"",Friedman!H15)</f>
        <v/>
      </c>
      <c r="F18" s="10" t="str">
        <f>IF(Friedman!L15=0,"",Friedman!L15)</f>
        <v/>
      </c>
      <c r="G18" s="10" t="str">
        <f>IF(Friedman!P15=0,"",Friedman!P15)</f>
        <v/>
      </c>
      <c r="H18" s="10" t="str">
        <f>IF(Friedman!T15=0,"",Friedman!T15)</f>
        <v/>
      </c>
      <c r="I18" s="10" t="str">
        <f>IF(Friedman!X15=0,"",Friedman!X15)</f>
        <v/>
      </c>
      <c r="J18" s="10" t="str">
        <f>IF(Friedman!AB15=0,"",Friedman!AB15)</f>
        <v/>
      </c>
      <c r="K18" s="10" t="str">
        <f>IF(Friedman!AF15=0,"",Friedman!AF15)</f>
        <v/>
      </c>
      <c r="L18" s="10" t="str">
        <f>IF(Friedman!AJ15=0,"",Friedman!AJ15)</f>
        <v/>
      </c>
      <c r="M18" s="10" t="str">
        <f>IF(Friedman!AN15=0,"",Friedman!AN15)</f>
        <v/>
      </c>
      <c r="N18" s="10" t="str">
        <f>IF(Friedman!AR15=0,"",Friedman!AR15)</f>
        <v/>
      </c>
      <c r="O18" s="10" t="str">
        <f>IF(Friedman!AV15=0,"",Friedman!AV15)</f>
        <v/>
      </c>
      <c r="P18" s="10" t="str">
        <f>IF(Friedman!AZ15=0,"",Friedman!AZ15)</f>
        <v/>
      </c>
      <c r="Q18" s="10" t="str">
        <f>IF(Friedman!BD15=0,"",Friedman!BD15)</f>
        <v/>
      </c>
      <c r="R18" s="10" t="str">
        <f>IF(Friedman!BH15=0,"",Friedman!BH15)</f>
        <v/>
      </c>
      <c r="S18" s="10" t="str">
        <f>IF(Friedman!BL15=0,"",Friedman!BL15)</f>
        <v/>
      </c>
      <c r="T18" s="10" t="str">
        <f>IF(Friedman!BP15=0,"",Friedman!BP15)</f>
        <v/>
      </c>
      <c r="U18" s="10" t="str">
        <f>IF(Friedman!BT15=0,"",Friedman!BT15)</f>
        <v/>
      </c>
      <c r="V18" s="10" t="str">
        <f>IF(Friedman!BX15=0,"",Friedman!BX15)</f>
        <v/>
      </c>
      <c r="W18" s="10" t="str">
        <f>IF(Friedman!CB15=0,"",Friedman!CB15)</f>
        <v/>
      </c>
      <c r="X18" s="10" t="str">
        <f>IF(Friedman!CF15=0,"",Friedman!CF15)</f>
        <v/>
      </c>
      <c r="Y18" s="10"/>
      <c r="Z18" s="10"/>
      <c r="AA18" s="10"/>
      <c r="AB18" s="10"/>
      <c r="AC18" s="10"/>
      <c r="AD18" s="10"/>
      <c r="AE18" s="10"/>
      <c r="AF18" s="10"/>
      <c r="AG18" s="10" t="str">
        <f>IF(Friedman!C15=0,"",Friedman!C15)</f>
        <v/>
      </c>
    </row>
    <row r="19" spans="2:33" s="25" customFormat="1" ht="14.25" customHeight="1">
      <c r="B19" s="154" t="s">
        <v>32</v>
      </c>
      <c r="C19" s="155">
        <f>'Daily &amp; Weekly Totals'!E21</f>
        <v>43933</v>
      </c>
      <c r="E19" s="10" t="str">
        <f>IF(Friedman!H16=0,"",Friedman!H16)</f>
        <v/>
      </c>
      <c r="F19" s="10" t="str">
        <f>IF(Friedman!L16=0,"",Friedman!L16)</f>
        <v/>
      </c>
      <c r="G19" s="10" t="str">
        <f>IF(Friedman!P16=0,"",Friedman!P16)</f>
        <v/>
      </c>
      <c r="H19" s="10" t="str">
        <f>IF(Friedman!T16=0,"",Friedman!T16)</f>
        <v/>
      </c>
      <c r="I19" s="10" t="str">
        <f>IF(Friedman!X16=0,"",Friedman!X16)</f>
        <v/>
      </c>
      <c r="J19" s="10" t="str">
        <f>IF(Friedman!AB16=0,"",Friedman!AB16)</f>
        <v/>
      </c>
      <c r="K19" s="10" t="str">
        <f>IF(Friedman!AF16=0,"",Friedman!AF16)</f>
        <v/>
      </c>
      <c r="L19" s="10" t="str">
        <f>IF(Friedman!AJ16=0,"",Friedman!AJ16)</f>
        <v/>
      </c>
      <c r="M19" s="10" t="str">
        <f>IF(Friedman!AN16=0,"",Friedman!AN16)</f>
        <v/>
      </c>
      <c r="N19" s="10" t="str">
        <f>IF(Friedman!AR16=0,"",Friedman!AR16)</f>
        <v/>
      </c>
      <c r="O19" s="10" t="str">
        <f>IF(Friedman!AV16=0,"",Friedman!AV16)</f>
        <v/>
      </c>
      <c r="P19" s="10" t="str">
        <f>IF(Friedman!AZ16=0,"",Friedman!AZ16)</f>
        <v/>
      </c>
      <c r="Q19" s="10" t="str">
        <f>IF(Friedman!BD16=0,"",Friedman!BD16)</f>
        <v/>
      </c>
      <c r="R19" s="10" t="str">
        <f>IF(Friedman!BH16=0,"",Friedman!BH16)</f>
        <v/>
      </c>
      <c r="S19" s="10" t="str">
        <f>IF(Friedman!BL16=0,"",Friedman!BL16)</f>
        <v/>
      </c>
      <c r="T19" s="10" t="str">
        <f>IF(Friedman!BP16=0,"",Friedman!BP16)</f>
        <v/>
      </c>
      <c r="U19" s="10" t="str">
        <f>IF(Friedman!BT16=0,"",Friedman!BT16)</f>
        <v/>
      </c>
      <c r="V19" s="10" t="str">
        <f>IF(Friedman!BX16=0,"",Friedman!BX16)</f>
        <v/>
      </c>
      <c r="W19" s="10" t="str">
        <f>IF(Friedman!CB16=0,"",Friedman!CB16)</f>
        <v/>
      </c>
      <c r="X19" s="10" t="str">
        <f>IF(Friedman!CF16=0,"",Friedman!CF16)</f>
        <v/>
      </c>
      <c r="Y19" s="10"/>
      <c r="Z19" s="10"/>
      <c r="AA19" s="10"/>
      <c r="AB19" s="10"/>
      <c r="AC19" s="10"/>
      <c r="AD19" s="10"/>
      <c r="AE19" s="10"/>
      <c r="AF19" s="10"/>
      <c r="AG19" s="10" t="str">
        <f>IF(Friedman!C16=0,"",Friedman!C16)</f>
        <v/>
      </c>
    </row>
    <row r="20" spans="2:33" s="25" customFormat="1" ht="14.25" customHeight="1">
      <c r="B20" s="154" t="s">
        <v>26</v>
      </c>
      <c r="C20" s="155">
        <f>'Daily &amp; Weekly Totals'!E25</f>
        <v>43934</v>
      </c>
      <c r="E20" s="10" t="str">
        <f>IF(Friedman!H17=0,"",Friedman!H17)</f>
        <v/>
      </c>
      <c r="F20" s="10" t="str">
        <f>IF(Friedman!L17=0,"",Friedman!L17)</f>
        <v/>
      </c>
      <c r="G20" s="10" t="str">
        <f>IF(Friedman!P17=0,"",Friedman!P17)</f>
        <v/>
      </c>
      <c r="H20" s="10" t="str">
        <f>IF(Friedman!T17=0,"",Friedman!T17)</f>
        <v/>
      </c>
      <c r="I20" s="10" t="str">
        <f>IF(Friedman!X17=0,"",Friedman!X17)</f>
        <v/>
      </c>
      <c r="J20" s="10" t="str">
        <f>IF(Friedman!AB17=0,"",Friedman!AB17)</f>
        <v/>
      </c>
      <c r="K20" s="10" t="str">
        <f>IF(Friedman!AF17=0,"",Friedman!AF17)</f>
        <v/>
      </c>
      <c r="L20" s="10" t="str">
        <f>IF(Friedman!AJ17=0,"",Friedman!AJ17)</f>
        <v/>
      </c>
      <c r="M20" s="10" t="str">
        <f>IF(Friedman!AN17=0,"",Friedman!AN17)</f>
        <v/>
      </c>
      <c r="N20" s="10" t="str">
        <f>IF(Friedman!AR17=0,"",Friedman!AR17)</f>
        <v/>
      </c>
      <c r="O20" s="10" t="str">
        <f>IF(Friedman!AV17=0,"",Friedman!AV17)</f>
        <v/>
      </c>
      <c r="P20" s="10" t="str">
        <f>IF(Friedman!AZ17=0,"",Friedman!AZ17)</f>
        <v/>
      </c>
      <c r="Q20" s="10" t="str">
        <f>IF(Friedman!BD17=0,"",Friedman!BD17)</f>
        <v/>
      </c>
      <c r="R20" s="10" t="str">
        <f>IF(Friedman!BH17=0,"",Friedman!BH17)</f>
        <v/>
      </c>
      <c r="S20" s="10" t="str">
        <f>IF(Friedman!BL17=0,"",Friedman!BL17)</f>
        <v/>
      </c>
      <c r="T20" s="10" t="str">
        <f>IF(Friedman!BP17=0,"",Friedman!BP17)</f>
        <v/>
      </c>
      <c r="U20" s="10" t="str">
        <f>IF(Friedman!BT17=0,"",Friedman!BT17)</f>
        <v/>
      </c>
      <c r="V20" s="10" t="str">
        <f>IF(Friedman!BX17=0,"",Friedman!BX17)</f>
        <v/>
      </c>
      <c r="W20" s="10" t="str">
        <f>IF(Friedman!CB17=0,"",Friedman!CB17)</f>
        <v/>
      </c>
      <c r="X20" s="10" t="str">
        <f>IF(Friedman!CF17=0,"",Friedman!CF17)</f>
        <v/>
      </c>
      <c r="Y20" s="10"/>
      <c r="Z20" s="10"/>
      <c r="AA20" s="10"/>
      <c r="AB20" s="10"/>
      <c r="AC20" s="10"/>
      <c r="AD20" s="10"/>
      <c r="AE20" s="10"/>
      <c r="AF20" s="10"/>
      <c r="AG20" s="10" t="str">
        <f>IF(Friedman!C17=0,"",Friedman!C17)</f>
        <v/>
      </c>
    </row>
    <row r="21" spans="2:33" s="25" customFormat="1" ht="14.25" customHeight="1">
      <c r="B21" s="154" t="s">
        <v>27</v>
      </c>
      <c r="C21" s="155">
        <f>'Daily &amp; Weekly Totals'!E26</f>
        <v>43935</v>
      </c>
      <c r="E21" s="10" t="str">
        <f>IF(Friedman!H18=0,"",Friedman!H18)</f>
        <v/>
      </c>
      <c r="F21" s="10" t="str">
        <f>IF(Friedman!L18=0,"",Friedman!L18)</f>
        <v/>
      </c>
      <c r="G21" s="10" t="str">
        <f>IF(Friedman!P18=0,"",Friedman!P18)</f>
        <v/>
      </c>
      <c r="H21" s="10" t="str">
        <f>IF(Friedman!T18=0,"",Friedman!T18)</f>
        <v/>
      </c>
      <c r="I21" s="10" t="str">
        <f>IF(Friedman!X18=0,"",Friedman!X18)</f>
        <v/>
      </c>
      <c r="J21" s="10" t="str">
        <f>IF(Friedman!AB18=0,"",Friedman!AB18)</f>
        <v/>
      </c>
      <c r="K21" s="10" t="str">
        <f>IF(Friedman!AF18=0,"",Friedman!AF18)</f>
        <v/>
      </c>
      <c r="L21" s="10" t="str">
        <f>IF(Friedman!AJ18=0,"",Friedman!AJ18)</f>
        <v/>
      </c>
      <c r="M21" s="10" t="str">
        <f>IF(Friedman!AN18=0,"",Friedman!AN18)</f>
        <v/>
      </c>
      <c r="N21" s="10" t="str">
        <f>IF(Friedman!AR18=0,"",Friedman!AR18)</f>
        <v/>
      </c>
      <c r="O21" s="10" t="str">
        <f>IF(Friedman!AV18=0,"",Friedman!AV18)</f>
        <v/>
      </c>
      <c r="P21" s="10" t="str">
        <f>IF(Friedman!AZ18=0,"",Friedman!AZ18)</f>
        <v/>
      </c>
      <c r="Q21" s="10" t="str">
        <f>IF(Friedman!BD18=0,"",Friedman!BD18)</f>
        <v/>
      </c>
      <c r="R21" s="10" t="str">
        <f>IF(Friedman!BH18=0,"",Friedman!BH18)</f>
        <v/>
      </c>
      <c r="S21" s="10" t="str">
        <f>IF(Friedman!BL18=0,"",Friedman!BL18)</f>
        <v/>
      </c>
      <c r="T21" s="10" t="str">
        <f>IF(Friedman!BP18=0,"",Friedman!BP18)</f>
        <v/>
      </c>
      <c r="U21" s="10" t="str">
        <f>IF(Friedman!BT18=0,"",Friedman!BT18)</f>
        <v/>
      </c>
      <c r="V21" s="10" t="str">
        <f>IF(Friedman!BX18=0,"",Friedman!BX18)</f>
        <v/>
      </c>
      <c r="W21" s="10" t="str">
        <f>IF(Friedman!CB18=0,"",Friedman!CB18)</f>
        <v/>
      </c>
      <c r="X21" s="10" t="str">
        <f>IF(Friedman!CF18=0,"",Friedman!CF18)</f>
        <v/>
      </c>
      <c r="Y21" s="10"/>
      <c r="Z21" s="10"/>
      <c r="AA21" s="10"/>
      <c r="AB21" s="10"/>
      <c r="AC21" s="10"/>
      <c r="AD21" s="10"/>
      <c r="AE21" s="10"/>
      <c r="AF21" s="10"/>
      <c r="AG21" s="10" t="str">
        <f>IF(Friedman!C18=0,"",Friedman!C18)</f>
        <v/>
      </c>
    </row>
    <row r="22" spans="2:33" s="25" customFormat="1" ht="14.25" customHeight="1">
      <c r="B22" s="154" t="s">
        <v>28</v>
      </c>
      <c r="C22" s="155">
        <f>'Daily &amp; Weekly Totals'!E27</f>
        <v>43936</v>
      </c>
      <c r="E22" s="10" t="str">
        <f>IF(Friedman!H19=0,"",Friedman!H19)</f>
        <v/>
      </c>
      <c r="F22" s="10" t="str">
        <f>IF(Friedman!L19=0,"",Friedman!L19)</f>
        <v/>
      </c>
      <c r="G22" s="10" t="str">
        <f>IF(Friedman!P19=0,"",Friedman!P19)</f>
        <v/>
      </c>
      <c r="H22" s="10" t="str">
        <f>IF(Friedman!T19=0,"",Friedman!T19)</f>
        <v/>
      </c>
      <c r="I22" s="10" t="str">
        <f>IF(Friedman!X19=0,"",Friedman!X19)</f>
        <v/>
      </c>
      <c r="J22" s="10" t="str">
        <f>IF(Friedman!AB19=0,"",Friedman!AB19)</f>
        <v/>
      </c>
      <c r="K22" s="10" t="str">
        <f>IF(Friedman!AF19=0,"",Friedman!AF19)</f>
        <v/>
      </c>
      <c r="L22" s="10" t="str">
        <f>IF(Friedman!AJ19=0,"",Friedman!AJ19)</f>
        <v/>
      </c>
      <c r="M22" s="10" t="str">
        <f>IF(Friedman!AN19=0,"",Friedman!AN19)</f>
        <v/>
      </c>
      <c r="N22" s="10" t="str">
        <f>IF(Friedman!AR19=0,"",Friedman!AR19)</f>
        <v/>
      </c>
      <c r="O22" s="10" t="str">
        <f>IF(Friedman!AV19=0,"",Friedman!AV19)</f>
        <v/>
      </c>
      <c r="P22" s="10" t="str">
        <f>IF(Friedman!AZ19=0,"",Friedman!AZ19)</f>
        <v/>
      </c>
      <c r="Q22" s="10" t="str">
        <f>IF(Friedman!BD19=0,"",Friedman!BD19)</f>
        <v/>
      </c>
      <c r="R22" s="10" t="str">
        <f>IF(Friedman!BH19=0,"",Friedman!BH19)</f>
        <v/>
      </c>
      <c r="S22" s="10" t="str">
        <f>IF(Friedman!BL19=0,"",Friedman!BL19)</f>
        <v/>
      </c>
      <c r="T22" s="10" t="str">
        <f>IF(Friedman!BP19=0,"",Friedman!BP19)</f>
        <v/>
      </c>
      <c r="U22" s="10" t="str">
        <f>IF(Friedman!BT19=0,"",Friedman!BT19)</f>
        <v/>
      </c>
      <c r="V22" s="10" t="str">
        <f>IF(Friedman!BX19=0,"",Friedman!BX19)</f>
        <v/>
      </c>
      <c r="W22" s="10" t="str">
        <f>IF(Friedman!CB19=0,"",Friedman!CB19)</f>
        <v/>
      </c>
      <c r="X22" s="10" t="str">
        <f>IF(Friedman!CF19=0,"",Friedman!CF19)</f>
        <v/>
      </c>
      <c r="Y22" s="10"/>
      <c r="Z22" s="10"/>
      <c r="AA22" s="10"/>
      <c r="AB22" s="10"/>
      <c r="AC22" s="10"/>
      <c r="AD22" s="10"/>
      <c r="AE22" s="10"/>
      <c r="AF22" s="10"/>
      <c r="AG22" s="10" t="str">
        <f>IF(Friedman!C19=0,"",Friedman!C19)</f>
        <v/>
      </c>
    </row>
    <row r="23" spans="2:33" s="25" customFormat="1" ht="14.25" customHeight="1">
      <c r="B23" s="154" t="s">
        <v>29</v>
      </c>
      <c r="C23" s="155">
        <f>'Daily &amp; Weekly Totals'!E28</f>
        <v>43937</v>
      </c>
      <c r="E23" s="10" t="str">
        <f>IF(Friedman!H20=0,"",Friedman!H20)</f>
        <v/>
      </c>
      <c r="F23" s="10" t="str">
        <f>IF(Friedman!L20=0,"",Friedman!L20)</f>
        <v/>
      </c>
      <c r="G23" s="10" t="str">
        <f>IF(Friedman!P20=0,"",Friedman!P20)</f>
        <v/>
      </c>
      <c r="H23" s="10" t="str">
        <f>IF(Friedman!T20=0,"",Friedman!T20)</f>
        <v/>
      </c>
      <c r="I23" s="10" t="str">
        <f>IF(Friedman!X20=0,"",Friedman!X20)</f>
        <v/>
      </c>
      <c r="J23" s="10" t="str">
        <f>IF(Friedman!AB20=0,"",Friedman!AB20)</f>
        <v/>
      </c>
      <c r="K23" s="10" t="str">
        <f>IF(Friedman!AF20=0,"",Friedman!AF20)</f>
        <v/>
      </c>
      <c r="L23" s="10" t="str">
        <f>IF(Friedman!AJ20=0,"",Friedman!AJ20)</f>
        <v/>
      </c>
      <c r="M23" s="10" t="str">
        <f>IF(Friedman!AN20=0,"",Friedman!AN20)</f>
        <v/>
      </c>
      <c r="N23" s="10" t="str">
        <f>IF(Friedman!AR20=0,"",Friedman!AR20)</f>
        <v/>
      </c>
      <c r="O23" s="10" t="str">
        <f>IF(Friedman!AV20=0,"",Friedman!AV20)</f>
        <v/>
      </c>
      <c r="P23" s="10" t="str">
        <f>IF(Friedman!AZ20=0,"",Friedman!AZ20)</f>
        <v/>
      </c>
      <c r="Q23" s="10" t="str">
        <f>IF(Friedman!BD20=0,"",Friedman!BD20)</f>
        <v/>
      </c>
      <c r="R23" s="10" t="str">
        <f>IF(Friedman!BH20=0,"",Friedman!BH20)</f>
        <v/>
      </c>
      <c r="S23" s="10" t="str">
        <f>IF(Friedman!BL20=0,"",Friedman!BL20)</f>
        <v/>
      </c>
      <c r="T23" s="10" t="str">
        <f>IF(Friedman!BP20=0,"",Friedman!BP20)</f>
        <v/>
      </c>
      <c r="U23" s="10" t="str">
        <f>IF(Friedman!BT20=0,"",Friedman!BT20)</f>
        <v/>
      </c>
      <c r="V23" s="10" t="str">
        <f>IF(Friedman!BX20=0,"",Friedman!BX20)</f>
        <v/>
      </c>
      <c r="W23" s="10" t="str">
        <f>IF(Friedman!CB20=0,"",Friedman!CB20)</f>
        <v/>
      </c>
      <c r="X23" s="10" t="str">
        <f>IF(Friedman!CF20=0,"",Friedman!CF20)</f>
        <v/>
      </c>
      <c r="Y23" s="10"/>
      <c r="Z23" s="10"/>
      <c r="AA23" s="10"/>
      <c r="AB23" s="10"/>
      <c r="AC23" s="10"/>
      <c r="AD23" s="10"/>
      <c r="AE23" s="10"/>
      <c r="AF23" s="10"/>
      <c r="AG23" s="10" t="str">
        <f>IF(Friedman!C20=0,"",Friedman!C20)</f>
        <v/>
      </c>
    </row>
    <row r="24" spans="2:33" s="25" customFormat="1" ht="14.25" customHeight="1">
      <c r="B24" s="154" t="s">
        <v>30</v>
      </c>
      <c r="C24" s="155">
        <f>'Daily &amp; Weekly Totals'!E29</f>
        <v>43938</v>
      </c>
      <c r="E24" s="10" t="str">
        <f>IF(Friedman!H21=0,"",Friedman!H21)</f>
        <v/>
      </c>
      <c r="F24" s="10" t="str">
        <f>IF(Friedman!L21=0,"",Friedman!L21)</f>
        <v/>
      </c>
      <c r="G24" s="10" t="str">
        <f>IF(Friedman!P21=0,"",Friedman!P21)</f>
        <v/>
      </c>
      <c r="H24" s="10" t="str">
        <f>IF(Friedman!T21=0,"",Friedman!T21)</f>
        <v/>
      </c>
      <c r="I24" s="10" t="str">
        <f>IF(Friedman!X21=0,"",Friedman!X21)</f>
        <v/>
      </c>
      <c r="J24" s="10" t="str">
        <f>IF(Friedman!AB21=0,"",Friedman!AB21)</f>
        <v/>
      </c>
      <c r="K24" s="10" t="str">
        <f>IF(Friedman!AF21=0,"",Friedman!AF21)</f>
        <v/>
      </c>
      <c r="L24" s="10" t="str">
        <f>IF(Friedman!AJ21=0,"",Friedman!AJ21)</f>
        <v/>
      </c>
      <c r="M24" s="10" t="str">
        <f>IF(Friedman!AN21=0,"",Friedman!AN21)</f>
        <v/>
      </c>
      <c r="N24" s="10" t="str">
        <f>IF(Friedman!AR21=0,"",Friedman!AR21)</f>
        <v/>
      </c>
      <c r="O24" s="10" t="str">
        <f>IF(Friedman!AV21=0,"",Friedman!AV21)</f>
        <v/>
      </c>
      <c r="P24" s="10" t="str">
        <f>IF(Friedman!AZ21=0,"",Friedman!AZ21)</f>
        <v/>
      </c>
      <c r="Q24" s="10" t="str">
        <f>IF(Friedman!BD21=0,"",Friedman!BD21)</f>
        <v/>
      </c>
      <c r="R24" s="10" t="str">
        <f>IF(Friedman!BH21=0,"",Friedman!BH21)</f>
        <v/>
      </c>
      <c r="S24" s="10" t="str">
        <f>IF(Friedman!BL21=0,"",Friedman!BL21)</f>
        <v/>
      </c>
      <c r="T24" s="10" t="str">
        <f>IF(Friedman!BP21=0,"",Friedman!BP21)</f>
        <v/>
      </c>
      <c r="U24" s="10" t="str">
        <f>IF(Friedman!BT21=0,"",Friedman!BT21)</f>
        <v/>
      </c>
      <c r="V24" s="10" t="str">
        <f>IF(Friedman!BX21=0,"",Friedman!BX21)</f>
        <v/>
      </c>
      <c r="W24" s="10" t="str">
        <f>IF(Friedman!CB21=0,"",Friedman!CB21)</f>
        <v/>
      </c>
      <c r="X24" s="10" t="str">
        <f>IF(Friedman!CF21=0,"",Friedman!CF21)</f>
        <v/>
      </c>
      <c r="Y24" s="10"/>
      <c r="Z24" s="10"/>
      <c r="AA24" s="10"/>
      <c r="AB24" s="10"/>
      <c r="AC24" s="10"/>
      <c r="AD24" s="10"/>
      <c r="AE24" s="10"/>
      <c r="AF24" s="10"/>
      <c r="AG24" s="10" t="str">
        <f>IF(Friedman!C21=0,"",Friedman!C21)</f>
        <v/>
      </c>
    </row>
    <row r="25" spans="2:33" s="25" customFormat="1" ht="14.25" customHeight="1">
      <c r="B25" s="154" t="s">
        <v>31</v>
      </c>
      <c r="C25" s="155">
        <f>'Daily &amp; Weekly Totals'!E30</f>
        <v>43939</v>
      </c>
      <c r="E25" s="10" t="str">
        <f>IF(Friedman!H22=0,"",Friedman!H22)</f>
        <v/>
      </c>
      <c r="F25" s="10" t="str">
        <f>IF(Friedman!L22=0,"",Friedman!L22)</f>
        <v/>
      </c>
      <c r="G25" s="10" t="str">
        <f>IF(Friedman!P22=0,"",Friedman!P22)</f>
        <v/>
      </c>
      <c r="H25" s="10" t="str">
        <f>IF(Friedman!T22=0,"",Friedman!T22)</f>
        <v/>
      </c>
      <c r="I25" s="10" t="str">
        <f>IF(Friedman!X22=0,"",Friedman!X22)</f>
        <v/>
      </c>
      <c r="J25" s="10" t="str">
        <f>IF(Friedman!AB22=0,"",Friedman!AB22)</f>
        <v/>
      </c>
      <c r="K25" s="10" t="str">
        <f>IF(Friedman!AF22=0,"",Friedman!AF22)</f>
        <v/>
      </c>
      <c r="L25" s="10" t="str">
        <f>IF(Friedman!AJ22=0,"",Friedman!AJ22)</f>
        <v/>
      </c>
      <c r="M25" s="10" t="str">
        <f>IF(Friedman!AN22=0,"",Friedman!AN22)</f>
        <v/>
      </c>
      <c r="N25" s="10" t="str">
        <f>IF(Friedman!AR22=0,"",Friedman!AR22)</f>
        <v/>
      </c>
      <c r="O25" s="10" t="str">
        <f>IF(Friedman!AV22=0,"",Friedman!AV22)</f>
        <v/>
      </c>
      <c r="P25" s="10" t="str">
        <f>IF(Friedman!AZ22=0,"",Friedman!AZ22)</f>
        <v/>
      </c>
      <c r="Q25" s="10" t="str">
        <f>IF(Friedman!BD22=0,"",Friedman!BD22)</f>
        <v/>
      </c>
      <c r="R25" s="10" t="str">
        <f>IF(Friedman!BH22=0,"",Friedman!BH22)</f>
        <v/>
      </c>
      <c r="S25" s="10" t="str">
        <f>IF(Friedman!BL22=0,"",Friedman!BL22)</f>
        <v/>
      </c>
      <c r="T25" s="10" t="str">
        <f>IF(Friedman!BP22=0,"",Friedman!BP22)</f>
        <v/>
      </c>
      <c r="U25" s="10" t="str">
        <f>IF(Friedman!BT22=0,"",Friedman!BT22)</f>
        <v/>
      </c>
      <c r="V25" s="10" t="str">
        <f>IF(Friedman!BX22=0,"",Friedman!BX22)</f>
        <v/>
      </c>
      <c r="W25" s="10" t="str">
        <f>IF(Friedman!CB22=0,"",Friedman!CB22)</f>
        <v/>
      </c>
      <c r="X25" s="10" t="str">
        <f>IF(Friedman!CF22=0,"",Friedman!CF22)</f>
        <v/>
      </c>
      <c r="Y25" s="10"/>
      <c r="Z25" s="10"/>
      <c r="AA25" s="10"/>
      <c r="AB25" s="10"/>
      <c r="AC25" s="10"/>
      <c r="AD25" s="10"/>
      <c r="AE25" s="10"/>
      <c r="AF25" s="10"/>
      <c r="AG25" s="10" t="str">
        <f>IF(Friedman!C22=0,"",Friedman!C22)</f>
        <v/>
      </c>
    </row>
    <row r="26" spans="2:33" s="25" customFormat="1" ht="14.25" customHeight="1">
      <c r="B26" s="154" t="s">
        <v>32</v>
      </c>
      <c r="C26" s="155">
        <f>'Daily &amp; Weekly Totals'!E31</f>
        <v>43940</v>
      </c>
      <c r="E26" s="10" t="str">
        <f>IF(Friedman!H23=0,"",Friedman!H23)</f>
        <v/>
      </c>
      <c r="F26" s="10" t="str">
        <f>IF(Friedman!L23=0,"",Friedman!L23)</f>
        <v/>
      </c>
      <c r="G26" s="10" t="str">
        <f>IF(Friedman!P23=0,"",Friedman!P23)</f>
        <v/>
      </c>
      <c r="H26" s="10" t="str">
        <f>IF(Friedman!T23=0,"",Friedman!T23)</f>
        <v/>
      </c>
      <c r="I26" s="10" t="str">
        <f>IF(Friedman!X23=0,"",Friedman!X23)</f>
        <v/>
      </c>
      <c r="J26" s="10" t="str">
        <f>IF(Friedman!AB23=0,"",Friedman!AB23)</f>
        <v/>
      </c>
      <c r="K26" s="10" t="str">
        <f>IF(Friedman!AF23=0,"",Friedman!AF23)</f>
        <v/>
      </c>
      <c r="L26" s="10" t="str">
        <f>IF(Friedman!AJ23=0,"",Friedman!AJ23)</f>
        <v/>
      </c>
      <c r="M26" s="10" t="str">
        <f>IF(Friedman!AN23=0,"",Friedman!AN23)</f>
        <v/>
      </c>
      <c r="N26" s="10" t="str">
        <f>IF(Friedman!AR23=0,"",Friedman!AR23)</f>
        <v/>
      </c>
      <c r="O26" s="10" t="str">
        <f>IF(Friedman!AV23=0,"",Friedman!AV23)</f>
        <v/>
      </c>
      <c r="P26" s="10" t="str">
        <f>IF(Friedman!AZ23=0,"",Friedman!AZ23)</f>
        <v/>
      </c>
      <c r="Q26" s="10" t="str">
        <f>IF(Friedman!BD23=0,"",Friedman!BD23)</f>
        <v/>
      </c>
      <c r="R26" s="10" t="str">
        <f>IF(Friedman!BH23=0,"",Friedman!BH23)</f>
        <v/>
      </c>
      <c r="S26" s="10" t="str">
        <f>IF(Friedman!BL23=0,"",Friedman!BL23)</f>
        <v/>
      </c>
      <c r="T26" s="10" t="str">
        <f>IF(Friedman!BP23=0,"",Friedman!BP23)</f>
        <v/>
      </c>
      <c r="U26" s="10" t="str">
        <f>IF(Friedman!BT23=0,"",Friedman!BT23)</f>
        <v/>
      </c>
      <c r="V26" s="10" t="str">
        <f>IF(Friedman!BX23=0,"",Friedman!BX23)</f>
        <v/>
      </c>
      <c r="W26" s="10" t="str">
        <f>IF(Friedman!CB23=0,"",Friedman!CB23)</f>
        <v/>
      </c>
      <c r="X26" s="10" t="str">
        <f>IF(Friedman!CF23=0,"",Friedman!CF23)</f>
        <v/>
      </c>
      <c r="Y26" s="10"/>
      <c r="Z26" s="10"/>
      <c r="AA26" s="10"/>
      <c r="AB26" s="10"/>
      <c r="AC26" s="10"/>
      <c r="AD26" s="10"/>
      <c r="AE26" s="10"/>
      <c r="AF26" s="10"/>
      <c r="AG26" s="10" t="str">
        <f>IF(Friedman!C23=0,"",Friedman!C23)</f>
        <v/>
      </c>
    </row>
    <row r="27" spans="2:33" s="25" customFormat="1" ht="14.25" customHeight="1">
      <c r="B27" s="154" t="s">
        <v>26</v>
      </c>
      <c r="C27" s="155">
        <f>'Daily &amp; Weekly Totals'!E35</f>
        <v>43941</v>
      </c>
      <c r="E27" s="10" t="str">
        <f>IF(Friedman!H24=0,"",Friedman!H24)</f>
        <v/>
      </c>
      <c r="F27" s="10" t="str">
        <f>IF(Friedman!L24=0,"",Friedman!L24)</f>
        <v/>
      </c>
      <c r="G27" s="10" t="str">
        <f>IF(Friedman!P24=0,"",Friedman!P24)</f>
        <v/>
      </c>
      <c r="H27" s="10" t="str">
        <f>IF(Friedman!T24=0,"",Friedman!T24)</f>
        <v/>
      </c>
      <c r="I27" s="10" t="str">
        <f>IF(Friedman!X24=0,"",Friedman!X24)</f>
        <v/>
      </c>
      <c r="J27" s="10" t="str">
        <f>IF(Friedman!AB24=0,"",Friedman!AB24)</f>
        <v/>
      </c>
      <c r="K27" s="10" t="str">
        <f>IF(Friedman!AF24=0,"",Friedman!AF24)</f>
        <v/>
      </c>
      <c r="L27" s="10" t="str">
        <f>IF(Friedman!AJ24=0,"",Friedman!AJ24)</f>
        <v/>
      </c>
      <c r="M27" s="10" t="str">
        <f>IF(Friedman!AN24=0,"",Friedman!AN24)</f>
        <v/>
      </c>
      <c r="N27" s="10" t="str">
        <f>IF(Friedman!AR24=0,"",Friedman!AR24)</f>
        <v/>
      </c>
      <c r="O27" s="10" t="str">
        <f>IF(Friedman!AV24=0,"",Friedman!AV24)</f>
        <v/>
      </c>
      <c r="P27" s="10" t="str">
        <f>IF(Friedman!AZ24=0,"",Friedman!AZ24)</f>
        <v/>
      </c>
      <c r="Q27" s="10" t="str">
        <f>IF(Friedman!BD24=0,"",Friedman!BD24)</f>
        <v/>
      </c>
      <c r="R27" s="10" t="str">
        <f>IF(Friedman!BH24=0,"",Friedman!BH24)</f>
        <v/>
      </c>
      <c r="S27" s="10" t="str">
        <f>IF(Friedman!BL24=0,"",Friedman!BL24)</f>
        <v/>
      </c>
      <c r="T27" s="10" t="str">
        <f>IF(Friedman!BP24=0,"",Friedman!BP24)</f>
        <v/>
      </c>
      <c r="U27" s="10" t="str">
        <f>IF(Friedman!BT24=0,"",Friedman!BT24)</f>
        <v/>
      </c>
      <c r="V27" s="10" t="str">
        <f>IF(Friedman!BX24=0,"",Friedman!BX24)</f>
        <v/>
      </c>
      <c r="W27" s="10" t="str">
        <f>IF(Friedman!CB24=0,"",Friedman!CB24)</f>
        <v/>
      </c>
      <c r="X27" s="10" t="str">
        <f>IF(Friedman!CF24=0,"",Friedman!CF24)</f>
        <v/>
      </c>
      <c r="Y27" s="10"/>
      <c r="Z27" s="10"/>
      <c r="AA27" s="10"/>
      <c r="AB27" s="10"/>
      <c r="AC27" s="10"/>
      <c r="AD27" s="10"/>
      <c r="AE27" s="10"/>
      <c r="AF27" s="10"/>
      <c r="AG27" s="10" t="str">
        <f>IF(Friedman!C24=0,"",Friedman!C24)</f>
        <v/>
      </c>
    </row>
    <row r="28" spans="2:33" s="25" customFormat="1" ht="14.25" customHeight="1">
      <c r="B28" s="154" t="s">
        <v>27</v>
      </c>
      <c r="C28" s="155">
        <f>'Daily &amp; Weekly Totals'!E36</f>
        <v>43942</v>
      </c>
      <c r="E28" s="10" t="str">
        <f>IF(Friedman!H25=0,"",Friedman!H25)</f>
        <v/>
      </c>
      <c r="F28" s="10" t="str">
        <f>IF(Friedman!L25=0,"",Friedman!L25)</f>
        <v/>
      </c>
      <c r="G28" s="10" t="str">
        <f>IF(Friedman!P25=0,"",Friedman!P25)</f>
        <v/>
      </c>
      <c r="H28" s="10" t="str">
        <f>IF(Friedman!T25=0,"",Friedman!T25)</f>
        <v/>
      </c>
      <c r="I28" s="10" t="str">
        <f>IF(Friedman!X25=0,"",Friedman!X25)</f>
        <v/>
      </c>
      <c r="J28" s="10" t="str">
        <f>IF(Friedman!AB25=0,"",Friedman!AB25)</f>
        <v/>
      </c>
      <c r="K28" s="10" t="str">
        <f>IF(Friedman!AF25=0,"",Friedman!AF25)</f>
        <v/>
      </c>
      <c r="L28" s="10" t="str">
        <f>IF(Friedman!AJ25=0,"",Friedman!AJ25)</f>
        <v/>
      </c>
      <c r="M28" s="10" t="str">
        <f>IF(Friedman!AN25=0,"",Friedman!AN25)</f>
        <v/>
      </c>
      <c r="N28" s="10" t="str">
        <f>IF(Friedman!AR25=0,"",Friedman!AR25)</f>
        <v/>
      </c>
      <c r="O28" s="10" t="str">
        <f>IF(Friedman!AV25=0,"",Friedman!AV25)</f>
        <v/>
      </c>
      <c r="P28" s="10" t="str">
        <f>IF(Friedman!AZ25=0,"",Friedman!AZ25)</f>
        <v/>
      </c>
      <c r="Q28" s="10" t="str">
        <f>IF(Friedman!BD25=0,"",Friedman!BD25)</f>
        <v/>
      </c>
      <c r="R28" s="10" t="str">
        <f>IF(Friedman!BH25=0,"",Friedman!BH25)</f>
        <v/>
      </c>
      <c r="S28" s="10" t="str">
        <f>IF(Friedman!BL25=0,"",Friedman!BL25)</f>
        <v/>
      </c>
      <c r="T28" s="10" t="str">
        <f>IF(Friedman!BP25=0,"",Friedman!BP25)</f>
        <v/>
      </c>
      <c r="U28" s="10" t="str">
        <f>IF(Friedman!BT25=0,"",Friedman!BT25)</f>
        <v/>
      </c>
      <c r="V28" s="10" t="str">
        <f>IF(Friedman!BX25=0,"",Friedman!BX25)</f>
        <v/>
      </c>
      <c r="W28" s="10" t="str">
        <f>IF(Friedman!CB25=0,"",Friedman!CB25)</f>
        <v/>
      </c>
      <c r="X28" s="10" t="str">
        <f>IF(Friedman!CF25=0,"",Friedman!CF25)</f>
        <v/>
      </c>
      <c r="Y28" s="10"/>
      <c r="Z28" s="10"/>
      <c r="AA28" s="10"/>
      <c r="AB28" s="10"/>
      <c r="AC28" s="10"/>
      <c r="AD28" s="10"/>
      <c r="AE28" s="10"/>
      <c r="AF28" s="10"/>
      <c r="AG28" s="10" t="str">
        <f>IF(Friedman!C25=0,"",Friedman!C25)</f>
        <v/>
      </c>
    </row>
    <row r="29" spans="2:33" s="25" customFormat="1" ht="14.25" customHeight="1">
      <c r="B29" s="154" t="s">
        <v>28</v>
      </c>
      <c r="C29" s="155">
        <f>'Daily &amp; Weekly Totals'!E37</f>
        <v>43943</v>
      </c>
      <c r="E29" s="10" t="str">
        <f>IF(Friedman!H26=0,"",Friedman!H26)</f>
        <v/>
      </c>
      <c r="F29" s="10" t="str">
        <f>IF(Friedman!L26=0,"",Friedman!L26)</f>
        <v/>
      </c>
      <c r="G29" s="10" t="str">
        <f>IF(Friedman!P26=0,"",Friedman!P26)</f>
        <v/>
      </c>
      <c r="H29" s="10" t="str">
        <f>IF(Friedman!T26=0,"",Friedman!T26)</f>
        <v/>
      </c>
      <c r="I29" s="10" t="str">
        <f>IF(Friedman!X26=0,"",Friedman!X26)</f>
        <v/>
      </c>
      <c r="J29" s="10" t="str">
        <f>IF(Friedman!AB26=0,"",Friedman!AB26)</f>
        <v/>
      </c>
      <c r="K29" s="10" t="str">
        <f>IF(Friedman!AF26=0,"",Friedman!AF26)</f>
        <v/>
      </c>
      <c r="L29" s="10" t="str">
        <f>IF(Friedman!AJ26=0,"",Friedman!AJ26)</f>
        <v/>
      </c>
      <c r="M29" s="10" t="str">
        <f>IF(Friedman!AN26=0,"",Friedman!AN26)</f>
        <v/>
      </c>
      <c r="N29" s="10" t="str">
        <f>IF(Friedman!AR26=0,"",Friedman!AR26)</f>
        <v/>
      </c>
      <c r="O29" s="10" t="str">
        <f>IF(Friedman!AV26=0,"",Friedman!AV26)</f>
        <v/>
      </c>
      <c r="P29" s="10" t="str">
        <f>IF(Friedman!AZ26=0,"",Friedman!AZ26)</f>
        <v/>
      </c>
      <c r="Q29" s="10" t="str">
        <f>IF(Friedman!BD26=0,"",Friedman!BD26)</f>
        <v/>
      </c>
      <c r="R29" s="10" t="str">
        <f>IF(Friedman!BH26=0,"",Friedman!BH26)</f>
        <v/>
      </c>
      <c r="S29" s="10" t="str">
        <f>IF(Friedman!BL26=0,"",Friedman!BL26)</f>
        <v/>
      </c>
      <c r="T29" s="10" t="str">
        <f>IF(Friedman!BP26=0,"",Friedman!BP26)</f>
        <v/>
      </c>
      <c r="U29" s="10" t="str">
        <f>IF(Friedman!BT26=0,"",Friedman!BT26)</f>
        <v/>
      </c>
      <c r="V29" s="10" t="str">
        <f>IF(Friedman!BX26=0,"",Friedman!BX26)</f>
        <v/>
      </c>
      <c r="W29" s="10" t="str">
        <f>IF(Friedman!CB26=0,"",Friedman!CB26)</f>
        <v/>
      </c>
      <c r="X29" s="10" t="str">
        <f>IF(Friedman!CF26=0,"",Friedman!CF26)</f>
        <v/>
      </c>
      <c r="Y29" s="10"/>
      <c r="Z29" s="10"/>
      <c r="AA29" s="10"/>
      <c r="AB29" s="10"/>
      <c r="AC29" s="10"/>
      <c r="AD29" s="10"/>
      <c r="AE29" s="10"/>
      <c r="AF29" s="10"/>
      <c r="AG29" s="10" t="str">
        <f>IF(Friedman!C26=0,"",Friedman!C26)</f>
        <v/>
      </c>
    </row>
    <row r="30" spans="2:33" s="25" customFormat="1" ht="14.25" customHeight="1">
      <c r="B30" s="154" t="s">
        <v>29</v>
      </c>
      <c r="C30" s="155">
        <f>'Daily &amp; Weekly Totals'!E38</f>
        <v>43944</v>
      </c>
      <c r="E30" s="10" t="str">
        <f>IF(Friedman!H27=0,"",Friedman!H27)</f>
        <v/>
      </c>
      <c r="F30" s="10" t="str">
        <f>IF(Friedman!L27=0,"",Friedman!L27)</f>
        <v/>
      </c>
      <c r="G30" s="10" t="str">
        <f>IF(Friedman!P27=0,"",Friedman!P27)</f>
        <v/>
      </c>
      <c r="H30" s="10" t="str">
        <f>IF(Friedman!T27=0,"",Friedman!T27)</f>
        <v/>
      </c>
      <c r="I30" s="10" t="str">
        <f>IF(Friedman!X27=0,"",Friedman!X27)</f>
        <v/>
      </c>
      <c r="J30" s="10" t="str">
        <f>IF(Friedman!AB27=0,"",Friedman!AB27)</f>
        <v/>
      </c>
      <c r="K30" s="10" t="str">
        <f>IF(Friedman!AF27=0,"",Friedman!AF27)</f>
        <v/>
      </c>
      <c r="L30" s="10" t="str">
        <f>IF(Friedman!AJ27=0,"",Friedman!AJ27)</f>
        <v/>
      </c>
      <c r="M30" s="10" t="str">
        <f>IF(Friedman!AN27=0,"",Friedman!AN27)</f>
        <v/>
      </c>
      <c r="N30" s="10" t="str">
        <f>IF(Friedman!AR27=0,"",Friedman!AR27)</f>
        <v/>
      </c>
      <c r="O30" s="10" t="str">
        <f>IF(Friedman!AV27=0,"",Friedman!AV27)</f>
        <v/>
      </c>
      <c r="P30" s="10" t="str">
        <f>IF(Friedman!AZ27=0,"",Friedman!AZ27)</f>
        <v/>
      </c>
      <c r="Q30" s="10" t="str">
        <f>IF(Friedman!BD27=0,"",Friedman!BD27)</f>
        <v/>
      </c>
      <c r="R30" s="10" t="str">
        <f>IF(Friedman!BH27=0,"",Friedman!BH27)</f>
        <v/>
      </c>
      <c r="S30" s="10" t="str">
        <f>IF(Friedman!BL27=0,"",Friedman!BL27)</f>
        <v/>
      </c>
      <c r="T30" s="10" t="str">
        <f>IF(Friedman!BP27=0,"",Friedman!BP27)</f>
        <v/>
      </c>
      <c r="U30" s="10" t="str">
        <f>IF(Friedman!BT27=0,"",Friedman!BT27)</f>
        <v/>
      </c>
      <c r="V30" s="10" t="str">
        <f>IF(Friedman!BX27=0,"",Friedman!BX27)</f>
        <v/>
      </c>
      <c r="W30" s="10" t="str">
        <f>IF(Friedman!CB27=0,"",Friedman!CB27)</f>
        <v/>
      </c>
      <c r="X30" s="10" t="str">
        <f>IF(Friedman!CF27=0,"",Friedman!CF27)</f>
        <v/>
      </c>
      <c r="Y30" s="10"/>
      <c r="Z30" s="10"/>
      <c r="AA30" s="10"/>
      <c r="AB30" s="10"/>
      <c r="AC30" s="10"/>
      <c r="AD30" s="10"/>
      <c r="AE30" s="10"/>
      <c r="AF30" s="10"/>
      <c r="AG30" s="10" t="str">
        <f>IF(Friedman!C27=0,"",Friedman!C27)</f>
        <v/>
      </c>
    </row>
    <row r="31" spans="2:33" s="25" customFormat="1" ht="14.25" customHeight="1">
      <c r="B31" s="154" t="s">
        <v>30</v>
      </c>
      <c r="C31" s="155">
        <f>'Daily &amp; Weekly Totals'!E39</f>
        <v>43945</v>
      </c>
      <c r="E31" s="10" t="str">
        <f>IF(Friedman!H28=0,"",Friedman!H28)</f>
        <v/>
      </c>
      <c r="F31" s="10" t="str">
        <f>IF(Friedman!L28=0,"",Friedman!L28)</f>
        <v/>
      </c>
      <c r="G31" s="10" t="str">
        <f>IF(Friedman!P28=0,"",Friedman!P28)</f>
        <v/>
      </c>
      <c r="H31" s="10" t="str">
        <f>IF(Friedman!T28=0,"",Friedman!T28)</f>
        <v/>
      </c>
      <c r="I31" s="10" t="str">
        <f>IF(Friedman!X28=0,"",Friedman!X28)</f>
        <v/>
      </c>
      <c r="J31" s="10" t="str">
        <f>IF(Friedman!AB28=0,"",Friedman!AB28)</f>
        <v/>
      </c>
      <c r="K31" s="10" t="str">
        <f>IF(Friedman!AF28=0,"",Friedman!AF28)</f>
        <v/>
      </c>
      <c r="L31" s="10" t="str">
        <f>IF(Friedman!AJ28=0,"",Friedman!AJ28)</f>
        <v/>
      </c>
      <c r="M31" s="10" t="str">
        <f>IF(Friedman!AN28=0,"",Friedman!AN28)</f>
        <v/>
      </c>
      <c r="N31" s="10" t="str">
        <f>IF(Friedman!AR28=0,"",Friedman!AR28)</f>
        <v/>
      </c>
      <c r="O31" s="10" t="str">
        <f>IF(Friedman!AV28=0,"",Friedman!AV28)</f>
        <v/>
      </c>
      <c r="P31" s="10" t="str">
        <f>IF(Friedman!AZ28=0,"",Friedman!AZ28)</f>
        <v/>
      </c>
      <c r="Q31" s="10" t="str">
        <f>IF(Friedman!BD28=0,"",Friedman!BD28)</f>
        <v/>
      </c>
      <c r="R31" s="10" t="str">
        <f>IF(Friedman!BH28=0,"",Friedman!BH28)</f>
        <v/>
      </c>
      <c r="S31" s="10" t="str">
        <f>IF(Friedman!BL28=0,"",Friedman!BL28)</f>
        <v/>
      </c>
      <c r="T31" s="10" t="str">
        <f>IF(Friedman!BP28=0,"",Friedman!BP28)</f>
        <v/>
      </c>
      <c r="U31" s="10" t="str">
        <f>IF(Friedman!BT28=0,"",Friedman!BT28)</f>
        <v/>
      </c>
      <c r="V31" s="10" t="str">
        <f>IF(Friedman!BX28=0,"",Friedman!BX28)</f>
        <v/>
      </c>
      <c r="W31" s="10" t="str">
        <f>IF(Friedman!CB28=0,"",Friedman!CB28)</f>
        <v/>
      </c>
      <c r="X31" s="10" t="str">
        <f>IF(Friedman!CF28=0,"",Friedman!CF28)</f>
        <v/>
      </c>
      <c r="Y31" s="10"/>
      <c r="Z31" s="10"/>
      <c r="AA31" s="10"/>
      <c r="AB31" s="10"/>
      <c r="AC31" s="10"/>
      <c r="AD31" s="10"/>
      <c r="AE31" s="10"/>
      <c r="AF31" s="10"/>
      <c r="AG31" s="10" t="str">
        <f>IF(Friedman!C28=0,"",Friedman!C28)</f>
        <v/>
      </c>
    </row>
    <row r="32" spans="2:33" s="25" customFormat="1" ht="14.25" customHeight="1">
      <c r="B32" s="154" t="s">
        <v>31</v>
      </c>
      <c r="C32" s="155">
        <f>'Daily &amp; Weekly Totals'!E40</f>
        <v>43946</v>
      </c>
      <c r="E32" s="10" t="str">
        <f>IF(Friedman!H29=0,"",Friedman!H29)</f>
        <v/>
      </c>
      <c r="F32" s="10" t="str">
        <f>IF(Friedman!L29=0,"",Friedman!L29)</f>
        <v/>
      </c>
      <c r="G32" s="10" t="str">
        <f>IF(Friedman!P29=0,"",Friedman!P29)</f>
        <v/>
      </c>
      <c r="H32" s="10" t="str">
        <f>IF(Friedman!T29=0,"",Friedman!T29)</f>
        <v/>
      </c>
      <c r="I32" s="10" t="str">
        <f>IF(Friedman!X29=0,"",Friedman!X29)</f>
        <v/>
      </c>
      <c r="J32" s="10" t="str">
        <f>IF(Friedman!AB29=0,"",Friedman!AB29)</f>
        <v/>
      </c>
      <c r="K32" s="10" t="str">
        <f>IF(Friedman!AF29=0,"",Friedman!AF29)</f>
        <v/>
      </c>
      <c r="L32" s="10" t="str">
        <f>IF(Friedman!AJ29=0,"",Friedman!AJ29)</f>
        <v/>
      </c>
      <c r="M32" s="10" t="str">
        <f>IF(Friedman!AN29=0,"",Friedman!AN29)</f>
        <v/>
      </c>
      <c r="N32" s="10" t="str">
        <f>IF(Friedman!AR29=0,"",Friedman!AR29)</f>
        <v/>
      </c>
      <c r="O32" s="10" t="str">
        <f>IF(Friedman!AV29=0,"",Friedman!AV29)</f>
        <v/>
      </c>
      <c r="P32" s="10" t="str">
        <f>IF(Friedman!AZ29=0,"",Friedman!AZ29)</f>
        <v/>
      </c>
      <c r="Q32" s="10" t="str">
        <f>IF(Friedman!BD29=0,"",Friedman!BD29)</f>
        <v/>
      </c>
      <c r="R32" s="10" t="str">
        <f>IF(Friedman!BH29=0,"",Friedman!BH29)</f>
        <v/>
      </c>
      <c r="S32" s="10" t="str">
        <f>IF(Friedman!BL29=0,"",Friedman!BL29)</f>
        <v/>
      </c>
      <c r="T32" s="10" t="str">
        <f>IF(Friedman!BP29=0,"",Friedman!BP29)</f>
        <v/>
      </c>
      <c r="U32" s="10" t="str">
        <f>IF(Friedman!BT29=0,"",Friedman!BT29)</f>
        <v/>
      </c>
      <c r="V32" s="10" t="str">
        <f>IF(Friedman!BX29=0,"",Friedman!BX29)</f>
        <v/>
      </c>
      <c r="W32" s="10" t="str">
        <f>IF(Friedman!CB29=0,"",Friedman!CB29)</f>
        <v/>
      </c>
      <c r="X32" s="10" t="str">
        <f>IF(Friedman!CF29=0,"",Friedman!CF29)</f>
        <v/>
      </c>
      <c r="Y32" s="10"/>
      <c r="Z32" s="10"/>
      <c r="AA32" s="10"/>
      <c r="AB32" s="10"/>
      <c r="AC32" s="10"/>
      <c r="AD32" s="10"/>
      <c r="AE32" s="10"/>
      <c r="AF32" s="10"/>
      <c r="AG32" s="10" t="str">
        <f>IF(Friedman!C29=0,"",Friedman!C29)</f>
        <v/>
      </c>
    </row>
    <row r="33" spans="2:33" s="25" customFormat="1" ht="14.25" customHeight="1">
      <c r="B33" s="154" t="s">
        <v>32</v>
      </c>
      <c r="C33" s="155">
        <f>'Daily &amp; Weekly Totals'!E41</f>
        <v>43947</v>
      </c>
      <c r="E33" s="10" t="str">
        <f>IF(Friedman!H30=0,"",Friedman!H30)</f>
        <v/>
      </c>
      <c r="F33" s="10" t="str">
        <f>IF(Friedman!L30=0,"",Friedman!L30)</f>
        <v/>
      </c>
      <c r="G33" s="10" t="str">
        <f>IF(Friedman!P30=0,"",Friedman!P30)</f>
        <v/>
      </c>
      <c r="H33" s="10" t="str">
        <f>IF(Friedman!T30=0,"",Friedman!T30)</f>
        <v/>
      </c>
      <c r="I33" s="10" t="str">
        <f>IF(Friedman!X30=0,"",Friedman!X30)</f>
        <v/>
      </c>
      <c r="J33" s="10" t="str">
        <f>IF(Friedman!AB30=0,"",Friedman!AB30)</f>
        <v/>
      </c>
      <c r="K33" s="10" t="str">
        <f>IF(Friedman!AF30=0,"",Friedman!AF30)</f>
        <v/>
      </c>
      <c r="L33" s="10" t="str">
        <f>IF(Friedman!AJ30=0,"",Friedman!AJ30)</f>
        <v/>
      </c>
      <c r="M33" s="10" t="str">
        <f>IF(Friedman!AN30=0,"",Friedman!AN30)</f>
        <v/>
      </c>
      <c r="N33" s="10" t="str">
        <f>IF(Friedman!AR30=0,"",Friedman!AR30)</f>
        <v/>
      </c>
      <c r="O33" s="10" t="str">
        <f>IF(Friedman!AV30=0,"",Friedman!AV30)</f>
        <v/>
      </c>
      <c r="P33" s="10" t="str">
        <f>IF(Friedman!AZ30=0,"",Friedman!AZ30)</f>
        <v/>
      </c>
      <c r="Q33" s="10" t="str">
        <f>IF(Friedman!BD30=0,"",Friedman!BD30)</f>
        <v/>
      </c>
      <c r="R33" s="10" t="str">
        <f>IF(Friedman!BH30=0,"",Friedman!BH30)</f>
        <v/>
      </c>
      <c r="S33" s="10" t="str">
        <f>IF(Friedman!BL30=0,"",Friedman!BL30)</f>
        <v/>
      </c>
      <c r="T33" s="10" t="str">
        <f>IF(Friedman!BP30=0,"",Friedman!BP30)</f>
        <v/>
      </c>
      <c r="U33" s="10" t="str">
        <f>IF(Friedman!BT30=0,"",Friedman!BT30)</f>
        <v/>
      </c>
      <c r="V33" s="10" t="str">
        <f>IF(Friedman!BX30=0,"",Friedman!BX30)</f>
        <v/>
      </c>
      <c r="W33" s="10" t="str">
        <f>IF(Friedman!CB30=0,"",Friedman!CB30)</f>
        <v/>
      </c>
      <c r="X33" s="10" t="str">
        <f>IF(Friedman!CF30=0,"",Friedman!CF30)</f>
        <v/>
      </c>
      <c r="Y33" s="10"/>
      <c r="Z33" s="10"/>
      <c r="AA33" s="10"/>
      <c r="AB33" s="10"/>
      <c r="AC33" s="10"/>
      <c r="AD33" s="10"/>
      <c r="AE33" s="10"/>
      <c r="AF33" s="10"/>
      <c r="AG33" s="10" t="str">
        <f>IF(Friedman!C30=0,"",Friedman!C30)</f>
        <v/>
      </c>
    </row>
    <row r="34" spans="2:33" s="25" customFormat="1" ht="14.25" customHeight="1">
      <c r="B34" s="154" t="s">
        <v>26</v>
      </c>
      <c r="C34" s="155">
        <f>'Daily &amp; Weekly Totals'!E45</f>
        <v>43948</v>
      </c>
      <c r="E34" s="10" t="str">
        <f>IF(Friedman!H31=0,"",Friedman!H31)</f>
        <v/>
      </c>
      <c r="F34" s="10" t="str">
        <f>IF(Friedman!L31=0,"",Friedman!L31)</f>
        <v/>
      </c>
      <c r="G34" s="10" t="str">
        <f>IF(Friedman!P31=0,"",Friedman!P31)</f>
        <v/>
      </c>
      <c r="H34" s="10" t="str">
        <f>IF(Friedman!T31=0,"",Friedman!T31)</f>
        <v/>
      </c>
      <c r="I34" s="10" t="str">
        <f>IF(Friedman!X31=0,"",Friedman!X31)</f>
        <v/>
      </c>
      <c r="J34" s="10" t="str">
        <f>IF(Friedman!AB31=0,"",Friedman!AB31)</f>
        <v/>
      </c>
      <c r="K34" s="10" t="str">
        <f>IF(Friedman!AF31=0,"",Friedman!AF31)</f>
        <v/>
      </c>
      <c r="L34" s="10" t="str">
        <f>IF(Friedman!AJ31=0,"",Friedman!AJ31)</f>
        <v/>
      </c>
      <c r="M34" s="10" t="str">
        <f>IF(Friedman!AN31=0,"",Friedman!AN31)</f>
        <v/>
      </c>
      <c r="N34" s="10" t="str">
        <f>IF(Friedman!AR31=0,"",Friedman!AR31)</f>
        <v/>
      </c>
      <c r="O34" s="10" t="str">
        <f>IF(Friedman!AV31=0,"",Friedman!AV31)</f>
        <v/>
      </c>
      <c r="P34" s="10" t="str">
        <f>IF(Friedman!AZ31=0,"",Friedman!AZ31)</f>
        <v/>
      </c>
      <c r="Q34" s="10" t="str">
        <f>IF(Friedman!BD31=0,"",Friedman!BD31)</f>
        <v/>
      </c>
      <c r="R34" s="10" t="str">
        <f>IF(Friedman!BH31=0,"",Friedman!BH31)</f>
        <v/>
      </c>
      <c r="S34" s="10" t="str">
        <f>IF(Friedman!BL31=0,"",Friedman!BL31)</f>
        <v/>
      </c>
      <c r="T34" s="10" t="str">
        <f>IF(Friedman!BP31=0,"",Friedman!BP31)</f>
        <v/>
      </c>
      <c r="U34" s="10" t="str">
        <f>IF(Friedman!BT31=0,"",Friedman!BT31)</f>
        <v/>
      </c>
      <c r="V34" s="10" t="str">
        <f>IF(Friedman!BX31=0,"",Friedman!BX31)</f>
        <v/>
      </c>
      <c r="W34" s="10" t="str">
        <f>IF(Friedman!CB31=0,"",Friedman!CB31)</f>
        <v/>
      </c>
      <c r="X34" s="10" t="str">
        <f>IF(Friedman!CF31=0,"",Friedman!CF31)</f>
        <v/>
      </c>
      <c r="Y34" s="10"/>
      <c r="Z34" s="10"/>
      <c r="AA34" s="10"/>
      <c r="AB34" s="10"/>
      <c r="AC34" s="10"/>
      <c r="AD34" s="10"/>
      <c r="AE34" s="10"/>
      <c r="AF34" s="10"/>
      <c r="AG34" s="10" t="str">
        <f>IF(Friedman!C31=0,"",Friedman!C31)</f>
        <v/>
      </c>
    </row>
    <row r="35" spans="2:33" s="25" customFormat="1" ht="14.25" customHeight="1">
      <c r="B35" s="154" t="s">
        <v>27</v>
      </c>
      <c r="C35" s="155">
        <f>'Daily &amp; Weekly Totals'!E46</f>
        <v>43949</v>
      </c>
      <c r="E35" s="10" t="str">
        <f>IF(Friedman!H32=0,"",Friedman!H32)</f>
        <v/>
      </c>
      <c r="F35" s="10" t="str">
        <f>IF(Friedman!L32=0,"",Friedman!L32)</f>
        <v/>
      </c>
      <c r="G35" s="10" t="str">
        <f>IF(Friedman!P32=0,"",Friedman!P32)</f>
        <v/>
      </c>
      <c r="H35" s="10" t="str">
        <f>IF(Friedman!T32=0,"",Friedman!T32)</f>
        <v/>
      </c>
      <c r="I35" s="10" t="str">
        <f>IF(Friedman!X32=0,"",Friedman!X32)</f>
        <v/>
      </c>
      <c r="J35" s="10" t="str">
        <f>IF(Friedman!AB32=0,"",Friedman!AB32)</f>
        <v/>
      </c>
      <c r="K35" s="10" t="str">
        <f>IF(Friedman!AF32=0,"",Friedman!AF32)</f>
        <v/>
      </c>
      <c r="L35" s="10" t="str">
        <f>IF(Friedman!AJ32=0,"",Friedman!AJ32)</f>
        <v/>
      </c>
      <c r="M35" s="10" t="str">
        <f>IF(Friedman!AN32=0,"",Friedman!AN32)</f>
        <v/>
      </c>
      <c r="N35" s="10" t="str">
        <f>IF(Friedman!AR32=0,"",Friedman!AR32)</f>
        <v/>
      </c>
      <c r="O35" s="10" t="str">
        <f>IF(Friedman!AV32=0,"",Friedman!AV32)</f>
        <v/>
      </c>
      <c r="P35" s="10" t="str">
        <f>IF(Friedman!AZ32=0,"",Friedman!AZ32)</f>
        <v/>
      </c>
      <c r="Q35" s="10" t="str">
        <f>IF(Friedman!BD32=0,"",Friedman!BD32)</f>
        <v/>
      </c>
      <c r="R35" s="10" t="str">
        <f>IF(Friedman!BH32=0,"",Friedman!BH32)</f>
        <v/>
      </c>
      <c r="S35" s="10" t="str">
        <f>IF(Friedman!BL32=0,"",Friedman!BL32)</f>
        <v/>
      </c>
      <c r="T35" s="10" t="str">
        <f>IF(Friedman!BP32=0,"",Friedman!BP32)</f>
        <v/>
      </c>
      <c r="U35" s="10" t="str">
        <f>IF(Friedman!BT32=0,"",Friedman!BT32)</f>
        <v/>
      </c>
      <c r="V35" s="10" t="str">
        <f>IF(Friedman!BX32=0,"",Friedman!BX32)</f>
        <v/>
      </c>
      <c r="W35" s="10" t="str">
        <f>IF(Friedman!CB32=0,"",Friedman!CB32)</f>
        <v/>
      </c>
      <c r="X35" s="10" t="str">
        <f>IF(Friedman!CF32=0,"",Friedman!CF32)</f>
        <v/>
      </c>
      <c r="Y35" s="10"/>
      <c r="Z35" s="10"/>
      <c r="AA35" s="10"/>
      <c r="AB35" s="10"/>
      <c r="AC35" s="10"/>
      <c r="AD35" s="10"/>
      <c r="AE35" s="10"/>
      <c r="AF35" s="10"/>
      <c r="AG35" s="10" t="str">
        <f>IF(Friedman!C32=0,"",Friedman!C32)</f>
        <v/>
      </c>
    </row>
    <row r="36" spans="2:33" s="25" customFormat="1" ht="14.25" customHeight="1">
      <c r="B36" s="154" t="s">
        <v>28</v>
      </c>
      <c r="C36" s="155">
        <f>'Daily &amp; Weekly Totals'!E47</f>
        <v>43950</v>
      </c>
      <c r="E36" s="10" t="str">
        <f>IF(Friedman!H33=0,"",Friedman!H33)</f>
        <v/>
      </c>
      <c r="F36" s="10" t="str">
        <f>IF(Friedman!L33=0,"",Friedman!L33)</f>
        <v/>
      </c>
      <c r="G36" s="10" t="str">
        <f>IF(Friedman!P33=0,"",Friedman!P33)</f>
        <v/>
      </c>
      <c r="H36" s="10" t="str">
        <f>IF(Friedman!T33=0,"",Friedman!T33)</f>
        <v/>
      </c>
      <c r="I36" s="10" t="str">
        <f>IF(Friedman!X33=0,"",Friedman!X33)</f>
        <v/>
      </c>
      <c r="J36" s="10" t="str">
        <f>IF(Friedman!AB33=0,"",Friedman!AB33)</f>
        <v/>
      </c>
      <c r="K36" s="10" t="str">
        <f>IF(Friedman!AF33=0,"",Friedman!AF33)</f>
        <v/>
      </c>
      <c r="L36" s="10" t="str">
        <f>IF(Friedman!AJ33=0,"",Friedman!AJ33)</f>
        <v/>
      </c>
      <c r="M36" s="10" t="str">
        <f>IF(Friedman!AN33=0,"",Friedman!AN33)</f>
        <v/>
      </c>
      <c r="N36" s="10" t="str">
        <f>IF(Friedman!AR33=0,"",Friedman!AR33)</f>
        <v/>
      </c>
      <c r="O36" s="10" t="str">
        <f>IF(Friedman!AV33=0,"",Friedman!AV33)</f>
        <v/>
      </c>
      <c r="P36" s="10" t="str">
        <f>IF(Friedman!AZ33=0,"",Friedman!AZ33)</f>
        <v/>
      </c>
      <c r="Q36" s="10" t="str">
        <f>IF(Friedman!BD33=0,"",Friedman!BD33)</f>
        <v/>
      </c>
      <c r="R36" s="10" t="str">
        <f>IF(Friedman!BH33=0,"",Friedman!BH33)</f>
        <v/>
      </c>
      <c r="S36" s="10" t="str">
        <f>IF(Friedman!BL33=0,"",Friedman!BL33)</f>
        <v/>
      </c>
      <c r="T36" s="10" t="str">
        <f>IF(Friedman!BP33=0,"",Friedman!BP33)</f>
        <v/>
      </c>
      <c r="U36" s="10" t="str">
        <f>IF(Friedman!BT33=0,"",Friedman!BT33)</f>
        <v/>
      </c>
      <c r="V36" s="10" t="str">
        <f>IF(Friedman!BX33=0,"",Friedman!BX33)</f>
        <v/>
      </c>
      <c r="W36" s="10" t="str">
        <f>IF(Friedman!CB33=0,"",Friedman!CB33)</f>
        <v/>
      </c>
      <c r="X36" s="10" t="str">
        <f>IF(Friedman!CF33=0,"",Friedman!CF33)</f>
        <v/>
      </c>
      <c r="Y36" s="10"/>
      <c r="Z36" s="10"/>
      <c r="AA36" s="10"/>
      <c r="AB36" s="10"/>
      <c r="AC36" s="10"/>
      <c r="AD36" s="10"/>
      <c r="AE36" s="10"/>
      <c r="AF36" s="10"/>
      <c r="AG36" s="10" t="str">
        <f>IF(Friedman!C33=0,"",Friedman!C33)</f>
        <v/>
      </c>
    </row>
    <row r="37" spans="2:33" s="25" customFormat="1" ht="14.25" customHeight="1">
      <c r="B37" s="154" t="s">
        <v>29</v>
      </c>
      <c r="C37" s="155">
        <f>'Daily &amp; Weekly Totals'!E48</f>
        <v>43951</v>
      </c>
      <c r="E37" s="10" t="str">
        <f>IF(Friedman!H34=0,"",Friedman!H34)</f>
        <v/>
      </c>
      <c r="F37" s="10" t="str">
        <f>IF(Friedman!L34=0,"",Friedman!L34)</f>
        <v/>
      </c>
      <c r="G37" s="10" t="str">
        <f>IF(Friedman!P34=0,"",Friedman!P34)</f>
        <v/>
      </c>
      <c r="H37" s="10" t="str">
        <f>IF(Friedman!T34=0,"",Friedman!T34)</f>
        <v/>
      </c>
      <c r="I37" s="10" t="str">
        <f>IF(Friedman!X34=0,"",Friedman!X34)</f>
        <v/>
      </c>
      <c r="J37" s="10" t="str">
        <f>IF(Friedman!AB34=0,"",Friedman!AB34)</f>
        <v/>
      </c>
      <c r="K37" s="10" t="str">
        <f>IF(Friedman!AF34=0,"",Friedman!AF34)</f>
        <v/>
      </c>
      <c r="L37" s="10" t="str">
        <f>IF(Friedman!AJ34=0,"",Friedman!AJ34)</f>
        <v/>
      </c>
      <c r="M37" s="10" t="str">
        <f>IF(Friedman!AN34=0,"",Friedman!AN34)</f>
        <v/>
      </c>
      <c r="N37" s="10" t="str">
        <f>IF(Friedman!AR34=0,"",Friedman!AR34)</f>
        <v/>
      </c>
      <c r="O37" s="10" t="str">
        <f>IF(Friedman!AV34=0,"",Friedman!AV34)</f>
        <v/>
      </c>
      <c r="P37" s="10" t="str">
        <f>IF(Friedman!AZ34=0,"",Friedman!AZ34)</f>
        <v/>
      </c>
      <c r="Q37" s="10" t="str">
        <f>IF(Friedman!BD34=0,"",Friedman!BD34)</f>
        <v/>
      </c>
      <c r="R37" s="10" t="str">
        <f>IF(Friedman!BH34=0,"",Friedman!BH34)</f>
        <v/>
      </c>
      <c r="S37" s="10" t="str">
        <f>IF(Friedman!BL34=0,"",Friedman!BL34)</f>
        <v/>
      </c>
      <c r="T37" s="10" t="str">
        <f>IF(Friedman!BP34=0,"",Friedman!BP34)</f>
        <v/>
      </c>
      <c r="U37" s="10" t="str">
        <f>IF(Friedman!BT34=0,"",Friedman!BT34)</f>
        <v/>
      </c>
      <c r="V37" s="10" t="str">
        <f>IF(Friedman!BX34=0,"",Friedman!BX34)</f>
        <v/>
      </c>
      <c r="W37" s="10" t="str">
        <f>IF(Friedman!CB34=0,"",Friedman!CB34)</f>
        <v/>
      </c>
      <c r="X37" s="10" t="str">
        <f>IF(Friedman!CF34=0,"",Friedman!CF34)</f>
        <v/>
      </c>
      <c r="Y37" s="10"/>
      <c r="Z37" s="10"/>
      <c r="AA37" s="10"/>
      <c r="AB37" s="10"/>
      <c r="AC37" s="10"/>
      <c r="AD37" s="10"/>
      <c r="AE37" s="10"/>
      <c r="AF37" s="10"/>
      <c r="AG37" s="10" t="str">
        <f>IF(Friedman!C34=0,"",Friedman!C34)</f>
        <v/>
      </c>
    </row>
    <row r="38" spans="2:33" s="25" customFormat="1" ht="14.25" customHeight="1">
      <c r="B38" s="154" t="s">
        <v>30</v>
      </c>
      <c r="C38" s="155">
        <f>'Daily &amp; Weekly Totals'!E49</f>
        <v>43952</v>
      </c>
      <c r="E38" s="10" t="str">
        <f>IF(Friedman!H35=0,"",Friedman!H35)</f>
        <v/>
      </c>
      <c r="F38" s="10" t="str">
        <f>IF(Friedman!L35=0,"",Friedman!L35)</f>
        <v/>
      </c>
      <c r="G38" s="10" t="str">
        <f>IF(Friedman!P35=0,"",Friedman!P35)</f>
        <v/>
      </c>
      <c r="H38" s="10" t="str">
        <f>IF(Friedman!T35=0,"",Friedman!T35)</f>
        <v/>
      </c>
      <c r="I38" s="10" t="str">
        <f>IF(Friedman!X35=0,"",Friedman!X35)</f>
        <v/>
      </c>
      <c r="J38" s="10" t="str">
        <f>IF(Friedman!AB35=0,"",Friedman!AB35)</f>
        <v/>
      </c>
      <c r="K38" s="10" t="str">
        <f>IF(Friedman!AF35=0,"",Friedman!AF35)</f>
        <v/>
      </c>
      <c r="L38" s="10" t="str">
        <f>IF(Friedman!AJ35=0,"",Friedman!AJ35)</f>
        <v/>
      </c>
      <c r="M38" s="10" t="str">
        <f>IF(Friedman!AN35=0,"",Friedman!AN35)</f>
        <v/>
      </c>
      <c r="N38" s="10" t="str">
        <f>IF(Friedman!AR35=0,"",Friedman!AR35)</f>
        <v/>
      </c>
      <c r="O38" s="10" t="str">
        <f>IF(Friedman!AV35=0,"",Friedman!AV35)</f>
        <v/>
      </c>
      <c r="P38" s="10" t="str">
        <f>IF(Friedman!AZ35=0,"",Friedman!AZ35)</f>
        <v/>
      </c>
      <c r="Q38" s="10" t="str">
        <f>IF(Friedman!BD35=0,"",Friedman!BD35)</f>
        <v/>
      </c>
      <c r="R38" s="10" t="str">
        <f>IF(Friedman!BH35=0,"",Friedman!BH35)</f>
        <v/>
      </c>
      <c r="S38" s="10" t="str">
        <f>IF(Friedman!BL35=0,"",Friedman!BL35)</f>
        <v/>
      </c>
      <c r="T38" s="10" t="str">
        <f>IF(Friedman!BP35=0,"",Friedman!BP35)</f>
        <v/>
      </c>
      <c r="U38" s="10" t="str">
        <f>IF(Friedman!BT35=0,"",Friedman!BT35)</f>
        <v/>
      </c>
      <c r="V38" s="10" t="str">
        <f>IF(Friedman!BX35=0,"",Friedman!BX35)</f>
        <v/>
      </c>
      <c r="W38" s="10" t="str">
        <f>IF(Friedman!CB35=0,"",Friedman!CB35)</f>
        <v/>
      </c>
      <c r="X38" s="10" t="str">
        <f>IF(Friedman!CF35=0,"",Friedman!CF35)</f>
        <v/>
      </c>
      <c r="Y38" s="10"/>
      <c r="Z38" s="10"/>
      <c r="AA38" s="10"/>
      <c r="AB38" s="10"/>
      <c r="AC38" s="10"/>
      <c r="AD38" s="10"/>
      <c r="AE38" s="10"/>
      <c r="AF38" s="10"/>
      <c r="AG38" s="10" t="str">
        <f>IF(Friedman!C35=0,"",Friedman!C35)</f>
        <v/>
      </c>
    </row>
    <row r="39" spans="2:33" s="25" customFormat="1" ht="14.25" customHeight="1">
      <c r="B39" s="154" t="s">
        <v>31</v>
      </c>
      <c r="C39" s="155">
        <f>'Daily &amp; Weekly Totals'!E50</f>
        <v>43953</v>
      </c>
      <c r="E39" s="10" t="str">
        <f>IF(Friedman!H36=0,"",Friedman!H36)</f>
        <v/>
      </c>
      <c r="F39" s="10" t="str">
        <f>IF(Friedman!L36=0,"",Friedman!L36)</f>
        <v/>
      </c>
      <c r="G39" s="10" t="str">
        <f>IF(Friedman!P36=0,"",Friedman!P36)</f>
        <v/>
      </c>
      <c r="H39" s="10" t="str">
        <f>IF(Friedman!T36=0,"",Friedman!T36)</f>
        <v/>
      </c>
      <c r="I39" s="10" t="str">
        <f>IF(Friedman!X36=0,"",Friedman!X36)</f>
        <v/>
      </c>
      <c r="J39" s="10" t="str">
        <f>IF(Friedman!AB36=0,"",Friedman!AB36)</f>
        <v/>
      </c>
      <c r="K39" s="10" t="str">
        <f>IF(Friedman!AF36=0,"",Friedman!AF36)</f>
        <v/>
      </c>
      <c r="L39" s="10" t="str">
        <f>IF(Friedman!AJ36=0,"",Friedman!AJ36)</f>
        <v/>
      </c>
      <c r="M39" s="10" t="str">
        <f>IF(Friedman!AN36=0,"",Friedman!AN36)</f>
        <v/>
      </c>
      <c r="N39" s="10" t="str">
        <f>IF(Friedman!AR36=0,"",Friedman!AR36)</f>
        <v/>
      </c>
      <c r="O39" s="10" t="str">
        <f>IF(Friedman!AV36=0,"",Friedman!AV36)</f>
        <v/>
      </c>
      <c r="P39" s="10" t="str">
        <f>IF(Friedman!AZ36=0,"",Friedman!AZ36)</f>
        <v/>
      </c>
      <c r="Q39" s="10" t="str">
        <f>IF(Friedman!BD36=0,"",Friedman!BD36)</f>
        <v/>
      </c>
      <c r="R39" s="10" t="str">
        <f>IF(Friedman!BH36=0,"",Friedman!BH36)</f>
        <v/>
      </c>
      <c r="S39" s="10" t="str">
        <f>IF(Friedman!BL36=0,"",Friedman!BL36)</f>
        <v/>
      </c>
      <c r="T39" s="10" t="str">
        <f>IF(Friedman!BP36=0,"",Friedman!BP36)</f>
        <v/>
      </c>
      <c r="U39" s="10" t="str">
        <f>IF(Friedman!BT36=0,"",Friedman!BT36)</f>
        <v/>
      </c>
      <c r="V39" s="10" t="str">
        <f>IF(Friedman!BX36=0,"",Friedman!BX36)</f>
        <v/>
      </c>
      <c r="W39" s="10" t="str">
        <f>IF(Friedman!CB36=0,"",Friedman!CB36)</f>
        <v/>
      </c>
      <c r="X39" s="10" t="str">
        <f>IF(Friedman!CF36=0,"",Friedman!CF36)</f>
        <v/>
      </c>
      <c r="Y39" s="10"/>
      <c r="Z39" s="10"/>
      <c r="AA39" s="10"/>
      <c r="AB39" s="10"/>
      <c r="AC39" s="10"/>
      <c r="AD39" s="10"/>
      <c r="AE39" s="10"/>
      <c r="AF39" s="10"/>
      <c r="AG39" s="10" t="str">
        <f>IF(Friedman!C36=0,"",Friedman!C36)</f>
        <v/>
      </c>
    </row>
    <row r="40" spans="2:33" s="25" customFormat="1" ht="14.25" customHeight="1">
      <c r="B40" s="154" t="s">
        <v>32</v>
      </c>
      <c r="C40" s="155">
        <f>'Daily &amp; Weekly Totals'!E51</f>
        <v>43954</v>
      </c>
      <c r="E40" s="10" t="str">
        <f>IF(Friedman!H37=0,"",Friedman!H37)</f>
        <v/>
      </c>
      <c r="F40" s="10" t="str">
        <f>IF(Friedman!L37=0,"",Friedman!L37)</f>
        <v/>
      </c>
      <c r="G40" s="10" t="str">
        <f>IF(Friedman!P37=0,"",Friedman!P37)</f>
        <v/>
      </c>
      <c r="H40" s="10" t="str">
        <f>IF(Friedman!T37=0,"",Friedman!T37)</f>
        <v/>
      </c>
      <c r="I40" s="10" t="str">
        <f>IF(Friedman!X37=0,"",Friedman!X37)</f>
        <v/>
      </c>
      <c r="J40" s="10" t="str">
        <f>IF(Friedman!AB37=0,"",Friedman!AB37)</f>
        <v/>
      </c>
      <c r="K40" s="10" t="str">
        <f>IF(Friedman!AF37=0,"",Friedman!AF37)</f>
        <v/>
      </c>
      <c r="L40" s="10" t="str">
        <f>IF(Friedman!AJ37=0,"",Friedman!AJ37)</f>
        <v/>
      </c>
      <c r="M40" s="10" t="str">
        <f>IF(Friedman!AN37=0,"",Friedman!AN37)</f>
        <v/>
      </c>
      <c r="N40" s="10" t="str">
        <f>IF(Friedman!AR37=0,"",Friedman!AR37)</f>
        <v/>
      </c>
      <c r="O40" s="10" t="str">
        <f>IF(Friedman!AV37=0,"",Friedman!AV37)</f>
        <v/>
      </c>
      <c r="P40" s="10" t="str">
        <f>IF(Friedman!AZ37=0,"",Friedman!AZ37)</f>
        <v/>
      </c>
      <c r="Q40" s="10" t="str">
        <f>IF(Friedman!BD37=0,"",Friedman!BD37)</f>
        <v/>
      </c>
      <c r="R40" s="10" t="str">
        <f>IF(Friedman!BH37=0,"",Friedman!BH37)</f>
        <v/>
      </c>
      <c r="S40" s="10" t="str">
        <f>IF(Friedman!BL37=0,"",Friedman!BL37)</f>
        <v/>
      </c>
      <c r="T40" s="10" t="str">
        <f>IF(Friedman!BP37=0,"",Friedman!BP37)</f>
        <v/>
      </c>
      <c r="U40" s="10" t="str">
        <f>IF(Friedman!BT37=0,"",Friedman!BT37)</f>
        <v/>
      </c>
      <c r="V40" s="10" t="str">
        <f>IF(Friedman!BX37=0,"",Friedman!BX37)</f>
        <v/>
      </c>
      <c r="W40" s="10" t="str">
        <f>IF(Friedman!CB37=0,"",Friedman!CB37)</f>
        <v/>
      </c>
      <c r="X40" s="10" t="str">
        <f>IF(Friedman!CF37=0,"",Friedman!CF37)</f>
        <v/>
      </c>
      <c r="Y40" s="10"/>
      <c r="Z40" s="10"/>
      <c r="AA40" s="10"/>
      <c r="AB40" s="10"/>
      <c r="AC40" s="10"/>
      <c r="AD40" s="10"/>
      <c r="AE40" s="10"/>
      <c r="AF40" s="10"/>
      <c r="AG40" s="10" t="str">
        <f>IF(Friedman!C37=0,"",Friedman!C37)</f>
        <v/>
      </c>
    </row>
    <row r="41" spans="2:33" s="25" customFormat="1" ht="14.25" customHeight="1">
      <c r="B41" s="154" t="s">
        <v>26</v>
      </c>
      <c r="C41" s="155">
        <f>'Daily &amp; Weekly Totals'!E55</f>
        <v>43955</v>
      </c>
      <c r="E41" s="10" t="str">
        <f>IF(Friedman!H38=0,"",Friedman!H38)</f>
        <v/>
      </c>
      <c r="F41" s="10" t="str">
        <f>IF(Friedman!L38=0,"",Friedman!L38)</f>
        <v/>
      </c>
      <c r="G41" s="10" t="str">
        <f>IF(Friedman!P38=0,"",Friedman!P38)</f>
        <v/>
      </c>
      <c r="H41" s="10" t="str">
        <f>IF(Friedman!T38=0,"",Friedman!T38)</f>
        <v/>
      </c>
      <c r="I41" s="10" t="str">
        <f>IF(Friedman!X38=0,"",Friedman!X38)</f>
        <v/>
      </c>
      <c r="J41" s="10" t="str">
        <f>IF(Friedman!AB38=0,"",Friedman!AB38)</f>
        <v/>
      </c>
      <c r="K41" s="10" t="str">
        <f>IF(Friedman!AF38=0,"",Friedman!AF38)</f>
        <v/>
      </c>
      <c r="L41" s="10" t="str">
        <f>IF(Friedman!AJ38=0,"",Friedman!AJ38)</f>
        <v/>
      </c>
      <c r="M41" s="10" t="str">
        <f>IF(Friedman!AN38=0,"",Friedman!AN38)</f>
        <v/>
      </c>
      <c r="N41" s="10" t="str">
        <f>IF(Friedman!AR38=0,"",Friedman!AR38)</f>
        <v/>
      </c>
      <c r="O41" s="10" t="str">
        <f>IF(Friedman!AV38=0,"",Friedman!AV38)</f>
        <v/>
      </c>
      <c r="P41" s="10" t="str">
        <f>IF(Friedman!AZ38=0,"",Friedman!AZ38)</f>
        <v/>
      </c>
      <c r="Q41" s="10" t="str">
        <f>IF(Friedman!BD38=0,"",Friedman!BD38)</f>
        <v/>
      </c>
      <c r="R41" s="10" t="str">
        <f>IF(Friedman!BH38=0,"",Friedman!BH38)</f>
        <v/>
      </c>
      <c r="S41" s="10" t="str">
        <f>IF(Friedman!BL38=0,"",Friedman!BL38)</f>
        <v/>
      </c>
      <c r="T41" s="10" t="str">
        <f>IF(Friedman!BP38=0,"",Friedman!BP38)</f>
        <v/>
      </c>
      <c r="U41" s="10" t="str">
        <f>IF(Friedman!BT38=0,"",Friedman!BT38)</f>
        <v/>
      </c>
      <c r="V41" s="10" t="str">
        <f>IF(Friedman!BX38=0,"",Friedman!BX38)</f>
        <v/>
      </c>
      <c r="W41" s="10" t="str">
        <f>IF(Friedman!CB38=0,"",Friedman!CB38)</f>
        <v/>
      </c>
      <c r="X41" s="10" t="str">
        <f>IF(Friedman!CF38=0,"",Friedman!CF38)</f>
        <v/>
      </c>
      <c r="Y41" s="10"/>
      <c r="Z41" s="10"/>
      <c r="AA41" s="10"/>
      <c r="AB41" s="10"/>
      <c r="AC41" s="10"/>
      <c r="AD41" s="10"/>
      <c r="AE41" s="10"/>
      <c r="AF41" s="10"/>
      <c r="AG41" s="10" t="str">
        <f>IF(Friedman!C38=0,"",Friedman!C38)</f>
        <v/>
      </c>
    </row>
    <row r="42" spans="2:33" s="25" customFormat="1" ht="14.25" customHeight="1">
      <c r="B42" s="154" t="s">
        <v>27</v>
      </c>
      <c r="C42" s="155">
        <f>'Daily &amp; Weekly Totals'!E56</f>
        <v>43956</v>
      </c>
      <c r="E42" s="10" t="str">
        <f>IF(Friedman!H39=0,"",Friedman!H39)</f>
        <v/>
      </c>
      <c r="F42" s="10" t="str">
        <f>IF(Friedman!L39=0,"",Friedman!L39)</f>
        <v/>
      </c>
      <c r="G42" s="10" t="str">
        <f>IF(Friedman!P39=0,"",Friedman!P39)</f>
        <v/>
      </c>
      <c r="H42" s="10" t="str">
        <f>IF(Friedman!T39=0,"",Friedman!T39)</f>
        <v/>
      </c>
      <c r="I42" s="10" t="str">
        <f>IF(Friedman!X39=0,"",Friedman!X39)</f>
        <v/>
      </c>
      <c r="J42" s="10" t="str">
        <f>IF(Friedman!AB39=0,"",Friedman!AB39)</f>
        <v/>
      </c>
      <c r="K42" s="10" t="str">
        <f>IF(Friedman!AF39=0,"",Friedman!AF39)</f>
        <v/>
      </c>
      <c r="L42" s="10" t="str">
        <f>IF(Friedman!AJ39=0,"",Friedman!AJ39)</f>
        <v/>
      </c>
      <c r="M42" s="10" t="str">
        <f>IF(Friedman!AN39=0,"",Friedman!AN39)</f>
        <v/>
      </c>
      <c r="N42" s="10" t="str">
        <f>IF(Friedman!AR39=0,"",Friedman!AR39)</f>
        <v/>
      </c>
      <c r="O42" s="10" t="str">
        <f>IF(Friedman!AV39=0,"",Friedman!AV39)</f>
        <v/>
      </c>
      <c r="P42" s="10" t="str">
        <f>IF(Friedman!AZ39=0,"",Friedman!AZ39)</f>
        <v/>
      </c>
      <c r="Q42" s="10" t="str">
        <f>IF(Friedman!BD39=0,"",Friedman!BD39)</f>
        <v/>
      </c>
      <c r="R42" s="10" t="str">
        <f>IF(Friedman!BH39=0,"",Friedman!BH39)</f>
        <v/>
      </c>
      <c r="S42" s="10" t="str">
        <f>IF(Friedman!BL39=0,"",Friedman!BL39)</f>
        <v/>
      </c>
      <c r="T42" s="10" t="str">
        <f>IF(Friedman!BP39=0,"",Friedman!BP39)</f>
        <v/>
      </c>
      <c r="U42" s="10" t="str">
        <f>IF(Friedman!BT39=0,"",Friedman!BT39)</f>
        <v/>
      </c>
      <c r="V42" s="10" t="str">
        <f>IF(Friedman!BX39=0,"",Friedman!BX39)</f>
        <v/>
      </c>
      <c r="W42" s="10" t="str">
        <f>IF(Friedman!CB39=0,"",Friedman!CB39)</f>
        <v/>
      </c>
      <c r="X42" s="10" t="str">
        <f>IF(Friedman!CF39=0,"",Friedman!CF39)</f>
        <v/>
      </c>
      <c r="Y42" s="10"/>
      <c r="Z42" s="10"/>
      <c r="AA42" s="10"/>
      <c r="AB42" s="10"/>
      <c r="AC42" s="10"/>
      <c r="AD42" s="10"/>
      <c r="AE42" s="10"/>
      <c r="AF42" s="10"/>
      <c r="AG42" s="10" t="str">
        <f>IF(Friedman!C39=0,"",Friedman!C39)</f>
        <v/>
      </c>
    </row>
    <row r="43" spans="2:33" s="25" customFormat="1" ht="14.25" customHeight="1">
      <c r="B43" s="154" t="s">
        <v>28</v>
      </c>
      <c r="C43" s="155">
        <f>'Daily &amp; Weekly Totals'!E57</f>
        <v>43957</v>
      </c>
      <c r="E43" s="10" t="str">
        <f>IF(Friedman!H40=0,"",Friedman!H40)</f>
        <v/>
      </c>
      <c r="F43" s="10" t="str">
        <f>IF(Friedman!L40=0,"",Friedman!L40)</f>
        <v/>
      </c>
      <c r="G43" s="10" t="str">
        <f>IF(Friedman!P40=0,"",Friedman!P40)</f>
        <v/>
      </c>
      <c r="H43" s="10" t="str">
        <f>IF(Friedman!T40=0,"",Friedman!T40)</f>
        <v/>
      </c>
      <c r="I43" s="10" t="str">
        <f>IF(Friedman!X40=0,"",Friedman!X40)</f>
        <v/>
      </c>
      <c r="J43" s="10" t="str">
        <f>IF(Friedman!AB40=0,"",Friedman!AB40)</f>
        <v/>
      </c>
      <c r="K43" s="10" t="str">
        <f>IF(Friedman!AF40=0,"",Friedman!AF40)</f>
        <v/>
      </c>
      <c r="L43" s="10" t="str">
        <f>IF(Friedman!AJ40=0,"",Friedman!AJ40)</f>
        <v/>
      </c>
      <c r="M43" s="10" t="str">
        <f>IF(Friedman!AN40=0,"",Friedman!AN40)</f>
        <v/>
      </c>
      <c r="N43" s="10" t="str">
        <f>IF(Friedman!AR40=0,"",Friedman!AR40)</f>
        <v/>
      </c>
      <c r="O43" s="10" t="str">
        <f>IF(Friedman!AV40=0,"",Friedman!AV40)</f>
        <v/>
      </c>
      <c r="P43" s="10" t="str">
        <f>IF(Friedman!AZ40=0,"",Friedman!AZ40)</f>
        <v/>
      </c>
      <c r="Q43" s="10" t="str">
        <f>IF(Friedman!BD40=0,"",Friedman!BD40)</f>
        <v/>
      </c>
      <c r="R43" s="10" t="str">
        <f>IF(Friedman!BH40=0,"",Friedman!BH40)</f>
        <v/>
      </c>
      <c r="S43" s="10" t="str">
        <f>IF(Friedman!BL40=0,"",Friedman!BL40)</f>
        <v/>
      </c>
      <c r="T43" s="10" t="str">
        <f>IF(Friedman!BP40=0,"",Friedman!BP40)</f>
        <v/>
      </c>
      <c r="U43" s="10" t="str">
        <f>IF(Friedman!BT40=0,"",Friedman!BT40)</f>
        <v/>
      </c>
      <c r="V43" s="10" t="str">
        <f>IF(Friedman!BX40=0,"",Friedman!BX40)</f>
        <v/>
      </c>
      <c r="W43" s="10" t="str">
        <f>IF(Friedman!CB40=0,"",Friedman!CB40)</f>
        <v/>
      </c>
      <c r="X43" s="10" t="str">
        <f>IF(Friedman!CF40=0,"",Friedman!CF40)</f>
        <v/>
      </c>
      <c r="Y43" s="10"/>
      <c r="Z43" s="10"/>
      <c r="AA43" s="10"/>
      <c r="AB43" s="10"/>
      <c r="AC43" s="10"/>
      <c r="AD43" s="10"/>
      <c r="AE43" s="10"/>
      <c r="AF43" s="10"/>
      <c r="AG43" s="10" t="str">
        <f>IF(Friedman!C40=0,"",Friedman!C40)</f>
        <v/>
      </c>
    </row>
    <row r="44" spans="2:33" s="25" customFormat="1" ht="14.25" customHeight="1">
      <c r="B44" s="154" t="s">
        <v>29</v>
      </c>
      <c r="C44" s="155">
        <f>'Daily &amp; Weekly Totals'!E58</f>
        <v>43958</v>
      </c>
      <c r="E44" s="10" t="str">
        <f>IF(Friedman!H41=0,"",Friedman!H41)</f>
        <v/>
      </c>
      <c r="F44" s="10" t="str">
        <f>IF(Friedman!L41=0,"",Friedman!L41)</f>
        <v/>
      </c>
      <c r="G44" s="10" t="str">
        <f>IF(Friedman!P41=0,"",Friedman!P41)</f>
        <v/>
      </c>
      <c r="H44" s="10" t="str">
        <f>IF(Friedman!T41=0,"",Friedman!T41)</f>
        <v/>
      </c>
      <c r="I44" s="10" t="str">
        <f>IF(Friedman!X41=0,"",Friedman!X41)</f>
        <v/>
      </c>
      <c r="J44" s="10" t="str">
        <f>IF(Friedman!AB41=0,"",Friedman!AB41)</f>
        <v/>
      </c>
      <c r="K44" s="10" t="str">
        <f>IF(Friedman!AF41=0,"",Friedman!AF41)</f>
        <v/>
      </c>
      <c r="L44" s="10" t="str">
        <f>IF(Friedman!AJ41=0,"",Friedman!AJ41)</f>
        <v/>
      </c>
      <c r="M44" s="10" t="str">
        <f>IF(Friedman!AN41=0,"",Friedman!AN41)</f>
        <v/>
      </c>
      <c r="N44" s="10" t="str">
        <f>IF(Friedman!AR41=0,"",Friedman!AR41)</f>
        <v/>
      </c>
      <c r="O44" s="10" t="str">
        <f>IF(Friedman!AV41=0,"",Friedman!AV41)</f>
        <v/>
      </c>
      <c r="P44" s="10" t="str">
        <f>IF(Friedman!AZ41=0,"",Friedman!AZ41)</f>
        <v/>
      </c>
      <c r="Q44" s="10" t="str">
        <f>IF(Friedman!BD41=0,"",Friedman!BD41)</f>
        <v/>
      </c>
      <c r="R44" s="10" t="str">
        <f>IF(Friedman!BH41=0,"",Friedman!BH41)</f>
        <v/>
      </c>
      <c r="S44" s="10" t="str">
        <f>IF(Friedman!BL41=0,"",Friedman!BL41)</f>
        <v/>
      </c>
      <c r="T44" s="10" t="str">
        <f>IF(Friedman!BP41=0,"",Friedman!BP41)</f>
        <v/>
      </c>
      <c r="U44" s="10" t="str">
        <f>IF(Friedman!BT41=0,"",Friedman!BT41)</f>
        <v/>
      </c>
      <c r="V44" s="10" t="str">
        <f>IF(Friedman!BX41=0,"",Friedman!BX41)</f>
        <v/>
      </c>
      <c r="W44" s="10" t="str">
        <f>IF(Friedman!CB41=0,"",Friedman!CB41)</f>
        <v/>
      </c>
      <c r="X44" s="10" t="str">
        <f>IF(Friedman!CF41=0,"",Friedman!CF41)</f>
        <v/>
      </c>
      <c r="Y44" s="10"/>
      <c r="Z44" s="10"/>
      <c r="AA44" s="10"/>
      <c r="AB44" s="10"/>
      <c r="AC44" s="10"/>
      <c r="AD44" s="10"/>
      <c r="AE44" s="10"/>
      <c r="AF44" s="10"/>
      <c r="AG44" s="10" t="str">
        <f>IF(Friedman!C41=0,"",Friedman!C41)</f>
        <v/>
      </c>
    </row>
    <row r="45" spans="2:33" s="25" customFormat="1" ht="14.25" customHeight="1">
      <c r="B45" s="154" t="s">
        <v>30</v>
      </c>
      <c r="C45" s="155">
        <f>'Daily &amp; Weekly Totals'!E59</f>
        <v>43959</v>
      </c>
      <c r="E45" s="10" t="str">
        <f>IF(Friedman!H42=0,"",Friedman!H42)</f>
        <v/>
      </c>
      <c r="F45" s="10" t="str">
        <f>IF(Friedman!L42=0,"",Friedman!L42)</f>
        <v/>
      </c>
      <c r="G45" s="10" t="str">
        <f>IF(Friedman!P42=0,"",Friedman!P42)</f>
        <v/>
      </c>
      <c r="H45" s="10" t="str">
        <f>IF(Friedman!T42=0,"",Friedman!T42)</f>
        <v/>
      </c>
      <c r="I45" s="10" t="str">
        <f>IF(Friedman!X42=0,"",Friedman!X42)</f>
        <v/>
      </c>
      <c r="J45" s="10" t="str">
        <f>IF(Friedman!AB42=0,"",Friedman!AB42)</f>
        <v/>
      </c>
      <c r="K45" s="10" t="str">
        <f>IF(Friedman!AF42=0,"",Friedman!AF42)</f>
        <v/>
      </c>
      <c r="L45" s="10" t="str">
        <f>IF(Friedman!AJ42=0,"",Friedman!AJ42)</f>
        <v/>
      </c>
      <c r="M45" s="10" t="str">
        <f>IF(Friedman!AN42=0,"",Friedman!AN42)</f>
        <v/>
      </c>
      <c r="N45" s="10" t="str">
        <f>IF(Friedman!AR42=0,"",Friedman!AR42)</f>
        <v/>
      </c>
      <c r="O45" s="10" t="str">
        <f>IF(Friedman!AV42=0,"",Friedman!AV42)</f>
        <v/>
      </c>
      <c r="P45" s="10" t="str">
        <f>IF(Friedman!AZ42=0,"",Friedman!AZ42)</f>
        <v/>
      </c>
      <c r="Q45" s="10" t="str">
        <f>IF(Friedman!BD42=0,"",Friedman!BD42)</f>
        <v/>
      </c>
      <c r="R45" s="10" t="str">
        <f>IF(Friedman!BH42=0,"",Friedman!BH42)</f>
        <v/>
      </c>
      <c r="S45" s="10" t="str">
        <f>IF(Friedman!BL42=0,"",Friedman!BL42)</f>
        <v/>
      </c>
      <c r="T45" s="10" t="str">
        <f>IF(Friedman!BP42=0,"",Friedman!BP42)</f>
        <v/>
      </c>
      <c r="U45" s="10" t="str">
        <f>IF(Friedman!BT42=0,"",Friedman!BT42)</f>
        <v/>
      </c>
      <c r="V45" s="10" t="str">
        <f>IF(Friedman!BX42=0,"",Friedman!BX42)</f>
        <v/>
      </c>
      <c r="W45" s="10" t="str">
        <f>IF(Friedman!CB42=0,"",Friedman!CB42)</f>
        <v/>
      </c>
      <c r="X45" s="10" t="str">
        <f>IF(Friedman!CF42=0,"",Friedman!CF42)</f>
        <v/>
      </c>
      <c r="Y45" s="10"/>
      <c r="Z45" s="10"/>
      <c r="AA45" s="10"/>
      <c r="AB45" s="10"/>
      <c r="AC45" s="10"/>
      <c r="AD45" s="10"/>
      <c r="AE45" s="10"/>
      <c r="AF45" s="10"/>
      <c r="AG45" s="10" t="str">
        <f>IF(Friedman!C42=0,"",Friedman!C42)</f>
        <v/>
      </c>
    </row>
    <row r="46" spans="2:33" s="25" customFormat="1" ht="14.25" customHeight="1">
      <c r="B46" s="154" t="s">
        <v>31</v>
      </c>
      <c r="C46" s="155">
        <f>'Daily &amp; Weekly Totals'!E60</f>
        <v>43960</v>
      </c>
      <c r="E46" s="10" t="str">
        <f>IF(Friedman!H43=0,"",Friedman!H43)</f>
        <v/>
      </c>
      <c r="F46" s="10" t="str">
        <f>IF(Friedman!L43=0,"",Friedman!L43)</f>
        <v/>
      </c>
      <c r="G46" s="10" t="str">
        <f>IF(Friedman!P43=0,"",Friedman!P43)</f>
        <v/>
      </c>
      <c r="H46" s="10" t="str">
        <f>IF(Friedman!T43=0,"",Friedman!T43)</f>
        <v/>
      </c>
      <c r="I46" s="10" t="str">
        <f>IF(Friedman!X43=0,"",Friedman!X43)</f>
        <v/>
      </c>
      <c r="J46" s="10" t="str">
        <f>IF(Friedman!AB43=0,"",Friedman!AB43)</f>
        <v/>
      </c>
      <c r="K46" s="10" t="str">
        <f>IF(Friedman!AF43=0,"",Friedman!AF43)</f>
        <v/>
      </c>
      <c r="L46" s="10" t="str">
        <f>IF(Friedman!AJ43=0,"",Friedman!AJ43)</f>
        <v/>
      </c>
      <c r="M46" s="10" t="str">
        <f>IF(Friedman!AN43=0,"",Friedman!AN43)</f>
        <v/>
      </c>
      <c r="N46" s="10" t="str">
        <f>IF(Friedman!AR43=0,"",Friedman!AR43)</f>
        <v/>
      </c>
      <c r="O46" s="10" t="str">
        <f>IF(Friedman!AV43=0,"",Friedman!AV43)</f>
        <v/>
      </c>
      <c r="P46" s="10" t="str">
        <f>IF(Friedman!AZ43=0,"",Friedman!AZ43)</f>
        <v/>
      </c>
      <c r="Q46" s="10" t="str">
        <f>IF(Friedman!BD43=0,"",Friedman!BD43)</f>
        <v/>
      </c>
      <c r="R46" s="10" t="str">
        <f>IF(Friedman!BH43=0,"",Friedman!BH43)</f>
        <v/>
      </c>
      <c r="S46" s="10" t="str">
        <f>IF(Friedman!BL43=0,"",Friedman!BL43)</f>
        <v/>
      </c>
      <c r="T46" s="10" t="str">
        <f>IF(Friedman!BP43=0,"",Friedman!BP43)</f>
        <v/>
      </c>
      <c r="U46" s="10" t="str">
        <f>IF(Friedman!BT43=0,"",Friedman!BT43)</f>
        <v/>
      </c>
      <c r="V46" s="10" t="str">
        <f>IF(Friedman!BX43=0,"",Friedman!BX43)</f>
        <v/>
      </c>
      <c r="W46" s="10" t="str">
        <f>IF(Friedman!CB43=0,"",Friedman!CB43)</f>
        <v/>
      </c>
      <c r="X46" s="10" t="str">
        <f>IF(Friedman!CF43=0,"",Friedman!CF43)</f>
        <v/>
      </c>
      <c r="Y46" s="10"/>
      <c r="Z46" s="10"/>
      <c r="AA46" s="10"/>
      <c r="AB46" s="10"/>
      <c r="AC46" s="10"/>
      <c r="AD46" s="10"/>
      <c r="AE46" s="10"/>
      <c r="AF46" s="10"/>
      <c r="AG46" s="10" t="str">
        <f>IF(Friedman!C43=0,"",Friedman!C43)</f>
        <v/>
      </c>
    </row>
    <row r="47" spans="2:33" s="25" customFormat="1" ht="14.25" customHeight="1">
      <c r="B47" s="154" t="s">
        <v>32</v>
      </c>
      <c r="C47" s="155">
        <f>'Daily &amp; Weekly Totals'!E61</f>
        <v>43961</v>
      </c>
      <c r="E47" s="10" t="str">
        <f>IF(Friedman!H44=0,"",Friedman!H44)</f>
        <v/>
      </c>
      <c r="F47" s="10" t="str">
        <f>IF(Friedman!L44=0,"",Friedman!L44)</f>
        <v/>
      </c>
      <c r="G47" s="10" t="str">
        <f>IF(Friedman!P44=0,"",Friedman!P44)</f>
        <v/>
      </c>
      <c r="H47" s="10" t="str">
        <f>IF(Friedman!T44=0,"",Friedman!T44)</f>
        <v/>
      </c>
      <c r="I47" s="10" t="str">
        <f>IF(Friedman!X44=0,"",Friedman!X44)</f>
        <v/>
      </c>
      <c r="J47" s="10" t="str">
        <f>IF(Friedman!AB44=0,"",Friedman!AB44)</f>
        <v/>
      </c>
      <c r="K47" s="10" t="str">
        <f>IF(Friedman!AF44=0,"",Friedman!AF44)</f>
        <v/>
      </c>
      <c r="L47" s="10" t="str">
        <f>IF(Friedman!AJ44=0,"",Friedman!AJ44)</f>
        <v/>
      </c>
      <c r="M47" s="10" t="str">
        <f>IF(Friedman!AN44=0,"",Friedman!AN44)</f>
        <v/>
      </c>
      <c r="N47" s="10" t="str">
        <f>IF(Friedman!AR44=0,"",Friedman!AR44)</f>
        <v/>
      </c>
      <c r="O47" s="10" t="str">
        <f>IF(Friedman!AV44=0,"",Friedman!AV44)</f>
        <v/>
      </c>
      <c r="P47" s="10" t="str">
        <f>IF(Friedman!AZ44=0,"",Friedman!AZ44)</f>
        <v/>
      </c>
      <c r="Q47" s="10" t="str">
        <f>IF(Friedman!BD44=0,"",Friedman!BD44)</f>
        <v/>
      </c>
      <c r="R47" s="10" t="str">
        <f>IF(Friedman!BH44=0,"",Friedman!BH44)</f>
        <v/>
      </c>
      <c r="S47" s="10" t="str">
        <f>IF(Friedman!BL44=0,"",Friedman!BL44)</f>
        <v/>
      </c>
      <c r="T47" s="10" t="str">
        <f>IF(Friedman!BP44=0,"",Friedman!BP44)</f>
        <v/>
      </c>
      <c r="U47" s="10" t="str">
        <f>IF(Friedman!BT44=0,"",Friedman!BT44)</f>
        <v/>
      </c>
      <c r="V47" s="10" t="str">
        <f>IF(Friedman!BX44=0,"",Friedman!BX44)</f>
        <v/>
      </c>
      <c r="W47" s="10" t="str">
        <f>IF(Friedman!CB44=0,"",Friedman!CB44)</f>
        <v/>
      </c>
      <c r="X47" s="10" t="str">
        <f>IF(Friedman!CF44=0,"",Friedman!CF44)</f>
        <v/>
      </c>
      <c r="Y47" s="10"/>
      <c r="Z47" s="10"/>
      <c r="AA47" s="10"/>
      <c r="AB47" s="10"/>
      <c r="AC47" s="10"/>
      <c r="AD47" s="10"/>
      <c r="AE47" s="10"/>
      <c r="AF47" s="10"/>
      <c r="AG47" s="10" t="str">
        <f>IF(Friedman!C44=0,"",Friedman!C44)</f>
        <v/>
      </c>
    </row>
    <row r="48" spans="2:33" s="25" customFormat="1" ht="14.25" customHeight="1"/>
    <row r="49" s="25" customFormat="1" ht="14.25" customHeight="1"/>
    <row r="50" s="25" customFormat="1" ht="14.25" customHeight="1"/>
    <row r="51" s="25" customFormat="1" ht="14.25" customHeight="1"/>
    <row r="52" s="25" customFormat="1" ht="14.25" customHeight="1"/>
    <row r="53" s="25" customFormat="1" ht="14.25" customHeight="1"/>
    <row r="54" s="25" customFormat="1" ht="14.25" customHeight="1"/>
    <row r="55" s="25" customFormat="1" ht="14.25" customHeight="1"/>
    <row r="56" s="25" customFormat="1" ht="14.25" customHeight="1"/>
    <row r="57" s="25" customFormat="1" ht="14.25" customHeight="1"/>
    <row r="58" s="25" customFormat="1" ht="14.25" customHeight="1"/>
    <row r="59" s="25" customFormat="1" ht="14.25" customHeight="1"/>
    <row r="60" s="25" customFormat="1" ht="14.25" customHeight="1"/>
    <row r="61" s="25" customFormat="1" ht="14.25" customHeight="1"/>
    <row r="62" s="25" customFormat="1" ht="14.25" customHeight="1"/>
    <row r="63" s="25" customFormat="1" ht="14.25" customHeight="1"/>
    <row r="64" s="25" customFormat="1" ht="14.25" customHeight="1"/>
    <row r="65" s="25" customFormat="1" ht="14.25" customHeight="1"/>
    <row r="66" s="25" customFormat="1" ht="14.25" customHeight="1"/>
    <row r="67" s="25" customFormat="1" ht="14.25" customHeight="1"/>
    <row r="68" s="25" customFormat="1" ht="14.25" customHeight="1"/>
    <row r="69" s="25" customFormat="1" ht="14.25" customHeight="1"/>
    <row r="70" s="25" customFormat="1" ht="14.25" customHeight="1"/>
    <row r="71" s="25" customFormat="1" ht="14.25" customHeight="1"/>
    <row r="72" s="25" customFormat="1" ht="14.25" customHeight="1"/>
    <row r="73" s="25" customFormat="1" ht="14.25" customHeight="1"/>
    <row r="74" s="25" customFormat="1" ht="14.25" customHeight="1"/>
    <row r="75" s="25" customFormat="1" ht="14.25" customHeight="1"/>
    <row r="76" s="25" customFormat="1" ht="14.25" customHeight="1"/>
    <row r="77" s="25" customFormat="1" ht="14.25" customHeight="1"/>
    <row r="78" s="25" customFormat="1" ht="14.25" customHeight="1"/>
    <row r="79" s="25" customFormat="1" ht="14.25" customHeight="1"/>
    <row r="80" s="25" customFormat="1" ht="14.25" customHeight="1"/>
    <row r="81" s="25" customFormat="1" ht="14.25" customHeight="1"/>
    <row r="82" s="25" customFormat="1" ht="14.25" customHeight="1"/>
    <row r="83" s="25" customFormat="1" ht="14.25" customHeight="1"/>
    <row r="84" s="25" customFormat="1" ht="14.25" customHeight="1"/>
    <row r="85" s="25" customFormat="1" ht="14.25" customHeight="1"/>
    <row r="86" s="25" customFormat="1" ht="14.25" customHeight="1"/>
    <row r="87" s="25" customFormat="1" ht="14.25" customHeight="1"/>
    <row r="88" s="25" customFormat="1" ht="14.25" customHeight="1"/>
    <row r="89" s="25" customFormat="1" ht="14.25" customHeight="1"/>
    <row r="90" s="25" customFormat="1" ht="14.25" customHeight="1"/>
    <row r="91" s="25" customFormat="1" ht="14.25" customHeight="1"/>
    <row r="92" s="25" customFormat="1" ht="14.25" customHeight="1"/>
    <row r="93" s="25" customFormat="1" ht="14.25" customHeight="1"/>
    <row r="94" s="25" customFormat="1" ht="14.25" customHeight="1"/>
    <row r="95" s="25" customFormat="1" ht="14.25" customHeight="1"/>
    <row r="96" s="25" customFormat="1" ht="14.25" customHeight="1"/>
    <row r="97" s="25" customFormat="1" ht="14.25" customHeight="1"/>
    <row r="98" s="25" customFormat="1" ht="14.25" customHeight="1"/>
    <row r="99" s="25" customFormat="1" ht="14.25" customHeight="1"/>
    <row r="100" s="25" customFormat="1" ht="14.25" customHeight="1"/>
    <row r="101" s="25" customFormat="1" ht="14.25" customHeight="1"/>
    <row r="102" s="25" customFormat="1" ht="14.25" customHeight="1"/>
    <row r="103" s="25" customFormat="1" ht="14.25" customHeight="1"/>
    <row r="104" s="25" customFormat="1" ht="14.25" customHeight="1"/>
    <row r="105" s="25" customFormat="1" ht="14.25" customHeight="1"/>
    <row r="106" s="25" customFormat="1" ht="14.25" customHeight="1"/>
    <row r="107" s="25" customFormat="1" ht="14.25" customHeight="1"/>
    <row r="108" s="25" customFormat="1" ht="14.25" customHeight="1"/>
    <row r="109" s="25" customFormat="1" ht="14.25" customHeight="1"/>
    <row r="110" s="25" customFormat="1" ht="14.25" customHeight="1"/>
    <row r="111" s="25" customFormat="1" ht="14.25" customHeight="1"/>
    <row r="112" s="25" customFormat="1" ht="14.25" customHeight="1"/>
    <row r="113" s="25" customFormat="1" ht="14.25" customHeight="1"/>
    <row r="114" s="25" customFormat="1" ht="14.25" customHeight="1"/>
    <row r="115" s="25" customFormat="1" ht="14.25" customHeight="1"/>
    <row r="116" s="25" customFormat="1" ht="14.25" customHeight="1"/>
    <row r="117" s="25" customFormat="1" ht="14.25" customHeight="1"/>
    <row r="118" s="25" customFormat="1" ht="14.25" customHeight="1"/>
    <row r="119" s="25" customFormat="1" ht="14.25" customHeight="1"/>
    <row r="120" s="25" customFormat="1" ht="14.25" customHeight="1"/>
    <row r="121" s="25" customFormat="1" ht="14.25" customHeight="1"/>
    <row r="122" s="25" customFormat="1" ht="14.25" customHeight="1"/>
    <row r="123" s="25" customFormat="1" ht="14.25" customHeight="1"/>
    <row r="124" s="25" customFormat="1" ht="14.25" customHeight="1"/>
    <row r="125" s="25" customFormat="1" ht="14.25" customHeight="1"/>
    <row r="126" s="25" customFormat="1" ht="14.25" customHeight="1"/>
    <row r="127" s="25" customFormat="1" ht="14.25" customHeight="1"/>
    <row r="128" s="25" customFormat="1" ht="14.25" customHeight="1"/>
    <row r="129" s="25" customFormat="1" ht="14.25" customHeight="1"/>
    <row r="130" s="25" customFormat="1" ht="14.25" customHeight="1"/>
    <row r="131" s="25" customFormat="1" ht="14.25" customHeight="1"/>
    <row r="132" s="25" customFormat="1" ht="14.25" customHeight="1"/>
    <row r="133" s="25" customFormat="1" ht="14.25" customHeight="1"/>
    <row r="134" s="25" customFormat="1" ht="14.25" customHeight="1"/>
    <row r="135" s="25" customFormat="1" ht="14.25" customHeight="1"/>
    <row r="136" s="25" customFormat="1" ht="14.25" customHeight="1"/>
    <row r="137" s="25" customFormat="1" ht="14.25" customHeight="1"/>
    <row r="138" s="25" customFormat="1" ht="14.25" customHeight="1"/>
    <row r="139" s="25" customFormat="1" ht="14.25" customHeight="1"/>
    <row r="140" s="25" customFormat="1" ht="14.25" customHeight="1"/>
    <row r="141" s="25" customFormat="1" ht="14.25" customHeight="1"/>
    <row r="142" s="25" customFormat="1" ht="14.25" customHeight="1"/>
    <row r="143" s="25" customFormat="1" ht="14.25" customHeight="1"/>
    <row r="144" s="25" customFormat="1" ht="14.25" customHeight="1"/>
    <row r="145" s="25" customFormat="1" ht="14.25" customHeight="1"/>
    <row r="146" s="25" customFormat="1" ht="14.25" customHeight="1"/>
    <row r="147" s="25" customFormat="1" ht="14.25" customHeight="1"/>
    <row r="148" s="25" customFormat="1" ht="14.25" customHeight="1"/>
    <row r="149" s="25" customFormat="1" ht="14.25" customHeight="1"/>
    <row r="150" s="25" customFormat="1" ht="14.25" customHeight="1"/>
    <row r="151" s="25" customFormat="1" ht="14.25" customHeight="1"/>
    <row r="152" s="25" customFormat="1" ht="14.25" customHeight="1"/>
    <row r="153" s="25" customFormat="1" ht="14.25" customHeight="1"/>
    <row r="154" s="25" customFormat="1" ht="14.25" customHeight="1"/>
    <row r="155" s="25" customFormat="1" ht="14.25" customHeight="1"/>
    <row r="156" s="25" customFormat="1" ht="14.25" customHeight="1"/>
    <row r="157" s="25" customFormat="1" ht="14.25" customHeight="1"/>
    <row r="158" s="25" customFormat="1" ht="14.25" customHeight="1"/>
    <row r="159" s="25" customFormat="1" ht="14.25" customHeight="1"/>
    <row r="160" s="25" customFormat="1" ht="14.25" customHeight="1"/>
    <row r="161" s="25" customFormat="1" ht="14.25" customHeight="1"/>
    <row r="162" s="25" customFormat="1" ht="14.25" customHeight="1"/>
    <row r="163" s="25" customFormat="1" ht="14.25" customHeight="1"/>
    <row r="164" s="25" customFormat="1" ht="14.25" customHeight="1"/>
    <row r="165" s="25" customFormat="1" ht="14.25" customHeight="1"/>
    <row r="166" s="25" customFormat="1" ht="14.25" customHeight="1"/>
    <row r="167" s="25" customFormat="1" ht="14.25" customHeight="1"/>
    <row r="168" s="25" customFormat="1" ht="14.25" customHeight="1"/>
    <row r="169" s="25" customFormat="1" ht="14.25" customHeight="1"/>
    <row r="170" s="25" customFormat="1" ht="14.25" customHeight="1"/>
    <row r="171" s="25" customFormat="1" ht="14.25" customHeight="1"/>
    <row r="172" s="25" customFormat="1" ht="14.25" customHeight="1"/>
    <row r="173" s="25" customFormat="1" ht="14.25" customHeight="1"/>
    <row r="174" s="25" customFormat="1" ht="14.25" customHeight="1"/>
    <row r="175" s="25" customFormat="1" ht="14.25" customHeight="1"/>
  </sheetData>
  <sheetProtection sheet="1" objects="1" scenarios="1"/>
  <phoneticPr fontId="10" type="noConversion"/>
  <conditionalFormatting sqref="E4:AG4">
    <cfRule type="cellIs" dxfId="21" priority="1" stopIfTrue="1" operator="equal">
      <formula>0</formula>
    </cfRule>
  </conditionalFormatting>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B1:AG175"/>
  <sheetViews>
    <sheetView zoomScale="90" zoomScaleNormal="90" workbookViewId="0">
      <selection activeCell="S6" sqref="S6"/>
    </sheetView>
  </sheetViews>
  <sheetFormatPr defaultColWidth="11.5703125" defaultRowHeight="14.25" customHeight="1"/>
  <cols>
    <col min="1" max="1" width="2.5703125" customWidth="1"/>
    <col min="4" max="4" width="2.42578125" customWidth="1"/>
    <col min="5" max="19" width="11.28515625" customWidth="1"/>
    <col min="25" max="32" width="0" hidden="1" customWidth="1"/>
    <col min="33" max="33" width="11.28515625" customWidth="1"/>
  </cols>
  <sheetData>
    <row r="1" spans="2:33" s="25" customFormat="1" ht="14.25" customHeight="1"/>
    <row r="2" spans="2:33" s="148" customFormat="1" ht="14.25" customHeight="1">
      <c r="B2" s="149">
        <f>'Daily &amp; Weekly Totals'!B5</f>
        <v>43922</v>
      </c>
      <c r="E2" s="151" t="str">
        <f>IF('Monthly Statistics'!E$5&gt;0,'Monthly Statistics'!E$5," ")</f>
        <v xml:space="preserve"> </v>
      </c>
      <c r="F2" s="151" t="str">
        <f>IF('Monthly Statistics'!F$5&gt;0,'Monthly Statistics'!F$5," ")</f>
        <v xml:space="preserve"> </v>
      </c>
      <c r="G2" s="151" t="str">
        <f>IF('Monthly Statistics'!G$5&gt;0,'Monthly Statistics'!G$5," ")</f>
        <v xml:space="preserve"> </v>
      </c>
      <c r="H2" s="151" t="str">
        <f>IF('Monthly Statistics'!H$5&gt;0,'Monthly Statistics'!H$5," ")</f>
        <v xml:space="preserve"> </v>
      </c>
      <c r="I2" s="151" t="str">
        <f>IF('Monthly Statistics'!I$5&gt;0,'Monthly Statistics'!I$5," ")</f>
        <v xml:space="preserve"> </v>
      </c>
      <c r="J2" s="151" t="str">
        <f>IF('Monthly Statistics'!J$5&gt;0,'Monthly Statistics'!J$5," ")</f>
        <v xml:space="preserve"> </v>
      </c>
      <c r="K2" s="151" t="str">
        <f>IF('Monthly Statistics'!K$5&gt;0,'Monthly Statistics'!K$5," ")</f>
        <v xml:space="preserve"> </v>
      </c>
      <c r="L2" s="151" t="str">
        <f>IF('Monthly Statistics'!L$5&gt;0,'Monthly Statistics'!L$5," ")</f>
        <v xml:space="preserve"> </v>
      </c>
      <c r="M2" s="151" t="str">
        <f>IF('Monthly Statistics'!M$5&gt;0,'Monthly Statistics'!M$5," ")</f>
        <v xml:space="preserve"> </v>
      </c>
      <c r="N2" s="151" t="str">
        <f>IF('Monthly Statistics'!N$5&gt;0,'Monthly Statistics'!N$5," ")</f>
        <v xml:space="preserve"> </v>
      </c>
      <c r="O2" s="151" t="str">
        <f>IF('Monthly Statistics'!O$5&gt;0,'Monthly Statistics'!O$5," ")</f>
        <v xml:space="preserve"> </v>
      </c>
      <c r="P2" s="151" t="str">
        <f>IF('Monthly Statistics'!P$5&gt;0,'Monthly Statistics'!P$5," ")</f>
        <v xml:space="preserve"> </v>
      </c>
      <c r="Q2" s="151" t="str">
        <f>IF('Monthly Statistics'!Q$5&gt;0,'Monthly Statistics'!Q$5," ")</f>
        <v xml:space="preserve"> </v>
      </c>
      <c r="R2" s="151" t="str">
        <f>IF('Monthly Statistics'!R$5&gt;0,'Monthly Statistics'!R$5," ")</f>
        <v xml:space="preserve"> </v>
      </c>
      <c r="S2" s="150" t="str">
        <f>IF('Monthly Statistics'!S$5&gt;0,'Monthly Statistics'!S$5," ")</f>
        <v xml:space="preserve"> </v>
      </c>
      <c r="T2" s="150" t="str">
        <f>IF('Monthly Statistics'!T$5&gt;0,'Monthly Statistics'!T$5," ")</f>
        <v xml:space="preserve"> </v>
      </c>
      <c r="U2" s="150" t="str">
        <f>IF('Monthly Statistics'!U$5&gt;0,'Monthly Statistics'!U$5," ")</f>
        <v xml:space="preserve"> </v>
      </c>
      <c r="V2" s="150" t="str">
        <f>IF('Monthly Statistics'!V$5&gt;0,'Monthly Statistics'!V$5," ")</f>
        <v xml:space="preserve"> </v>
      </c>
      <c r="W2" s="150" t="str">
        <f>IF('Monthly Statistics'!W$5&gt;0,'Monthly Statistics'!W$5," ")</f>
        <v xml:space="preserve"> </v>
      </c>
      <c r="X2" s="150" t="str">
        <f>IF('Monthly Statistics'!X$5&gt;0,'Monthly Statistics'!X$5," ")</f>
        <v xml:space="preserve"> </v>
      </c>
      <c r="Y2" s="150" t="e">
        <f>IF('Monthly Statistics'!Y$5&gt;0,'Monthly Statistics'!Y$5," ")</f>
        <v>#REF!</v>
      </c>
      <c r="Z2" s="152" t="e">
        <f>IF('Monthly Statistics'!Z$5&gt;0,'Monthly Statistics'!Z$5," ")</f>
        <v>#REF!</v>
      </c>
      <c r="AA2" s="152" t="e">
        <f>IF('Monthly Statistics'!AA$5&gt;0,'Monthly Statistics'!AA$5," ")</f>
        <v>#REF!</v>
      </c>
      <c r="AB2" s="152" t="e">
        <f>IF('Monthly Statistics'!AB$5&gt;0,'Monthly Statistics'!AB$5," ")</f>
        <v>#REF!</v>
      </c>
      <c r="AC2" s="152" t="e">
        <f>IF('Monthly Statistics'!AC$5&gt;0,'Monthly Statistics'!AC$5," ")</f>
        <v>#REF!</v>
      </c>
      <c r="AD2" s="152" t="e">
        <f>IF('Monthly Statistics'!AD$5&gt;0,'Monthly Statistics'!AD$5," ")</f>
        <v>#REF!</v>
      </c>
      <c r="AE2" s="152" t="e">
        <f>IF('Monthly Statistics'!AE$5&gt;0,'Monthly Statistics'!AE$5," ")</f>
        <v>#REF!</v>
      </c>
      <c r="AF2" s="152" t="e">
        <f>IF('Monthly Statistics'!AF$5&gt;0,'Monthly Statistics'!AF$5," ")</f>
        <v>#REF!</v>
      </c>
      <c r="AG2" s="152" t="str">
        <f>IF('Monthly Statistics'!AG$5&gt;0,'Monthly Statistics'!AG$5," ")</f>
        <v>Refunds From</v>
      </c>
    </row>
    <row r="3" spans="2:33" s="148" customFormat="1" ht="14.25" customHeight="1">
      <c r="B3" s="149">
        <f>'Daily &amp; Weekly Totals'!B6</f>
        <v>43951</v>
      </c>
      <c r="E3" s="152" t="str">
        <f>IF('Monthly Statistics'!E$5&gt;0,'Monthly Statistics'!E6," ")</f>
        <v xml:space="preserve"> </v>
      </c>
      <c r="F3" s="152" t="str">
        <f>IF('Monthly Statistics'!F$5&gt;0,'Monthly Statistics'!F6," ")</f>
        <v xml:space="preserve"> </v>
      </c>
      <c r="G3" s="152" t="str">
        <f>IF('Monthly Statistics'!G$5&gt;0,'Monthly Statistics'!G6," ")</f>
        <v xml:space="preserve"> </v>
      </c>
      <c r="H3" s="152" t="str">
        <f>IF('Monthly Statistics'!H$5&gt;0,'Monthly Statistics'!H6," ")</f>
        <v xml:space="preserve"> </v>
      </c>
      <c r="I3" s="152" t="str">
        <f>IF('Monthly Statistics'!I$5&gt;0,'Monthly Statistics'!I6," ")</f>
        <v xml:space="preserve"> </v>
      </c>
      <c r="J3" s="152" t="str">
        <f>IF('Monthly Statistics'!J$5&gt;0,'Monthly Statistics'!J6," ")</f>
        <v xml:space="preserve"> </v>
      </c>
      <c r="K3" s="152" t="str">
        <f>IF('Monthly Statistics'!K$5&gt;0,'Monthly Statistics'!K6," ")</f>
        <v xml:space="preserve"> </v>
      </c>
      <c r="L3" s="152" t="str">
        <f>IF('Monthly Statistics'!L$5&gt;0,'Monthly Statistics'!L6," ")</f>
        <v xml:space="preserve"> </v>
      </c>
      <c r="M3" s="152" t="str">
        <f>IF('Monthly Statistics'!M$5&gt;0,'Monthly Statistics'!M6," ")</f>
        <v xml:space="preserve"> </v>
      </c>
      <c r="N3" s="152" t="str">
        <f>IF('Monthly Statistics'!N$5&gt;0,'Monthly Statistics'!N6," ")</f>
        <v xml:space="preserve"> </v>
      </c>
      <c r="O3" s="152" t="str">
        <f>IF('Monthly Statistics'!O$5&gt;0,'Monthly Statistics'!O6," ")</f>
        <v xml:space="preserve"> </v>
      </c>
      <c r="P3" s="152" t="str">
        <f>IF('Monthly Statistics'!P$5&gt;0,'Monthly Statistics'!P6," ")</f>
        <v xml:space="preserve"> </v>
      </c>
      <c r="Q3" s="152" t="str">
        <f>IF('Monthly Statistics'!Q$5&gt;0,'Monthly Statistics'!Q6," ")</f>
        <v xml:space="preserve"> </v>
      </c>
      <c r="R3" s="152" t="str">
        <f>IF('Monthly Statistics'!R$5&gt;0,'Monthly Statistics'!R6," ")</f>
        <v xml:space="preserve"> </v>
      </c>
      <c r="S3" s="152" t="str">
        <f>IF('Monthly Statistics'!S$5&gt;0,'Monthly Statistics'!S6," ")</f>
        <v xml:space="preserve"> </v>
      </c>
      <c r="T3" s="152" t="str">
        <f>IF('Monthly Statistics'!T$5&gt;0,'Monthly Statistics'!T6," ")</f>
        <v xml:space="preserve"> </v>
      </c>
      <c r="U3" s="152" t="str">
        <f>IF('Monthly Statistics'!U$5&gt;0,'Monthly Statistics'!U6," ")</f>
        <v xml:space="preserve"> </v>
      </c>
      <c r="V3" s="152" t="str">
        <f>IF('Monthly Statistics'!V$5&gt;0,'Monthly Statistics'!V6," ")</f>
        <v xml:space="preserve"> </v>
      </c>
      <c r="W3" s="152" t="str">
        <f>IF('Monthly Statistics'!W$5&gt;0,'Monthly Statistics'!W6," ")</f>
        <v xml:space="preserve"> </v>
      </c>
      <c r="X3" s="152" t="str">
        <f>IF('Monthly Statistics'!X$5&gt;0,'Monthly Statistics'!X6," ")</f>
        <v xml:space="preserve"> </v>
      </c>
      <c r="Y3" s="152" t="e">
        <f>IF('Monthly Statistics'!Y$5&gt;0,'Monthly Statistics'!Y6," ")</f>
        <v>#REF!</v>
      </c>
      <c r="Z3" s="152" t="e">
        <f>IF('Monthly Statistics'!Z$5&gt;0,'Monthly Statistics'!Z6," ")</f>
        <v>#REF!</v>
      </c>
      <c r="AA3" s="152" t="e">
        <f>IF('Monthly Statistics'!AA$5&gt;0,'Monthly Statistics'!AA6," ")</f>
        <v>#REF!</v>
      </c>
      <c r="AB3" s="152" t="e">
        <f>IF('Monthly Statistics'!AB$5&gt;0,'Monthly Statistics'!AB6," ")</f>
        <v>#REF!</v>
      </c>
      <c r="AC3" s="152" t="e">
        <f>IF('Monthly Statistics'!AC$5&gt;0,'Monthly Statistics'!AC6," ")</f>
        <v>#REF!</v>
      </c>
      <c r="AD3" s="152" t="e">
        <f>IF('Monthly Statistics'!AD$5&gt;0,'Monthly Statistics'!AD6," ")</f>
        <v>#REF!</v>
      </c>
      <c r="AE3" s="152" t="e">
        <f>IF('Monthly Statistics'!AE$5&gt;0,'Monthly Statistics'!AE6," ")</f>
        <v>#REF!</v>
      </c>
      <c r="AF3" s="152" t="e">
        <f>IF('Monthly Statistics'!AF$5&gt;0,'Monthly Statistics'!AF6," ")</f>
        <v>#REF!</v>
      </c>
      <c r="AG3" s="152" t="str">
        <f>IF('Monthly Statistics'!AG$5&gt;0,'Monthly Statistics'!AG6," ")</f>
        <v>Other Stores</v>
      </c>
    </row>
    <row r="4" spans="2:33" s="148" customFormat="1" ht="14.25" customHeight="1">
      <c r="E4" s="153">
        <f t="shared" ref="E4:AG4" si="0">SUMIF($C$6:$C$47,"&gt;="&amp;$B$2,E6:E47)-SUMIF($C$6:$C$47,"&gt;"&amp;$B$3,E6:E47)</f>
        <v>0</v>
      </c>
      <c r="F4" s="153">
        <f t="shared" si="0"/>
        <v>0</v>
      </c>
      <c r="G4" s="153">
        <f t="shared" si="0"/>
        <v>0</v>
      </c>
      <c r="H4" s="153">
        <f t="shared" si="0"/>
        <v>0</v>
      </c>
      <c r="I4" s="153">
        <f t="shared" si="0"/>
        <v>0</v>
      </c>
      <c r="J4" s="153">
        <f t="shared" si="0"/>
        <v>0</v>
      </c>
      <c r="K4" s="153">
        <f t="shared" si="0"/>
        <v>0</v>
      </c>
      <c r="L4" s="153">
        <f t="shared" si="0"/>
        <v>0</v>
      </c>
      <c r="M4" s="153">
        <f t="shared" si="0"/>
        <v>0</v>
      </c>
      <c r="N4" s="153">
        <f t="shared" si="0"/>
        <v>0</v>
      </c>
      <c r="O4" s="153">
        <f t="shared" si="0"/>
        <v>0</v>
      </c>
      <c r="P4" s="153">
        <f t="shared" si="0"/>
        <v>0</v>
      </c>
      <c r="Q4" s="153">
        <f t="shared" si="0"/>
        <v>0</v>
      </c>
      <c r="R4" s="153">
        <f t="shared" si="0"/>
        <v>0</v>
      </c>
      <c r="S4" s="153">
        <f t="shared" si="0"/>
        <v>0</v>
      </c>
      <c r="T4" s="153">
        <f t="shared" si="0"/>
        <v>0</v>
      </c>
      <c r="U4" s="153">
        <f t="shared" si="0"/>
        <v>0</v>
      </c>
      <c r="V4" s="153">
        <f t="shared" si="0"/>
        <v>0</v>
      </c>
      <c r="W4" s="153">
        <f t="shared" si="0"/>
        <v>0</v>
      </c>
      <c r="X4" s="153">
        <f t="shared" si="0"/>
        <v>0</v>
      </c>
      <c r="Y4" s="153">
        <f t="shared" si="0"/>
        <v>0</v>
      </c>
      <c r="Z4" s="153">
        <f t="shared" si="0"/>
        <v>0</v>
      </c>
      <c r="AA4" s="153">
        <f t="shared" si="0"/>
        <v>0</v>
      </c>
      <c r="AB4" s="153">
        <f t="shared" si="0"/>
        <v>0</v>
      </c>
      <c r="AC4" s="153">
        <f t="shared" si="0"/>
        <v>0</v>
      </c>
      <c r="AD4" s="153">
        <f t="shared" si="0"/>
        <v>0</v>
      </c>
      <c r="AE4" s="153">
        <f t="shared" si="0"/>
        <v>0</v>
      </c>
      <c r="AF4" s="153">
        <f t="shared" si="0"/>
        <v>0</v>
      </c>
      <c r="AG4" s="153">
        <f t="shared" si="0"/>
        <v>0</v>
      </c>
    </row>
    <row r="5" spans="2:33" s="25" customFormat="1" ht="14.25" customHeight="1"/>
    <row r="6" spans="2:33" s="25" customFormat="1" ht="14.25" customHeight="1">
      <c r="B6" s="154" t="s">
        <v>26</v>
      </c>
      <c r="C6" s="155">
        <f>'Daily &amp; Weekly Totals'!E5</f>
        <v>43920</v>
      </c>
      <c r="E6" s="10" t="str">
        <f>IF(Friedman!I3=0,"",Friedman!I3)</f>
        <v/>
      </c>
      <c r="F6" s="10" t="str">
        <f>IF(Friedman!M3=0,"",Friedman!M3)</f>
        <v/>
      </c>
      <c r="G6" s="10" t="str">
        <f>IF(Friedman!Q3=0,"",Friedman!Q3)</f>
        <v/>
      </c>
      <c r="H6" s="10" t="str">
        <f>IF(Friedman!U3=0,"",Friedman!U3)</f>
        <v/>
      </c>
      <c r="I6" s="10" t="str">
        <f>IF(Friedman!Y3=0,"",Friedman!Y3)</f>
        <v/>
      </c>
      <c r="J6" s="10" t="str">
        <f>IF(Friedman!AC3=0,"",Friedman!AC3)</f>
        <v/>
      </c>
      <c r="K6" s="10" t="str">
        <f>IF(Friedman!AG3=0,"",Friedman!AG3)</f>
        <v/>
      </c>
      <c r="L6" s="10" t="str">
        <f>IF(Friedman!AK3=0,"",Friedman!AK3)</f>
        <v/>
      </c>
      <c r="M6" s="10" t="str">
        <f>IF(Friedman!AO3=0,"",Friedman!AO3)</f>
        <v/>
      </c>
      <c r="N6" s="10" t="str">
        <f>IF(Friedman!AS3=0,"",Friedman!AS3)</f>
        <v/>
      </c>
      <c r="O6" s="10" t="str">
        <f>IF(Friedman!AW3=0,"",Friedman!AW3)</f>
        <v/>
      </c>
      <c r="P6" s="10" t="str">
        <f>IF(Friedman!BA3=0,"",Friedman!BA3)</f>
        <v/>
      </c>
      <c r="Q6" s="10" t="str">
        <f>IF(Friedman!BE3=0,"",Friedman!BE3)</f>
        <v/>
      </c>
      <c r="R6" s="10" t="str">
        <f>IF(Friedman!BI3=0,"",Friedman!BI3)</f>
        <v/>
      </c>
      <c r="S6" s="10" t="str">
        <f>IF(Friedman!BM3=0,"",Friedman!BM3)</f>
        <v/>
      </c>
      <c r="T6" s="10" t="str">
        <f>IF(Friedman!BQ3=0,"",Friedman!BQ3)</f>
        <v/>
      </c>
      <c r="U6" s="10" t="str">
        <f>IF(Friedman!BU3=0,"",Friedman!BU3)</f>
        <v/>
      </c>
      <c r="V6" s="10" t="str">
        <f>IF(Friedman!BY3=0,"",Friedman!BY3)</f>
        <v/>
      </c>
      <c r="W6" s="10" t="str">
        <f>IF(Friedman!CC3=0,"",Friedman!CC3)</f>
        <v/>
      </c>
      <c r="X6" s="10" t="str">
        <f>IF(Friedman!CG3=0,"",Friedman!CG3)</f>
        <v/>
      </c>
      <c r="Y6" s="10"/>
      <c r="Z6" s="10"/>
      <c r="AA6" s="10"/>
      <c r="AB6" s="10"/>
      <c r="AC6" s="10"/>
      <c r="AD6" s="10"/>
      <c r="AE6" s="10"/>
      <c r="AF6" s="10"/>
      <c r="AG6" s="10" t="str">
        <f>IF(Friedman!D3=0,"",Friedman!D3)</f>
        <v/>
      </c>
    </row>
    <row r="7" spans="2:33" s="25" customFormat="1" ht="14.25" customHeight="1">
      <c r="B7" s="154" t="s">
        <v>27</v>
      </c>
      <c r="C7" s="155">
        <f>'Daily &amp; Weekly Totals'!E6</f>
        <v>43921</v>
      </c>
      <c r="E7" s="10" t="str">
        <f>IF(Friedman!I4=0,"",Friedman!I4)</f>
        <v/>
      </c>
      <c r="F7" s="10" t="str">
        <f>IF(Friedman!M4=0,"",Friedman!M4)</f>
        <v/>
      </c>
      <c r="G7" s="10" t="str">
        <f>IF(Friedman!Q4=0,"",Friedman!Q4)</f>
        <v/>
      </c>
      <c r="H7" s="10" t="str">
        <f>IF(Friedman!U4=0,"",Friedman!U4)</f>
        <v/>
      </c>
      <c r="I7" s="10" t="str">
        <f>IF(Friedman!Y4=0,"",Friedman!Y4)</f>
        <v/>
      </c>
      <c r="J7" s="10" t="str">
        <f>IF(Friedman!AC4=0,"",Friedman!AC4)</f>
        <v/>
      </c>
      <c r="K7" s="10" t="str">
        <f>IF(Friedman!AG4=0,"",Friedman!AG4)</f>
        <v/>
      </c>
      <c r="L7" s="10" t="str">
        <f>IF(Friedman!AK4=0,"",Friedman!AK4)</f>
        <v/>
      </c>
      <c r="M7" s="10" t="str">
        <f>IF(Friedman!AO4=0,"",Friedman!AO4)</f>
        <v/>
      </c>
      <c r="N7" s="10" t="str">
        <f>IF(Friedman!AS4=0,"",Friedman!AS4)</f>
        <v/>
      </c>
      <c r="O7" s="10" t="str">
        <f>IF(Friedman!AW4=0,"",Friedman!AW4)</f>
        <v/>
      </c>
      <c r="P7" s="10" t="str">
        <f>IF(Friedman!BA4=0,"",Friedman!BA4)</f>
        <v/>
      </c>
      <c r="Q7" s="10" t="str">
        <f>IF(Friedman!BE4=0,"",Friedman!BE4)</f>
        <v/>
      </c>
      <c r="R7" s="10" t="str">
        <f>IF(Friedman!BI4=0,"",Friedman!BI4)</f>
        <v/>
      </c>
      <c r="S7" s="10" t="str">
        <f>IF(Friedman!BM4=0,"",Friedman!BM4)</f>
        <v/>
      </c>
      <c r="T7" s="10" t="str">
        <f>IF(Friedman!BQ4=0,"",Friedman!BQ4)</f>
        <v/>
      </c>
      <c r="U7" s="10" t="str">
        <f>IF(Friedman!BU4=0,"",Friedman!BU4)</f>
        <v/>
      </c>
      <c r="V7" s="10" t="str">
        <f>IF(Friedman!BY4=0,"",Friedman!BY4)</f>
        <v/>
      </c>
      <c r="W7" s="10" t="str">
        <f>IF(Friedman!CC4=0,"",Friedman!CC4)</f>
        <v/>
      </c>
      <c r="X7" s="10" t="str">
        <f>IF(Friedman!CG4=0,"",Friedman!CG4)</f>
        <v/>
      </c>
      <c r="Y7" s="10"/>
      <c r="Z7" s="10"/>
      <c r="AA7" s="10"/>
      <c r="AB7" s="10"/>
      <c r="AC7" s="10"/>
      <c r="AD7" s="10"/>
      <c r="AE7" s="10"/>
      <c r="AF7" s="10"/>
      <c r="AG7" s="10" t="str">
        <f>IF(Friedman!D4=0,"",Friedman!D4)</f>
        <v/>
      </c>
    </row>
    <row r="8" spans="2:33" s="25" customFormat="1" ht="14.25" customHeight="1">
      <c r="B8" s="154" t="s">
        <v>28</v>
      </c>
      <c r="C8" s="155">
        <f>'Daily &amp; Weekly Totals'!E7</f>
        <v>43922</v>
      </c>
      <c r="E8" s="10" t="str">
        <f>IF(Friedman!I5=0,"",Friedman!I5)</f>
        <v/>
      </c>
      <c r="F8" s="10" t="str">
        <f>IF(Friedman!M5=0,"",Friedman!M5)</f>
        <v/>
      </c>
      <c r="G8" s="10" t="str">
        <f>IF(Friedman!Q5=0,"",Friedman!Q5)</f>
        <v/>
      </c>
      <c r="H8" s="10" t="str">
        <f>IF(Friedman!U5=0,"",Friedman!U5)</f>
        <v/>
      </c>
      <c r="I8" s="10" t="str">
        <f>IF(Friedman!Y5=0,"",Friedman!Y5)</f>
        <v/>
      </c>
      <c r="J8" s="10" t="str">
        <f>IF(Friedman!AC5=0,"",Friedman!AC5)</f>
        <v/>
      </c>
      <c r="K8" s="10" t="str">
        <f>IF(Friedman!AG5=0,"",Friedman!AG5)</f>
        <v/>
      </c>
      <c r="L8" s="10" t="str">
        <f>IF(Friedman!AK5=0,"",Friedman!AK5)</f>
        <v/>
      </c>
      <c r="M8" s="10" t="str">
        <f>IF(Friedman!AO5=0,"",Friedman!AO5)</f>
        <v/>
      </c>
      <c r="N8" s="10" t="str">
        <f>IF(Friedman!AS5=0,"",Friedman!AS5)</f>
        <v/>
      </c>
      <c r="O8" s="10" t="str">
        <f>IF(Friedman!AW5=0,"",Friedman!AW5)</f>
        <v/>
      </c>
      <c r="P8" s="10" t="str">
        <f>IF(Friedman!BA5=0,"",Friedman!BA5)</f>
        <v/>
      </c>
      <c r="Q8" s="10" t="str">
        <f>IF(Friedman!BE5=0,"",Friedman!BE5)</f>
        <v/>
      </c>
      <c r="R8" s="10" t="str">
        <f>IF(Friedman!BI5=0,"",Friedman!BI5)</f>
        <v/>
      </c>
      <c r="S8" s="10" t="str">
        <f>IF(Friedman!BM5=0,"",Friedman!BM5)</f>
        <v/>
      </c>
      <c r="T8" s="10" t="str">
        <f>IF(Friedman!BQ5=0,"",Friedman!BQ5)</f>
        <v/>
      </c>
      <c r="U8" s="10" t="str">
        <f>IF(Friedman!BU5=0,"",Friedman!BU5)</f>
        <v/>
      </c>
      <c r="V8" s="10" t="str">
        <f>IF(Friedman!BY5=0,"",Friedman!BY5)</f>
        <v/>
      </c>
      <c r="W8" s="10" t="str">
        <f>IF(Friedman!CC5=0,"",Friedman!CC5)</f>
        <v/>
      </c>
      <c r="X8" s="10" t="str">
        <f>IF(Friedman!CG5=0,"",Friedman!CG5)</f>
        <v/>
      </c>
      <c r="Y8" s="10"/>
      <c r="Z8" s="10"/>
      <c r="AA8" s="10"/>
      <c r="AB8" s="10"/>
      <c r="AC8" s="10"/>
      <c r="AD8" s="10"/>
      <c r="AE8" s="10"/>
      <c r="AF8" s="10"/>
      <c r="AG8" s="10" t="str">
        <f>IF(Friedman!D5=0,"",Friedman!D5)</f>
        <v/>
      </c>
    </row>
    <row r="9" spans="2:33" s="25" customFormat="1" ht="14.25" customHeight="1">
      <c r="B9" s="154" t="s">
        <v>29</v>
      </c>
      <c r="C9" s="155">
        <f>'Daily &amp; Weekly Totals'!E8</f>
        <v>43923</v>
      </c>
      <c r="E9" s="10" t="str">
        <f>IF(Friedman!I6=0,"",Friedman!I6)</f>
        <v/>
      </c>
      <c r="F9" s="10" t="str">
        <f>IF(Friedman!M6=0,"",Friedman!M6)</f>
        <v/>
      </c>
      <c r="G9" s="10" t="str">
        <f>IF(Friedman!Q6=0,"",Friedman!Q6)</f>
        <v/>
      </c>
      <c r="H9" s="10" t="str">
        <f>IF(Friedman!U6=0,"",Friedman!U6)</f>
        <v/>
      </c>
      <c r="I9" s="10" t="str">
        <f>IF(Friedman!Y6=0,"",Friedman!Y6)</f>
        <v/>
      </c>
      <c r="J9" s="10" t="str">
        <f>IF(Friedman!AC6=0,"",Friedman!AC6)</f>
        <v/>
      </c>
      <c r="K9" s="10" t="str">
        <f>IF(Friedman!AG6=0,"",Friedman!AG6)</f>
        <v/>
      </c>
      <c r="L9" s="10" t="str">
        <f>IF(Friedman!AK6=0,"",Friedman!AK6)</f>
        <v/>
      </c>
      <c r="M9" s="10" t="str">
        <f>IF(Friedman!AO6=0,"",Friedman!AO6)</f>
        <v/>
      </c>
      <c r="N9" s="10" t="str">
        <f>IF(Friedman!AS6=0,"",Friedman!AS6)</f>
        <v/>
      </c>
      <c r="O9" s="10" t="str">
        <f>IF(Friedman!AW6=0,"",Friedman!AW6)</f>
        <v/>
      </c>
      <c r="P9" s="10" t="str">
        <f>IF(Friedman!BA6=0,"",Friedman!BA6)</f>
        <v/>
      </c>
      <c r="Q9" s="10" t="str">
        <f>IF(Friedman!BE6=0,"",Friedman!BE6)</f>
        <v/>
      </c>
      <c r="R9" s="10" t="str">
        <f>IF(Friedman!BI6=0,"",Friedman!BI6)</f>
        <v/>
      </c>
      <c r="S9" s="10" t="str">
        <f>IF(Friedman!BM6=0,"",Friedman!BM6)</f>
        <v/>
      </c>
      <c r="T9" s="10" t="str">
        <f>IF(Friedman!BQ6=0,"",Friedman!BQ6)</f>
        <v/>
      </c>
      <c r="U9" s="10" t="str">
        <f>IF(Friedman!BU6=0,"",Friedman!BU6)</f>
        <v/>
      </c>
      <c r="V9" s="10" t="str">
        <f>IF(Friedman!BY6=0,"",Friedman!BY6)</f>
        <v/>
      </c>
      <c r="W9" s="10" t="str">
        <f>IF(Friedman!CC6=0,"",Friedman!CC6)</f>
        <v/>
      </c>
      <c r="X9" s="10" t="str">
        <f>IF(Friedman!CG6=0,"",Friedman!CG6)</f>
        <v/>
      </c>
      <c r="Y9" s="10"/>
      <c r="Z9" s="10"/>
      <c r="AA9" s="10"/>
      <c r="AB9" s="10"/>
      <c r="AC9" s="10"/>
      <c r="AD9" s="10"/>
      <c r="AE9" s="10"/>
      <c r="AF9" s="10"/>
      <c r="AG9" s="10" t="str">
        <f>IF(Friedman!D6=0,"",Friedman!D6)</f>
        <v/>
      </c>
    </row>
    <row r="10" spans="2:33" s="25" customFormat="1" ht="14.25" customHeight="1">
      <c r="B10" s="154" t="s">
        <v>30</v>
      </c>
      <c r="C10" s="155">
        <f>'Daily &amp; Weekly Totals'!E9</f>
        <v>43924</v>
      </c>
      <c r="E10" s="10" t="str">
        <f>IF(Friedman!I7=0,"",Friedman!I7)</f>
        <v/>
      </c>
      <c r="F10" s="10" t="str">
        <f>IF(Friedman!M7=0,"",Friedman!M7)</f>
        <v/>
      </c>
      <c r="G10" s="10" t="str">
        <f>IF(Friedman!Q7=0,"",Friedman!Q7)</f>
        <v/>
      </c>
      <c r="H10" s="10" t="str">
        <f>IF(Friedman!U7=0,"",Friedman!U7)</f>
        <v/>
      </c>
      <c r="I10" s="10" t="str">
        <f>IF(Friedman!Y7=0,"",Friedman!Y7)</f>
        <v/>
      </c>
      <c r="J10" s="10" t="str">
        <f>IF(Friedman!AC7=0,"",Friedman!AC7)</f>
        <v/>
      </c>
      <c r="K10" s="10" t="str">
        <f>IF(Friedman!AG7=0,"",Friedman!AG7)</f>
        <v/>
      </c>
      <c r="L10" s="10" t="str">
        <f>IF(Friedman!AK7=0,"",Friedman!AK7)</f>
        <v/>
      </c>
      <c r="M10" s="10" t="str">
        <f>IF(Friedman!AO7=0,"",Friedman!AO7)</f>
        <v/>
      </c>
      <c r="N10" s="10" t="str">
        <f>IF(Friedman!AS7=0,"",Friedman!AS7)</f>
        <v/>
      </c>
      <c r="O10" s="10" t="str">
        <f>IF(Friedman!AW7=0,"",Friedman!AW7)</f>
        <v/>
      </c>
      <c r="P10" s="10" t="str">
        <f>IF(Friedman!BA7=0,"",Friedman!BA7)</f>
        <v/>
      </c>
      <c r="Q10" s="10" t="str">
        <f>IF(Friedman!BE7=0,"",Friedman!BE7)</f>
        <v/>
      </c>
      <c r="R10" s="10" t="str">
        <f>IF(Friedman!BI7=0,"",Friedman!BI7)</f>
        <v/>
      </c>
      <c r="S10" s="10" t="str">
        <f>IF(Friedman!BM7=0,"",Friedman!BM7)</f>
        <v/>
      </c>
      <c r="T10" s="10" t="str">
        <f>IF(Friedman!BQ7=0,"",Friedman!BQ7)</f>
        <v/>
      </c>
      <c r="U10" s="10" t="str">
        <f>IF(Friedman!BU7=0,"",Friedman!BU7)</f>
        <v/>
      </c>
      <c r="V10" s="10" t="str">
        <f>IF(Friedman!BY7=0,"",Friedman!BY7)</f>
        <v/>
      </c>
      <c r="W10" s="10" t="str">
        <f>IF(Friedman!CC7=0,"",Friedman!CC7)</f>
        <v/>
      </c>
      <c r="X10" s="10" t="str">
        <f>IF(Friedman!CG7=0,"",Friedman!CG7)</f>
        <v/>
      </c>
      <c r="Y10" s="10"/>
      <c r="Z10" s="10"/>
      <c r="AA10" s="10"/>
      <c r="AB10" s="10"/>
      <c r="AC10" s="10"/>
      <c r="AD10" s="10"/>
      <c r="AE10" s="10"/>
      <c r="AF10" s="10"/>
      <c r="AG10" s="10" t="str">
        <f>IF(Friedman!D7=0,"",Friedman!D7)</f>
        <v/>
      </c>
    </row>
    <row r="11" spans="2:33" s="25" customFormat="1" ht="14.25" customHeight="1">
      <c r="B11" s="154" t="s">
        <v>31</v>
      </c>
      <c r="C11" s="155">
        <f>'Daily &amp; Weekly Totals'!E10</f>
        <v>43925</v>
      </c>
      <c r="E11" s="10" t="str">
        <f>IF(Friedman!I8=0,"",Friedman!I8)</f>
        <v/>
      </c>
      <c r="F11" s="10" t="str">
        <f>IF(Friedman!M8=0,"",Friedman!M8)</f>
        <v/>
      </c>
      <c r="G11" s="10" t="str">
        <f>IF(Friedman!Q8=0,"",Friedman!Q8)</f>
        <v/>
      </c>
      <c r="H11" s="10" t="str">
        <f>IF(Friedman!U8=0,"",Friedman!U8)</f>
        <v/>
      </c>
      <c r="I11" s="10" t="str">
        <f>IF(Friedman!Y8=0,"",Friedman!Y8)</f>
        <v/>
      </c>
      <c r="J11" s="10" t="str">
        <f>IF(Friedman!AC8=0,"",Friedman!AC8)</f>
        <v/>
      </c>
      <c r="K11" s="10" t="str">
        <f>IF(Friedman!AG8=0,"",Friedman!AG8)</f>
        <v/>
      </c>
      <c r="L11" s="10" t="str">
        <f>IF(Friedman!AK8=0,"",Friedman!AK8)</f>
        <v/>
      </c>
      <c r="M11" s="10" t="str">
        <f>IF(Friedman!AO8=0,"",Friedman!AO8)</f>
        <v/>
      </c>
      <c r="N11" s="10" t="str">
        <f>IF(Friedman!AS8=0,"",Friedman!AS8)</f>
        <v/>
      </c>
      <c r="O11" s="10" t="str">
        <f>IF(Friedman!AW8=0,"",Friedman!AW8)</f>
        <v/>
      </c>
      <c r="P11" s="10" t="str">
        <f>IF(Friedman!BA8=0,"",Friedman!BA8)</f>
        <v/>
      </c>
      <c r="Q11" s="10" t="str">
        <f>IF(Friedman!BE8=0,"",Friedman!BE8)</f>
        <v/>
      </c>
      <c r="R11" s="10" t="str">
        <f>IF(Friedman!BI8=0,"",Friedman!BI8)</f>
        <v/>
      </c>
      <c r="S11" s="10" t="str">
        <f>IF(Friedman!BM8=0,"",Friedman!BM8)</f>
        <v/>
      </c>
      <c r="T11" s="10" t="str">
        <f>IF(Friedman!BQ8=0,"",Friedman!BQ8)</f>
        <v/>
      </c>
      <c r="U11" s="10" t="str">
        <f>IF(Friedman!BU8=0,"",Friedman!BU8)</f>
        <v/>
      </c>
      <c r="V11" s="10" t="str">
        <f>IF(Friedman!BY8=0,"",Friedman!BY8)</f>
        <v/>
      </c>
      <c r="W11" s="10" t="str">
        <f>IF(Friedman!CC8=0,"",Friedman!CC8)</f>
        <v/>
      </c>
      <c r="X11" s="10" t="str">
        <f>IF(Friedman!CG8=0,"",Friedman!CG8)</f>
        <v/>
      </c>
      <c r="Y11" s="10"/>
      <c r="Z11" s="10"/>
      <c r="AA11" s="10"/>
      <c r="AB11" s="10"/>
      <c r="AC11" s="10"/>
      <c r="AD11" s="10"/>
      <c r="AE11" s="10"/>
      <c r="AF11" s="10"/>
      <c r="AG11" s="10" t="str">
        <f>IF(Friedman!D8=0,"",Friedman!D8)</f>
        <v/>
      </c>
    </row>
    <row r="12" spans="2:33" s="25" customFormat="1" ht="14.25" customHeight="1">
      <c r="B12" s="154" t="s">
        <v>32</v>
      </c>
      <c r="C12" s="155">
        <f>'Daily &amp; Weekly Totals'!E11</f>
        <v>43926</v>
      </c>
      <c r="E12" s="10" t="str">
        <f>IF(Friedman!I9=0,"",Friedman!I9)</f>
        <v/>
      </c>
      <c r="F12" s="10" t="str">
        <f>IF(Friedman!M9=0,"",Friedman!M9)</f>
        <v/>
      </c>
      <c r="G12" s="10" t="str">
        <f>IF(Friedman!Q9=0,"",Friedman!Q9)</f>
        <v/>
      </c>
      <c r="H12" s="10" t="str">
        <f>IF(Friedman!U9=0,"",Friedman!U9)</f>
        <v/>
      </c>
      <c r="I12" s="10" t="str">
        <f>IF(Friedman!Y9=0,"",Friedman!Y9)</f>
        <v/>
      </c>
      <c r="J12" s="10" t="str">
        <f>IF(Friedman!AC9=0,"",Friedman!AC9)</f>
        <v/>
      </c>
      <c r="K12" s="10" t="str">
        <f>IF(Friedman!AG9=0,"",Friedman!AG9)</f>
        <v/>
      </c>
      <c r="L12" s="10" t="str">
        <f>IF(Friedman!AK9=0,"",Friedman!AK9)</f>
        <v/>
      </c>
      <c r="M12" s="10" t="str">
        <f>IF(Friedman!AO9=0,"",Friedman!AO9)</f>
        <v/>
      </c>
      <c r="N12" s="10" t="str">
        <f>IF(Friedman!AS9=0,"",Friedman!AS9)</f>
        <v/>
      </c>
      <c r="O12" s="10" t="str">
        <f>IF(Friedman!AW9=0,"",Friedman!AW9)</f>
        <v/>
      </c>
      <c r="P12" s="10" t="str">
        <f>IF(Friedman!BA9=0,"",Friedman!BA9)</f>
        <v/>
      </c>
      <c r="Q12" s="10" t="str">
        <f>IF(Friedman!BE9=0,"",Friedman!BE9)</f>
        <v/>
      </c>
      <c r="R12" s="10" t="str">
        <f>IF(Friedman!BI9=0,"",Friedman!BI9)</f>
        <v/>
      </c>
      <c r="S12" s="10" t="str">
        <f>IF(Friedman!BM9=0,"",Friedman!BM9)</f>
        <v/>
      </c>
      <c r="T12" s="10" t="str">
        <f>IF(Friedman!BQ9=0,"",Friedman!BQ9)</f>
        <v/>
      </c>
      <c r="U12" s="10" t="str">
        <f>IF(Friedman!BU9=0,"",Friedman!BU9)</f>
        <v/>
      </c>
      <c r="V12" s="10" t="str">
        <f>IF(Friedman!BY9=0,"",Friedman!BY9)</f>
        <v/>
      </c>
      <c r="W12" s="10" t="str">
        <f>IF(Friedman!CC9=0,"",Friedman!CC9)</f>
        <v/>
      </c>
      <c r="X12" s="10" t="str">
        <f>IF(Friedman!CG9=0,"",Friedman!CG9)</f>
        <v/>
      </c>
      <c r="Y12" s="10"/>
      <c r="Z12" s="10"/>
      <c r="AA12" s="10"/>
      <c r="AB12" s="10"/>
      <c r="AC12" s="10"/>
      <c r="AD12" s="10"/>
      <c r="AE12" s="10"/>
      <c r="AF12" s="10"/>
      <c r="AG12" s="10" t="str">
        <f>IF(Friedman!D9=0,"",Friedman!D9)</f>
        <v/>
      </c>
    </row>
    <row r="13" spans="2:33" s="25" customFormat="1" ht="14.25" customHeight="1">
      <c r="B13" s="154" t="s">
        <v>26</v>
      </c>
      <c r="C13" s="155">
        <f>'Daily &amp; Weekly Totals'!E15</f>
        <v>43927</v>
      </c>
      <c r="E13" s="10" t="str">
        <f>IF(Friedman!I10=0,"",Friedman!I10)</f>
        <v/>
      </c>
      <c r="F13" s="10" t="str">
        <f>IF(Friedman!M10=0,"",Friedman!M10)</f>
        <v/>
      </c>
      <c r="G13" s="10" t="str">
        <f>IF(Friedman!Q10=0,"",Friedman!Q10)</f>
        <v/>
      </c>
      <c r="H13" s="10" t="str">
        <f>IF(Friedman!U10=0,"",Friedman!U10)</f>
        <v/>
      </c>
      <c r="I13" s="10" t="str">
        <f>IF(Friedman!Y10=0,"",Friedman!Y10)</f>
        <v/>
      </c>
      <c r="J13" s="10" t="str">
        <f>IF(Friedman!AC10=0,"",Friedman!AC10)</f>
        <v/>
      </c>
      <c r="K13" s="10" t="str">
        <f>IF(Friedman!AG10=0,"",Friedman!AG10)</f>
        <v/>
      </c>
      <c r="L13" s="10" t="str">
        <f>IF(Friedman!AK10=0,"",Friedman!AK10)</f>
        <v/>
      </c>
      <c r="M13" s="10" t="str">
        <f>IF(Friedman!AO10=0,"",Friedman!AO10)</f>
        <v/>
      </c>
      <c r="N13" s="10" t="str">
        <f>IF(Friedman!AS10=0,"",Friedman!AS10)</f>
        <v/>
      </c>
      <c r="O13" s="10" t="str">
        <f>IF(Friedman!AW10=0,"",Friedman!AW10)</f>
        <v/>
      </c>
      <c r="P13" s="10" t="str">
        <f>IF(Friedman!BA10=0,"",Friedman!BA10)</f>
        <v/>
      </c>
      <c r="Q13" s="10" t="str">
        <f>IF(Friedman!BE10=0,"",Friedman!BE10)</f>
        <v/>
      </c>
      <c r="R13" s="10" t="str">
        <f>IF(Friedman!BI10=0,"",Friedman!BI10)</f>
        <v/>
      </c>
      <c r="S13" s="10" t="str">
        <f>IF(Friedman!BM10=0,"",Friedman!BM10)</f>
        <v/>
      </c>
      <c r="T13" s="10" t="str">
        <f>IF(Friedman!BQ10=0,"",Friedman!BQ10)</f>
        <v/>
      </c>
      <c r="U13" s="10" t="str">
        <f>IF(Friedman!BU10=0,"",Friedman!BU10)</f>
        <v/>
      </c>
      <c r="V13" s="10" t="str">
        <f>IF(Friedman!BY10=0,"",Friedman!BY10)</f>
        <v/>
      </c>
      <c r="W13" s="10" t="str">
        <f>IF(Friedman!CC10=0,"",Friedman!CC10)</f>
        <v/>
      </c>
      <c r="X13" s="10" t="str">
        <f>IF(Friedman!CG10=0,"",Friedman!CG10)</f>
        <v/>
      </c>
      <c r="Y13" s="10"/>
      <c r="Z13" s="10"/>
      <c r="AA13" s="10"/>
      <c r="AB13" s="10"/>
      <c r="AC13" s="10"/>
      <c r="AD13" s="10"/>
      <c r="AE13" s="10"/>
      <c r="AF13" s="10"/>
      <c r="AG13" s="10" t="str">
        <f>IF(Friedman!D10=0,"",Friedman!D10)</f>
        <v/>
      </c>
    </row>
    <row r="14" spans="2:33" s="25" customFormat="1" ht="14.25" customHeight="1">
      <c r="B14" s="154" t="s">
        <v>27</v>
      </c>
      <c r="C14" s="155">
        <f>'Daily &amp; Weekly Totals'!E16</f>
        <v>43928</v>
      </c>
      <c r="E14" s="10" t="str">
        <f>IF(Friedman!I11=0,"",Friedman!I11)</f>
        <v/>
      </c>
      <c r="F14" s="10" t="str">
        <f>IF(Friedman!M11=0,"",Friedman!M11)</f>
        <v/>
      </c>
      <c r="G14" s="10" t="str">
        <f>IF(Friedman!Q11=0,"",Friedman!Q11)</f>
        <v/>
      </c>
      <c r="H14" s="10" t="str">
        <f>IF(Friedman!U11=0,"",Friedman!U11)</f>
        <v/>
      </c>
      <c r="I14" s="10" t="str">
        <f>IF(Friedman!Y11=0,"",Friedman!Y11)</f>
        <v/>
      </c>
      <c r="J14" s="10" t="str">
        <f>IF(Friedman!AC11=0,"",Friedman!AC11)</f>
        <v/>
      </c>
      <c r="K14" s="10" t="str">
        <f>IF(Friedman!AG11=0,"",Friedman!AG11)</f>
        <v/>
      </c>
      <c r="L14" s="10" t="str">
        <f>IF(Friedman!AK11=0,"",Friedman!AK11)</f>
        <v/>
      </c>
      <c r="M14" s="10" t="str">
        <f>IF(Friedman!AO11=0,"",Friedman!AO11)</f>
        <v/>
      </c>
      <c r="N14" s="10" t="str">
        <f>IF(Friedman!AS11=0,"",Friedman!AS11)</f>
        <v/>
      </c>
      <c r="O14" s="10" t="str">
        <f>IF(Friedman!AW11=0,"",Friedman!AW11)</f>
        <v/>
      </c>
      <c r="P14" s="10" t="str">
        <f>IF(Friedman!BA11=0,"",Friedman!BA11)</f>
        <v/>
      </c>
      <c r="Q14" s="10" t="str">
        <f>IF(Friedman!BE11=0,"",Friedman!BE11)</f>
        <v/>
      </c>
      <c r="R14" s="10" t="str">
        <f>IF(Friedman!BI11=0,"",Friedman!BI11)</f>
        <v/>
      </c>
      <c r="S14" s="10" t="str">
        <f>IF(Friedman!BM11=0,"",Friedman!BM11)</f>
        <v/>
      </c>
      <c r="T14" s="10" t="str">
        <f>IF(Friedman!BQ11=0,"",Friedman!BQ11)</f>
        <v/>
      </c>
      <c r="U14" s="10" t="str">
        <f>IF(Friedman!BU11=0,"",Friedman!BU11)</f>
        <v/>
      </c>
      <c r="V14" s="10" t="str">
        <f>IF(Friedman!BY11=0,"",Friedman!BY11)</f>
        <v/>
      </c>
      <c r="W14" s="10" t="str">
        <f>IF(Friedman!CC11=0,"",Friedman!CC11)</f>
        <v/>
      </c>
      <c r="X14" s="10" t="str">
        <f>IF(Friedman!CG11=0,"",Friedman!CG11)</f>
        <v/>
      </c>
      <c r="Y14" s="10"/>
      <c r="Z14" s="10"/>
      <c r="AA14" s="10"/>
      <c r="AB14" s="10"/>
      <c r="AC14" s="10"/>
      <c r="AD14" s="10"/>
      <c r="AE14" s="10"/>
      <c r="AF14" s="10"/>
      <c r="AG14" s="10" t="str">
        <f>IF(Friedman!D11=0,"",Friedman!D11)</f>
        <v/>
      </c>
    </row>
    <row r="15" spans="2:33" s="25" customFormat="1" ht="14.25" customHeight="1">
      <c r="B15" s="154" t="s">
        <v>28</v>
      </c>
      <c r="C15" s="155">
        <f>'Daily &amp; Weekly Totals'!E17</f>
        <v>43929</v>
      </c>
      <c r="E15" s="10" t="str">
        <f>IF(Friedman!I12=0,"",Friedman!I12)</f>
        <v/>
      </c>
      <c r="F15" s="10" t="str">
        <f>IF(Friedman!M12=0,"",Friedman!M12)</f>
        <v/>
      </c>
      <c r="G15" s="10" t="str">
        <f>IF(Friedman!Q12=0,"",Friedman!Q12)</f>
        <v/>
      </c>
      <c r="H15" s="10" t="str">
        <f>IF(Friedman!U12=0,"",Friedman!U12)</f>
        <v/>
      </c>
      <c r="I15" s="10" t="str">
        <f>IF(Friedman!Y12=0,"",Friedman!Y12)</f>
        <v/>
      </c>
      <c r="J15" s="10" t="str">
        <f>IF(Friedman!AC12=0,"",Friedman!AC12)</f>
        <v/>
      </c>
      <c r="K15" s="10" t="str">
        <f>IF(Friedman!AG12=0,"",Friedman!AG12)</f>
        <v/>
      </c>
      <c r="L15" s="10" t="str">
        <f>IF(Friedman!AK12=0,"",Friedman!AK12)</f>
        <v/>
      </c>
      <c r="M15" s="10" t="str">
        <f>IF(Friedman!AO12=0,"",Friedman!AO12)</f>
        <v/>
      </c>
      <c r="N15" s="10" t="str">
        <f>IF(Friedman!AS12=0,"",Friedman!AS12)</f>
        <v/>
      </c>
      <c r="O15" s="10" t="str">
        <f>IF(Friedman!AW12=0,"",Friedman!AW12)</f>
        <v/>
      </c>
      <c r="P15" s="10" t="str">
        <f>IF(Friedman!BA12=0,"",Friedman!BA12)</f>
        <v/>
      </c>
      <c r="Q15" s="10" t="str">
        <f>IF(Friedman!BE12=0,"",Friedman!BE12)</f>
        <v/>
      </c>
      <c r="R15" s="10" t="str">
        <f>IF(Friedman!BI12=0,"",Friedman!BI12)</f>
        <v/>
      </c>
      <c r="S15" s="10" t="str">
        <f>IF(Friedman!BM12=0,"",Friedman!BM12)</f>
        <v/>
      </c>
      <c r="T15" s="10" t="str">
        <f>IF(Friedman!BQ12=0,"",Friedman!BQ12)</f>
        <v/>
      </c>
      <c r="U15" s="10" t="str">
        <f>IF(Friedman!BU12=0,"",Friedman!BU12)</f>
        <v/>
      </c>
      <c r="V15" s="10" t="str">
        <f>IF(Friedman!BY12=0,"",Friedman!BY12)</f>
        <v/>
      </c>
      <c r="W15" s="10" t="str">
        <f>IF(Friedman!CC12=0,"",Friedman!CC12)</f>
        <v/>
      </c>
      <c r="X15" s="10" t="str">
        <f>IF(Friedman!CG12=0,"",Friedman!CG12)</f>
        <v/>
      </c>
      <c r="Y15" s="10"/>
      <c r="Z15" s="10"/>
      <c r="AA15" s="10"/>
      <c r="AB15" s="10"/>
      <c r="AC15" s="10"/>
      <c r="AD15" s="10"/>
      <c r="AE15" s="10"/>
      <c r="AF15" s="10"/>
      <c r="AG15" s="10" t="str">
        <f>IF(Friedman!D12=0,"",Friedman!D12)</f>
        <v/>
      </c>
    </row>
    <row r="16" spans="2:33" s="25" customFormat="1" ht="14.25" customHeight="1">
      <c r="B16" s="154" t="s">
        <v>29</v>
      </c>
      <c r="C16" s="155">
        <f>'Daily &amp; Weekly Totals'!E18</f>
        <v>43930</v>
      </c>
      <c r="E16" s="10" t="str">
        <f>IF(Friedman!I13=0,"",Friedman!I13)</f>
        <v/>
      </c>
      <c r="F16" s="10" t="str">
        <f>IF(Friedman!M13=0,"",Friedman!M13)</f>
        <v/>
      </c>
      <c r="G16" s="10" t="str">
        <f>IF(Friedman!Q13=0,"",Friedman!Q13)</f>
        <v/>
      </c>
      <c r="H16" s="10" t="str">
        <f>IF(Friedman!U13=0,"",Friedman!U13)</f>
        <v/>
      </c>
      <c r="I16" s="10" t="str">
        <f>IF(Friedman!Y13=0,"",Friedman!Y13)</f>
        <v/>
      </c>
      <c r="J16" s="10" t="str">
        <f>IF(Friedman!AC13=0,"",Friedman!AC13)</f>
        <v/>
      </c>
      <c r="K16" s="10" t="str">
        <f>IF(Friedman!AG13=0,"",Friedman!AG13)</f>
        <v/>
      </c>
      <c r="L16" s="10" t="str">
        <f>IF(Friedman!AK13=0,"",Friedman!AK13)</f>
        <v/>
      </c>
      <c r="M16" s="10" t="str">
        <f>IF(Friedman!AO13=0,"",Friedman!AO13)</f>
        <v/>
      </c>
      <c r="N16" s="10" t="str">
        <f>IF(Friedman!AS13=0,"",Friedman!AS13)</f>
        <v/>
      </c>
      <c r="O16" s="10" t="str">
        <f>IF(Friedman!AW13=0,"",Friedman!AW13)</f>
        <v/>
      </c>
      <c r="P16" s="10" t="str">
        <f>IF(Friedman!BA13=0,"",Friedman!BA13)</f>
        <v/>
      </c>
      <c r="Q16" s="10" t="str">
        <f>IF(Friedman!BE13=0,"",Friedman!BE13)</f>
        <v/>
      </c>
      <c r="R16" s="10" t="str">
        <f>IF(Friedman!BI13=0,"",Friedman!BI13)</f>
        <v/>
      </c>
      <c r="S16" s="10" t="str">
        <f>IF(Friedman!BM13=0,"",Friedman!BM13)</f>
        <v/>
      </c>
      <c r="T16" s="10" t="str">
        <f>IF(Friedman!BQ13=0,"",Friedman!BQ13)</f>
        <v/>
      </c>
      <c r="U16" s="10" t="str">
        <f>IF(Friedman!BU13=0,"",Friedman!BU13)</f>
        <v/>
      </c>
      <c r="V16" s="10" t="str">
        <f>IF(Friedman!BY13=0,"",Friedman!BY13)</f>
        <v/>
      </c>
      <c r="W16" s="10" t="str">
        <f>IF(Friedman!CC13=0,"",Friedman!CC13)</f>
        <v/>
      </c>
      <c r="X16" s="10" t="str">
        <f>IF(Friedman!CG13=0,"",Friedman!CG13)</f>
        <v/>
      </c>
      <c r="Y16" s="10"/>
      <c r="Z16" s="10"/>
      <c r="AA16" s="10"/>
      <c r="AB16" s="10"/>
      <c r="AC16" s="10"/>
      <c r="AD16" s="10"/>
      <c r="AE16" s="10"/>
      <c r="AF16" s="10"/>
      <c r="AG16" s="10" t="str">
        <f>IF(Friedman!D13=0,"",Friedman!D13)</f>
        <v/>
      </c>
    </row>
    <row r="17" spans="2:33" s="25" customFormat="1" ht="14.25" customHeight="1">
      <c r="B17" s="154" t="s">
        <v>30</v>
      </c>
      <c r="C17" s="155">
        <f>'Daily &amp; Weekly Totals'!E19</f>
        <v>43931</v>
      </c>
      <c r="E17" s="10" t="str">
        <f>IF(Friedman!I14=0,"",Friedman!I14)</f>
        <v/>
      </c>
      <c r="F17" s="10" t="str">
        <f>IF(Friedman!M14=0,"",Friedman!M14)</f>
        <v/>
      </c>
      <c r="G17" s="10" t="str">
        <f>IF(Friedman!Q14=0,"",Friedman!Q14)</f>
        <v/>
      </c>
      <c r="H17" s="10" t="str">
        <f>IF(Friedman!U14=0,"",Friedman!U14)</f>
        <v/>
      </c>
      <c r="I17" s="10" t="str">
        <f>IF(Friedman!Y14=0,"",Friedman!Y14)</f>
        <v/>
      </c>
      <c r="J17" s="10" t="str">
        <f>IF(Friedman!AC14=0,"",Friedman!AC14)</f>
        <v/>
      </c>
      <c r="K17" s="10" t="str">
        <f>IF(Friedman!AG14=0,"",Friedman!AG14)</f>
        <v/>
      </c>
      <c r="L17" s="10" t="str">
        <f>IF(Friedman!AK14=0,"",Friedman!AK14)</f>
        <v/>
      </c>
      <c r="M17" s="10" t="str">
        <f>IF(Friedman!AO14=0,"",Friedman!AO14)</f>
        <v/>
      </c>
      <c r="N17" s="10" t="str">
        <f>IF(Friedman!AS14=0,"",Friedman!AS14)</f>
        <v/>
      </c>
      <c r="O17" s="10" t="str">
        <f>IF(Friedman!AW14=0,"",Friedman!AW14)</f>
        <v/>
      </c>
      <c r="P17" s="10" t="str">
        <f>IF(Friedman!BA14=0,"",Friedman!BA14)</f>
        <v/>
      </c>
      <c r="Q17" s="10" t="str">
        <f>IF(Friedman!BE14=0,"",Friedman!BE14)</f>
        <v/>
      </c>
      <c r="R17" s="10" t="str">
        <f>IF(Friedman!BI14=0,"",Friedman!BI14)</f>
        <v/>
      </c>
      <c r="S17" s="10" t="str">
        <f>IF(Friedman!BM14=0,"",Friedman!BM14)</f>
        <v/>
      </c>
      <c r="T17" s="10" t="str">
        <f>IF(Friedman!BQ14=0,"",Friedman!BQ14)</f>
        <v/>
      </c>
      <c r="U17" s="10" t="str">
        <f>IF(Friedman!BU14=0,"",Friedman!BU14)</f>
        <v/>
      </c>
      <c r="V17" s="10" t="str">
        <f>IF(Friedman!BY14=0,"",Friedman!BY14)</f>
        <v/>
      </c>
      <c r="W17" s="10" t="str">
        <f>IF(Friedman!CC14=0,"",Friedman!CC14)</f>
        <v/>
      </c>
      <c r="X17" s="10" t="str">
        <f>IF(Friedman!CG14=0,"",Friedman!CG14)</f>
        <v/>
      </c>
      <c r="Y17" s="10"/>
      <c r="Z17" s="10"/>
      <c r="AA17" s="10"/>
      <c r="AB17" s="10"/>
      <c r="AC17" s="10"/>
      <c r="AD17" s="10"/>
      <c r="AE17" s="10"/>
      <c r="AF17" s="10"/>
      <c r="AG17" s="10" t="str">
        <f>IF(Friedman!D14=0,"",Friedman!D14)</f>
        <v/>
      </c>
    </row>
    <row r="18" spans="2:33" s="25" customFormat="1" ht="14.25" customHeight="1">
      <c r="B18" s="154" t="s">
        <v>31</v>
      </c>
      <c r="C18" s="155">
        <f>'Daily &amp; Weekly Totals'!E20</f>
        <v>43932</v>
      </c>
      <c r="E18" s="10" t="str">
        <f>IF(Friedman!I15=0,"",Friedman!I15)</f>
        <v/>
      </c>
      <c r="F18" s="10" t="str">
        <f>IF(Friedman!M15=0,"",Friedman!M15)</f>
        <v/>
      </c>
      <c r="G18" s="10" t="str">
        <f>IF(Friedman!Q15=0,"",Friedman!Q15)</f>
        <v/>
      </c>
      <c r="H18" s="10" t="str">
        <f>IF(Friedman!U15=0,"",Friedman!U15)</f>
        <v/>
      </c>
      <c r="I18" s="10" t="str">
        <f>IF(Friedman!Y15=0,"",Friedman!Y15)</f>
        <v/>
      </c>
      <c r="J18" s="10" t="str">
        <f>IF(Friedman!AC15=0,"",Friedman!AC15)</f>
        <v/>
      </c>
      <c r="K18" s="10" t="str">
        <f>IF(Friedman!AG15=0,"",Friedman!AG15)</f>
        <v/>
      </c>
      <c r="L18" s="10" t="str">
        <f>IF(Friedman!AK15=0,"",Friedman!AK15)</f>
        <v/>
      </c>
      <c r="M18" s="10" t="str">
        <f>IF(Friedman!AO15=0,"",Friedman!AO15)</f>
        <v/>
      </c>
      <c r="N18" s="10" t="str">
        <f>IF(Friedman!AS15=0,"",Friedman!AS15)</f>
        <v/>
      </c>
      <c r="O18" s="10" t="str">
        <f>IF(Friedman!AW15=0,"",Friedman!AW15)</f>
        <v/>
      </c>
      <c r="P18" s="10" t="str">
        <f>IF(Friedman!BA15=0,"",Friedman!BA15)</f>
        <v/>
      </c>
      <c r="Q18" s="10" t="str">
        <f>IF(Friedman!BE15=0,"",Friedman!BE15)</f>
        <v/>
      </c>
      <c r="R18" s="10" t="str">
        <f>IF(Friedman!BI15=0,"",Friedman!BI15)</f>
        <v/>
      </c>
      <c r="S18" s="10" t="str">
        <f>IF(Friedman!BM15=0,"",Friedman!BM15)</f>
        <v/>
      </c>
      <c r="T18" s="10" t="str">
        <f>IF(Friedman!BQ15=0,"",Friedman!BQ15)</f>
        <v/>
      </c>
      <c r="U18" s="10" t="str">
        <f>IF(Friedman!BU15=0,"",Friedman!BU15)</f>
        <v/>
      </c>
      <c r="V18" s="10" t="str">
        <f>IF(Friedman!BY15=0,"",Friedman!BY15)</f>
        <v/>
      </c>
      <c r="W18" s="10" t="str">
        <f>IF(Friedman!CC15=0,"",Friedman!CC15)</f>
        <v/>
      </c>
      <c r="X18" s="10" t="str">
        <f>IF(Friedman!CG15=0,"",Friedman!CG15)</f>
        <v/>
      </c>
      <c r="Y18" s="10"/>
      <c r="Z18" s="10"/>
      <c r="AA18" s="10"/>
      <c r="AB18" s="10"/>
      <c r="AC18" s="10"/>
      <c r="AD18" s="10"/>
      <c r="AE18" s="10"/>
      <c r="AF18" s="10"/>
      <c r="AG18" s="10" t="str">
        <f>IF(Friedman!D15=0,"",Friedman!D15)</f>
        <v/>
      </c>
    </row>
    <row r="19" spans="2:33" s="25" customFormat="1" ht="14.25" customHeight="1">
      <c r="B19" s="154" t="s">
        <v>32</v>
      </c>
      <c r="C19" s="155">
        <f>'Daily &amp; Weekly Totals'!E21</f>
        <v>43933</v>
      </c>
      <c r="E19" s="10" t="str">
        <f>IF(Friedman!I16=0,"",Friedman!I16)</f>
        <v/>
      </c>
      <c r="F19" s="10" t="str">
        <f>IF(Friedman!M16=0,"",Friedman!M16)</f>
        <v/>
      </c>
      <c r="G19" s="10" t="str">
        <f>IF(Friedman!Q16=0,"",Friedman!Q16)</f>
        <v/>
      </c>
      <c r="H19" s="10" t="str">
        <f>IF(Friedman!U16=0,"",Friedman!U16)</f>
        <v/>
      </c>
      <c r="I19" s="10" t="str">
        <f>IF(Friedman!Y16=0,"",Friedman!Y16)</f>
        <v/>
      </c>
      <c r="J19" s="10" t="str">
        <f>IF(Friedman!AC16=0,"",Friedman!AC16)</f>
        <v/>
      </c>
      <c r="K19" s="10" t="str">
        <f>IF(Friedman!AG16=0,"",Friedman!AG16)</f>
        <v/>
      </c>
      <c r="L19" s="10" t="str">
        <f>IF(Friedman!AK16=0,"",Friedman!AK16)</f>
        <v/>
      </c>
      <c r="M19" s="10" t="str">
        <f>IF(Friedman!AO16=0,"",Friedman!AO16)</f>
        <v/>
      </c>
      <c r="N19" s="10" t="str">
        <f>IF(Friedman!AS16=0,"",Friedman!AS16)</f>
        <v/>
      </c>
      <c r="O19" s="10" t="str">
        <f>IF(Friedman!AW16=0,"",Friedman!AW16)</f>
        <v/>
      </c>
      <c r="P19" s="10" t="str">
        <f>IF(Friedman!BA16=0,"",Friedman!BA16)</f>
        <v/>
      </c>
      <c r="Q19" s="10" t="str">
        <f>IF(Friedman!BE16=0,"",Friedman!BE16)</f>
        <v/>
      </c>
      <c r="R19" s="10" t="str">
        <f>IF(Friedman!BI16=0,"",Friedman!BI16)</f>
        <v/>
      </c>
      <c r="S19" s="10" t="str">
        <f>IF(Friedman!BM16=0,"",Friedman!BM16)</f>
        <v/>
      </c>
      <c r="T19" s="10" t="str">
        <f>IF(Friedman!BQ16=0,"",Friedman!BQ16)</f>
        <v/>
      </c>
      <c r="U19" s="10" t="str">
        <f>IF(Friedman!BU16=0,"",Friedman!BU16)</f>
        <v/>
      </c>
      <c r="V19" s="10" t="str">
        <f>IF(Friedman!BY16=0,"",Friedman!BY16)</f>
        <v/>
      </c>
      <c r="W19" s="10" t="str">
        <f>IF(Friedman!CC16=0,"",Friedman!CC16)</f>
        <v/>
      </c>
      <c r="X19" s="10" t="str">
        <f>IF(Friedman!CG16=0,"",Friedman!CG16)</f>
        <v/>
      </c>
      <c r="Y19" s="10"/>
      <c r="Z19" s="10"/>
      <c r="AA19" s="10"/>
      <c r="AB19" s="10"/>
      <c r="AC19" s="10"/>
      <c r="AD19" s="10"/>
      <c r="AE19" s="10"/>
      <c r="AF19" s="10"/>
      <c r="AG19" s="10" t="str">
        <f>IF(Friedman!D16=0,"",Friedman!D16)</f>
        <v/>
      </c>
    </row>
    <row r="20" spans="2:33" s="25" customFormat="1" ht="14.25" customHeight="1">
      <c r="B20" s="154" t="s">
        <v>26</v>
      </c>
      <c r="C20" s="155">
        <f>'Daily &amp; Weekly Totals'!E25</f>
        <v>43934</v>
      </c>
      <c r="E20" s="10" t="str">
        <f>IF(Friedman!I17=0,"",Friedman!I17)</f>
        <v/>
      </c>
      <c r="F20" s="10" t="str">
        <f>IF(Friedman!M17=0,"",Friedman!M17)</f>
        <v/>
      </c>
      <c r="G20" s="10" t="str">
        <f>IF(Friedman!Q17=0,"",Friedman!Q17)</f>
        <v/>
      </c>
      <c r="H20" s="10" t="str">
        <f>IF(Friedman!U17=0,"",Friedman!U17)</f>
        <v/>
      </c>
      <c r="I20" s="10" t="str">
        <f>IF(Friedman!Y17=0,"",Friedman!Y17)</f>
        <v/>
      </c>
      <c r="J20" s="10" t="str">
        <f>IF(Friedman!AC17=0,"",Friedman!AC17)</f>
        <v/>
      </c>
      <c r="K20" s="10" t="str">
        <f>IF(Friedman!AG17=0,"",Friedman!AG17)</f>
        <v/>
      </c>
      <c r="L20" s="10" t="str">
        <f>IF(Friedman!AK17=0,"",Friedman!AK17)</f>
        <v/>
      </c>
      <c r="M20" s="10" t="str">
        <f>IF(Friedman!AO17=0,"",Friedman!AO17)</f>
        <v/>
      </c>
      <c r="N20" s="10" t="str">
        <f>IF(Friedman!AS17=0,"",Friedman!AS17)</f>
        <v/>
      </c>
      <c r="O20" s="10" t="str">
        <f>IF(Friedman!AW17=0,"",Friedman!AW17)</f>
        <v/>
      </c>
      <c r="P20" s="10" t="str">
        <f>IF(Friedman!BA17=0,"",Friedman!BA17)</f>
        <v/>
      </c>
      <c r="Q20" s="10" t="str">
        <f>IF(Friedman!BE17=0,"",Friedman!BE17)</f>
        <v/>
      </c>
      <c r="R20" s="10" t="str">
        <f>IF(Friedman!BI17=0,"",Friedman!BI17)</f>
        <v/>
      </c>
      <c r="S20" s="10" t="str">
        <f>IF(Friedman!BM17=0,"",Friedman!BM17)</f>
        <v/>
      </c>
      <c r="T20" s="10" t="str">
        <f>IF(Friedman!BQ17=0,"",Friedman!BQ17)</f>
        <v/>
      </c>
      <c r="U20" s="10" t="str">
        <f>IF(Friedman!BU17=0,"",Friedman!BU17)</f>
        <v/>
      </c>
      <c r="V20" s="10" t="str">
        <f>IF(Friedman!BY17=0,"",Friedman!BY17)</f>
        <v/>
      </c>
      <c r="W20" s="10" t="str">
        <f>IF(Friedman!CC17=0,"",Friedman!CC17)</f>
        <v/>
      </c>
      <c r="X20" s="10" t="str">
        <f>IF(Friedman!CG17=0,"",Friedman!CG17)</f>
        <v/>
      </c>
      <c r="Y20" s="10"/>
      <c r="Z20" s="10"/>
      <c r="AA20" s="10"/>
      <c r="AB20" s="10"/>
      <c r="AC20" s="10"/>
      <c r="AD20" s="10"/>
      <c r="AE20" s="10"/>
      <c r="AF20" s="10"/>
      <c r="AG20" s="10" t="str">
        <f>IF(Friedman!D17=0,"",Friedman!D17)</f>
        <v/>
      </c>
    </row>
    <row r="21" spans="2:33" s="25" customFormat="1" ht="14.25" customHeight="1">
      <c r="B21" s="154" t="s">
        <v>27</v>
      </c>
      <c r="C21" s="155">
        <f>'Daily &amp; Weekly Totals'!E26</f>
        <v>43935</v>
      </c>
      <c r="E21" s="10" t="str">
        <f>IF(Friedman!I18=0,"",Friedman!I18)</f>
        <v/>
      </c>
      <c r="F21" s="10" t="str">
        <f>IF(Friedman!M18=0,"",Friedman!M18)</f>
        <v/>
      </c>
      <c r="G21" s="10" t="str">
        <f>IF(Friedman!Q18=0,"",Friedman!Q18)</f>
        <v/>
      </c>
      <c r="H21" s="10" t="str">
        <f>IF(Friedman!U18=0,"",Friedman!U18)</f>
        <v/>
      </c>
      <c r="I21" s="10" t="str">
        <f>IF(Friedman!Y18=0,"",Friedman!Y18)</f>
        <v/>
      </c>
      <c r="J21" s="10" t="str">
        <f>IF(Friedman!AC18=0,"",Friedman!AC18)</f>
        <v/>
      </c>
      <c r="K21" s="10" t="str">
        <f>IF(Friedman!AG18=0,"",Friedman!AG18)</f>
        <v/>
      </c>
      <c r="L21" s="10" t="str">
        <f>IF(Friedman!AK18=0,"",Friedman!AK18)</f>
        <v/>
      </c>
      <c r="M21" s="10" t="str">
        <f>IF(Friedman!AO18=0,"",Friedman!AO18)</f>
        <v/>
      </c>
      <c r="N21" s="10" t="str">
        <f>IF(Friedman!AS18=0,"",Friedman!AS18)</f>
        <v/>
      </c>
      <c r="O21" s="10" t="str">
        <f>IF(Friedman!AW18=0,"",Friedman!AW18)</f>
        <v/>
      </c>
      <c r="P21" s="10" t="str">
        <f>IF(Friedman!BA18=0,"",Friedman!BA18)</f>
        <v/>
      </c>
      <c r="Q21" s="10" t="str">
        <f>IF(Friedman!BE18=0,"",Friedman!BE18)</f>
        <v/>
      </c>
      <c r="R21" s="10" t="str">
        <f>IF(Friedman!BI18=0,"",Friedman!BI18)</f>
        <v/>
      </c>
      <c r="S21" s="10" t="str">
        <f>IF(Friedman!BM18=0,"",Friedman!BM18)</f>
        <v/>
      </c>
      <c r="T21" s="10" t="str">
        <f>IF(Friedman!BQ18=0,"",Friedman!BQ18)</f>
        <v/>
      </c>
      <c r="U21" s="10" t="str">
        <f>IF(Friedman!BU18=0,"",Friedman!BU18)</f>
        <v/>
      </c>
      <c r="V21" s="10" t="str">
        <f>IF(Friedman!BY18=0,"",Friedman!BY18)</f>
        <v/>
      </c>
      <c r="W21" s="10" t="str">
        <f>IF(Friedman!CC18=0,"",Friedman!CC18)</f>
        <v/>
      </c>
      <c r="X21" s="10" t="str">
        <f>IF(Friedman!CG18=0,"",Friedman!CG18)</f>
        <v/>
      </c>
      <c r="Y21" s="10"/>
      <c r="Z21" s="10"/>
      <c r="AA21" s="10"/>
      <c r="AB21" s="10"/>
      <c r="AC21" s="10"/>
      <c r="AD21" s="10"/>
      <c r="AE21" s="10"/>
      <c r="AF21" s="10"/>
      <c r="AG21" s="10" t="str">
        <f>IF(Friedman!D18=0,"",Friedman!D18)</f>
        <v/>
      </c>
    </row>
    <row r="22" spans="2:33" s="25" customFormat="1" ht="14.25" customHeight="1">
      <c r="B22" s="154" t="s">
        <v>28</v>
      </c>
      <c r="C22" s="155">
        <f>'Daily &amp; Weekly Totals'!E27</f>
        <v>43936</v>
      </c>
      <c r="E22" s="10" t="str">
        <f>IF(Friedman!I19=0,"",Friedman!I19)</f>
        <v/>
      </c>
      <c r="F22" s="10" t="str">
        <f>IF(Friedman!M19=0,"",Friedman!M19)</f>
        <v/>
      </c>
      <c r="G22" s="10" t="str">
        <f>IF(Friedman!Q19=0,"",Friedman!Q19)</f>
        <v/>
      </c>
      <c r="H22" s="10" t="str">
        <f>IF(Friedman!U19=0,"",Friedman!U19)</f>
        <v/>
      </c>
      <c r="I22" s="10" t="str">
        <f>IF(Friedman!Y19=0,"",Friedman!Y19)</f>
        <v/>
      </c>
      <c r="J22" s="10" t="str">
        <f>IF(Friedman!AC19=0,"",Friedman!AC19)</f>
        <v/>
      </c>
      <c r="K22" s="10" t="str">
        <f>IF(Friedman!AG19=0,"",Friedman!AG19)</f>
        <v/>
      </c>
      <c r="L22" s="10" t="str">
        <f>IF(Friedman!AK19=0,"",Friedman!AK19)</f>
        <v/>
      </c>
      <c r="M22" s="10" t="str">
        <f>IF(Friedman!AO19=0,"",Friedman!AO19)</f>
        <v/>
      </c>
      <c r="N22" s="10" t="str">
        <f>IF(Friedman!AS19=0,"",Friedman!AS19)</f>
        <v/>
      </c>
      <c r="O22" s="10" t="str">
        <f>IF(Friedman!AW19=0,"",Friedman!AW19)</f>
        <v/>
      </c>
      <c r="P22" s="10" t="str">
        <f>IF(Friedman!BA19=0,"",Friedman!BA19)</f>
        <v/>
      </c>
      <c r="Q22" s="10" t="str">
        <f>IF(Friedman!BE19=0,"",Friedman!BE19)</f>
        <v/>
      </c>
      <c r="R22" s="10" t="str">
        <f>IF(Friedman!BI19=0,"",Friedman!BI19)</f>
        <v/>
      </c>
      <c r="S22" s="10" t="str">
        <f>IF(Friedman!BM19=0,"",Friedman!BM19)</f>
        <v/>
      </c>
      <c r="T22" s="10" t="str">
        <f>IF(Friedman!BQ19=0,"",Friedman!BQ19)</f>
        <v/>
      </c>
      <c r="U22" s="10" t="str">
        <f>IF(Friedman!BU19=0,"",Friedman!BU19)</f>
        <v/>
      </c>
      <c r="V22" s="10" t="str">
        <f>IF(Friedman!BY19=0,"",Friedman!BY19)</f>
        <v/>
      </c>
      <c r="W22" s="10" t="str">
        <f>IF(Friedman!CC19=0,"",Friedman!CC19)</f>
        <v/>
      </c>
      <c r="X22" s="10" t="str">
        <f>IF(Friedman!CG19=0,"",Friedman!CG19)</f>
        <v/>
      </c>
      <c r="Y22" s="10"/>
      <c r="Z22" s="10"/>
      <c r="AA22" s="10"/>
      <c r="AB22" s="10"/>
      <c r="AC22" s="10"/>
      <c r="AD22" s="10"/>
      <c r="AE22" s="10"/>
      <c r="AF22" s="10"/>
      <c r="AG22" s="10" t="str">
        <f>IF(Friedman!D19=0,"",Friedman!D19)</f>
        <v/>
      </c>
    </row>
    <row r="23" spans="2:33" s="25" customFormat="1" ht="14.25" customHeight="1">
      <c r="B23" s="154" t="s">
        <v>29</v>
      </c>
      <c r="C23" s="155">
        <f>'Daily &amp; Weekly Totals'!E28</f>
        <v>43937</v>
      </c>
      <c r="E23" s="10" t="str">
        <f>IF(Friedman!I20=0,"",Friedman!I20)</f>
        <v/>
      </c>
      <c r="F23" s="10" t="str">
        <f>IF(Friedman!M20=0,"",Friedman!M20)</f>
        <v/>
      </c>
      <c r="G23" s="10" t="str">
        <f>IF(Friedman!Q20=0,"",Friedman!Q20)</f>
        <v/>
      </c>
      <c r="H23" s="10" t="str">
        <f>IF(Friedman!U20=0,"",Friedman!U20)</f>
        <v/>
      </c>
      <c r="I23" s="10" t="str">
        <f>IF(Friedman!Y20=0,"",Friedman!Y20)</f>
        <v/>
      </c>
      <c r="J23" s="10" t="str">
        <f>IF(Friedman!AC20=0,"",Friedman!AC20)</f>
        <v/>
      </c>
      <c r="K23" s="10" t="str">
        <f>IF(Friedman!AG20=0,"",Friedman!AG20)</f>
        <v/>
      </c>
      <c r="L23" s="10" t="str">
        <f>IF(Friedman!AK20=0,"",Friedman!AK20)</f>
        <v/>
      </c>
      <c r="M23" s="10" t="str">
        <f>IF(Friedman!AO20=0,"",Friedman!AO20)</f>
        <v/>
      </c>
      <c r="N23" s="10" t="str">
        <f>IF(Friedman!AS20=0,"",Friedman!AS20)</f>
        <v/>
      </c>
      <c r="O23" s="10" t="str">
        <f>IF(Friedman!AW20=0,"",Friedman!AW20)</f>
        <v/>
      </c>
      <c r="P23" s="10" t="str">
        <f>IF(Friedman!BA20=0,"",Friedman!BA20)</f>
        <v/>
      </c>
      <c r="Q23" s="10" t="str">
        <f>IF(Friedman!BE20=0,"",Friedman!BE20)</f>
        <v/>
      </c>
      <c r="R23" s="10" t="str">
        <f>IF(Friedman!BI20=0,"",Friedman!BI20)</f>
        <v/>
      </c>
      <c r="S23" s="10" t="str">
        <f>IF(Friedman!BM20=0,"",Friedman!BM20)</f>
        <v/>
      </c>
      <c r="T23" s="10" t="str">
        <f>IF(Friedman!BQ20=0,"",Friedman!BQ20)</f>
        <v/>
      </c>
      <c r="U23" s="10" t="str">
        <f>IF(Friedman!BU20=0,"",Friedman!BU20)</f>
        <v/>
      </c>
      <c r="V23" s="10" t="str">
        <f>IF(Friedman!BY20=0,"",Friedman!BY20)</f>
        <v/>
      </c>
      <c r="W23" s="10" t="str">
        <f>IF(Friedman!CC20=0,"",Friedman!CC20)</f>
        <v/>
      </c>
      <c r="X23" s="10" t="str">
        <f>IF(Friedman!CG20=0,"",Friedman!CG20)</f>
        <v/>
      </c>
      <c r="Y23" s="10"/>
      <c r="Z23" s="10"/>
      <c r="AA23" s="10"/>
      <c r="AB23" s="10"/>
      <c r="AC23" s="10"/>
      <c r="AD23" s="10"/>
      <c r="AE23" s="10"/>
      <c r="AF23" s="10"/>
      <c r="AG23" s="10" t="str">
        <f>IF(Friedman!D20=0,"",Friedman!D20)</f>
        <v/>
      </c>
    </row>
    <row r="24" spans="2:33" s="25" customFormat="1" ht="14.25" customHeight="1">
      <c r="B24" s="154" t="s">
        <v>30</v>
      </c>
      <c r="C24" s="155">
        <f>'Daily &amp; Weekly Totals'!E29</f>
        <v>43938</v>
      </c>
      <c r="E24" s="10" t="str">
        <f>IF(Friedman!I21=0,"",Friedman!I21)</f>
        <v/>
      </c>
      <c r="F24" s="10" t="str">
        <f>IF(Friedman!M21=0,"",Friedman!M21)</f>
        <v/>
      </c>
      <c r="G24" s="10" t="str">
        <f>IF(Friedman!Q21=0,"",Friedman!Q21)</f>
        <v/>
      </c>
      <c r="H24" s="10" t="str">
        <f>IF(Friedman!U21=0,"",Friedman!U21)</f>
        <v/>
      </c>
      <c r="I24" s="10" t="str">
        <f>IF(Friedman!Y21=0,"",Friedman!Y21)</f>
        <v/>
      </c>
      <c r="J24" s="10" t="str">
        <f>IF(Friedman!AC21=0,"",Friedman!AC21)</f>
        <v/>
      </c>
      <c r="K24" s="10" t="str">
        <f>IF(Friedman!AG21=0,"",Friedman!AG21)</f>
        <v/>
      </c>
      <c r="L24" s="10" t="str">
        <f>IF(Friedman!AK21=0,"",Friedman!AK21)</f>
        <v/>
      </c>
      <c r="M24" s="10" t="str">
        <f>IF(Friedman!AO21=0,"",Friedman!AO21)</f>
        <v/>
      </c>
      <c r="N24" s="10" t="str">
        <f>IF(Friedman!AS21=0,"",Friedman!AS21)</f>
        <v/>
      </c>
      <c r="O24" s="10" t="str">
        <f>IF(Friedman!AW21=0,"",Friedman!AW21)</f>
        <v/>
      </c>
      <c r="P24" s="10" t="str">
        <f>IF(Friedman!BA21=0,"",Friedman!BA21)</f>
        <v/>
      </c>
      <c r="Q24" s="10" t="str">
        <f>IF(Friedman!BE21=0,"",Friedman!BE21)</f>
        <v/>
      </c>
      <c r="R24" s="10" t="str">
        <f>IF(Friedman!BI21=0,"",Friedman!BI21)</f>
        <v/>
      </c>
      <c r="S24" s="10" t="str">
        <f>IF(Friedman!BM21=0,"",Friedman!BM21)</f>
        <v/>
      </c>
      <c r="T24" s="10" t="str">
        <f>IF(Friedman!BQ21=0,"",Friedman!BQ21)</f>
        <v/>
      </c>
      <c r="U24" s="10" t="str">
        <f>IF(Friedman!BU21=0,"",Friedman!BU21)</f>
        <v/>
      </c>
      <c r="V24" s="10" t="str">
        <f>IF(Friedman!BY21=0,"",Friedman!BY21)</f>
        <v/>
      </c>
      <c r="W24" s="10" t="str">
        <f>IF(Friedman!CC21=0,"",Friedman!CC21)</f>
        <v/>
      </c>
      <c r="X24" s="10" t="str">
        <f>IF(Friedman!CG21=0,"",Friedman!CG21)</f>
        <v/>
      </c>
      <c r="Y24" s="10"/>
      <c r="Z24" s="10"/>
      <c r="AA24" s="10"/>
      <c r="AB24" s="10"/>
      <c r="AC24" s="10"/>
      <c r="AD24" s="10"/>
      <c r="AE24" s="10"/>
      <c r="AF24" s="10"/>
      <c r="AG24" s="10" t="str">
        <f>IF(Friedman!D21=0,"",Friedman!D21)</f>
        <v/>
      </c>
    </row>
    <row r="25" spans="2:33" s="25" customFormat="1" ht="14.25" customHeight="1">
      <c r="B25" s="154" t="s">
        <v>31</v>
      </c>
      <c r="C25" s="155">
        <f>'Daily &amp; Weekly Totals'!E30</f>
        <v>43939</v>
      </c>
      <c r="E25" s="10" t="str">
        <f>IF(Friedman!I22=0,"",Friedman!I22)</f>
        <v/>
      </c>
      <c r="F25" s="10" t="str">
        <f>IF(Friedman!M22=0,"",Friedman!M22)</f>
        <v/>
      </c>
      <c r="G25" s="10" t="str">
        <f>IF(Friedman!Q22=0,"",Friedman!Q22)</f>
        <v/>
      </c>
      <c r="H25" s="10" t="str">
        <f>IF(Friedman!U22=0,"",Friedman!U22)</f>
        <v/>
      </c>
      <c r="I25" s="10" t="str">
        <f>IF(Friedman!Y22=0,"",Friedman!Y22)</f>
        <v/>
      </c>
      <c r="J25" s="10" t="str">
        <f>IF(Friedman!AC22=0,"",Friedman!AC22)</f>
        <v/>
      </c>
      <c r="K25" s="10" t="str">
        <f>IF(Friedman!AG22=0,"",Friedman!AG22)</f>
        <v/>
      </c>
      <c r="L25" s="10" t="str">
        <f>IF(Friedman!AK22=0,"",Friedman!AK22)</f>
        <v/>
      </c>
      <c r="M25" s="10" t="str">
        <f>IF(Friedman!AO22=0,"",Friedman!AO22)</f>
        <v/>
      </c>
      <c r="N25" s="10" t="str">
        <f>IF(Friedman!AS22=0,"",Friedman!AS22)</f>
        <v/>
      </c>
      <c r="O25" s="10" t="str">
        <f>IF(Friedman!AW22=0,"",Friedman!AW22)</f>
        <v/>
      </c>
      <c r="P25" s="10" t="str">
        <f>IF(Friedman!BA22=0,"",Friedman!BA22)</f>
        <v/>
      </c>
      <c r="Q25" s="10" t="str">
        <f>IF(Friedman!BE22=0,"",Friedman!BE22)</f>
        <v/>
      </c>
      <c r="R25" s="10" t="str">
        <f>IF(Friedman!BI22=0,"",Friedman!BI22)</f>
        <v/>
      </c>
      <c r="S25" s="10" t="str">
        <f>IF(Friedman!BM22=0,"",Friedman!BM22)</f>
        <v/>
      </c>
      <c r="T25" s="10" t="str">
        <f>IF(Friedman!BQ22=0,"",Friedman!BQ22)</f>
        <v/>
      </c>
      <c r="U25" s="10" t="str">
        <f>IF(Friedman!BU22=0,"",Friedman!BU22)</f>
        <v/>
      </c>
      <c r="V25" s="10" t="str">
        <f>IF(Friedman!BY22=0,"",Friedman!BY22)</f>
        <v/>
      </c>
      <c r="W25" s="10" t="str">
        <f>IF(Friedman!CC22=0,"",Friedman!CC22)</f>
        <v/>
      </c>
      <c r="X25" s="10" t="str">
        <f>IF(Friedman!CG22=0,"",Friedman!CG22)</f>
        <v/>
      </c>
      <c r="Y25" s="10"/>
      <c r="Z25" s="10"/>
      <c r="AA25" s="10"/>
      <c r="AB25" s="10"/>
      <c r="AC25" s="10"/>
      <c r="AD25" s="10"/>
      <c r="AE25" s="10"/>
      <c r="AF25" s="10"/>
      <c r="AG25" s="10" t="str">
        <f>IF(Friedman!D22=0,"",Friedman!D22)</f>
        <v/>
      </c>
    </row>
    <row r="26" spans="2:33" s="25" customFormat="1" ht="14.25" customHeight="1">
      <c r="B26" s="154" t="s">
        <v>32</v>
      </c>
      <c r="C26" s="155">
        <f>'Daily &amp; Weekly Totals'!E31</f>
        <v>43940</v>
      </c>
      <c r="E26" s="10" t="str">
        <f>IF(Friedman!I23=0,"",Friedman!I23)</f>
        <v/>
      </c>
      <c r="F26" s="10" t="str">
        <f>IF(Friedman!M23=0,"",Friedman!M23)</f>
        <v/>
      </c>
      <c r="G26" s="10" t="str">
        <f>IF(Friedman!Q23=0,"",Friedman!Q23)</f>
        <v/>
      </c>
      <c r="H26" s="10" t="str">
        <f>IF(Friedman!U23=0,"",Friedman!U23)</f>
        <v/>
      </c>
      <c r="I26" s="10" t="str">
        <f>IF(Friedman!Y23=0,"",Friedman!Y23)</f>
        <v/>
      </c>
      <c r="J26" s="10" t="str">
        <f>IF(Friedman!AC23=0,"",Friedman!AC23)</f>
        <v/>
      </c>
      <c r="K26" s="10" t="str">
        <f>IF(Friedman!AG23=0,"",Friedman!AG23)</f>
        <v/>
      </c>
      <c r="L26" s="10" t="str">
        <f>IF(Friedman!AK23=0,"",Friedman!AK23)</f>
        <v/>
      </c>
      <c r="M26" s="10" t="str">
        <f>IF(Friedman!AO23=0,"",Friedman!AO23)</f>
        <v/>
      </c>
      <c r="N26" s="10" t="str">
        <f>IF(Friedman!AS23=0,"",Friedman!AS23)</f>
        <v/>
      </c>
      <c r="O26" s="10" t="str">
        <f>IF(Friedman!AW23=0,"",Friedman!AW23)</f>
        <v/>
      </c>
      <c r="P26" s="10" t="str">
        <f>IF(Friedman!BA23=0,"",Friedman!BA23)</f>
        <v/>
      </c>
      <c r="Q26" s="10" t="str">
        <f>IF(Friedman!BE23=0,"",Friedman!BE23)</f>
        <v/>
      </c>
      <c r="R26" s="10" t="str">
        <f>IF(Friedman!BI23=0,"",Friedman!BI23)</f>
        <v/>
      </c>
      <c r="S26" s="10" t="str">
        <f>IF(Friedman!BM23=0,"",Friedman!BM23)</f>
        <v/>
      </c>
      <c r="T26" s="10" t="str">
        <f>IF(Friedman!BQ23=0,"",Friedman!BQ23)</f>
        <v/>
      </c>
      <c r="U26" s="10" t="str">
        <f>IF(Friedman!BU23=0,"",Friedman!BU23)</f>
        <v/>
      </c>
      <c r="V26" s="10" t="str">
        <f>IF(Friedman!BY23=0,"",Friedman!BY23)</f>
        <v/>
      </c>
      <c r="W26" s="10" t="str">
        <f>IF(Friedman!CC23=0,"",Friedman!CC23)</f>
        <v/>
      </c>
      <c r="X26" s="10" t="str">
        <f>IF(Friedman!CG23=0,"",Friedman!CG23)</f>
        <v/>
      </c>
      <c r="Y26" s="10"/>
      <c r="Z26" s="10"/>
      <c r="AA26" s="10"/>
      <c r="AB26" s="10"/>
      <c r="AC26" s="10"/>
      <c r="AD26" s="10"/>
      <c r="AE26" s="10"/>
      <c r="AF26" s="10"/>
      <c r="AG26" s="10" t="str">
        <f>IF(Friedman!D23=0,"",Friedman!D23)</f>
        <v/>
      </c>
    </row>
    <row r="27" spans="2:33" s="25" customFormat="1" ht="14.25" customHeight="1">
      <c r="B27" s="154" t="s">
        <v>26</v>
      </c>
      <c r="C27" s="155">
        <f>'Daily &amp; Weekly Totals'!E35</f>
        <v>43941</v>
      </c>
      <c r="E27" s="10" t="str">
        <f>IF(Friedman!I24=0,"",Friedman!I24)</f>
        <v/>
      </c>
      <c r="F27" s="10" t="str">
        <f>IF(Friedman!M24=0,"",Friedman!M24)</f>
        <v/>
      </c>
      <c r="G27" s="10" t="str">
        <f>IF(Friedman!Q24=0,"",Friedman!Q24)</f>
        <v/>
      </c>
      <c r="H27" s="10" t="str">
        <f>IF(Friedman!U24=0,"",Friedman!U24)</f>
        <v/>
      </c>
      <c r="I27" s="10" t="str">
        <f>IF(Friedman!Y24=0,"",Friedman!Y24)</f>
        <v/>
      </c>
      <c r="J27" s="10" t="str">
        <f>IF(Friedman!AC24=0,"",Friedman!AC24)</f>
        <v/>
      </c>
      <c r="K27" s="10" t="str">
        <f>IF(Friedman!AG24=0,"",Friedman!AG24)</f>
        <v/>
      </c>
      <c r="L27" s="10" t="str">
        <f>IF(Friedman!AK24=0,"",Friedman!AK24)</f>
        <v/>
      </c>
      <c r="M27" s="10" t="str">
        <f>IF(Friedman!AO24=0,"",Friedman!AO24)</f>
        <v/>
      </c>
      <c r="N27" s="10" t="str">
        <f>IF(Friedman!AS24=0,"",Friedman!AS24)</f>
        <v/>
      </c>
      <c r="O27" s="10" t="str">
        <f>IF(Friedman!AW24=0,"",Friedman!AW24)</f>
        <v/>
      </c>
      <c r="P27" s="10" t="str">
        <f>IF(Friedman!BA24=0,"",Friedman!BA24)</f>
        <v/>
      </c>
      <c r="Q27" s="10" t="str">
        <f>IF(Friedman!BE24=0,"",Friedman!BE24)</f>
        <v/>
      </c>
      <c r="R27" s="10" t="str">
        <f>IF(Friedman!BI24=0,"",Friedman!BI24)</f>
        <v/>
      </c>
      <c r="S27" s="10" t="str">
        <f>IF(Friedman!BM24=0,"",Friedman!BM24)</f>
        <v/>
      </c>
      <c r="T27" s="10" t="str">
        <f>IF(Friedman!BQ24=0,"",Friedman!BQ24)</f>
        <v/>
      </c>
      <c r="U27" s="10" t="str">
        <f>IF(Friedman!BU24=0,"",Friedman!BU24)</f>
        <v/>
      </c>
      <c r="V27" s="10" t="str">
        <f>IF(Friedman!BY24=0,"",Friedman!BY24)</f>
        <v/>
      </c>
      <c r="W27" s="10" t="str">
        <f>IF(Friedman!CC24=0,"",Friedman!CC24)</f>
        <v/>
      </c>
      <c r="X27" s="10" t="str">
        <f>IF(Friedman!CG24=0,"",Friedman!CG24)</f>
        <v/>
      </c>
      <c r="Y27" s="10"/>
      <c r="Z27" s="10"/>
      <c r="AA27" s="10"/>
      <c r="AB27" s="10"/>
      <c r="AC27" s="10"/>
      <c r="AD27" s="10"/>
      <c r="AE27" s="10"/>
      <c r="AF27" s="10"/>
      <c r="AG27" s="10" t="str">
        <f>IF(Friedman!D24=0,"",Friedman!D24)</f>
        <v/>
      </c>
    </row>
    <row r="28" spans="2:33" s="25" customFormat="1" ht="14.25" customHeight="1">
      <c r="B28" s="154" t="s">
        <v>27</v>
      </c>
      <c r="C28" s="155">
        <f>'Daily &amp; Weekly Totals'!E36</f>
        <v>43942</v>
      </c>
      <c r="E28" s="10" t="str">
        <f>IF(Friedman!I25=0,"",Friedman!I25)</f>
        <v/>
      </c>
      <c r="F28" s="10" t="str">
        <f>IF(Friedman!M25=0,"",Friedman!M25)</f>
        <v/>
      </c>
      <c r="G28" s="10" t="str">
        <f>IF(Friedman!Q25=0,"",Friedman!Q25)</f>
        <v/>
      </c>
      <c r="H28" s="10" t="str">
        <f>IF(Friedman!U25=0,"",Friedman!U25)</f>
        <v/>
      </c>
      <c r="I28" s="10" t="str">
        <f>IF(Friedman!Y25=0,"",Friedman!Y25)</f>
        <v/>
      </c>
      <c r="J28" s="10" t="str">
        <f>IF(Friedman!AC25=0,"",Friedman!AC25)</f>
        <v/>
      </c>
      <c r="K28" s="10" t="str">
        <f>IF(Friedman!AG25=0,"",Friedman!AG25)</f>
        <v/>
      </c>
      <c r="L28" s="10" t="str">
        <f>IF(Friedman!AK25=0,"",Friedman!AK25)</f>
        <v/>
      </c>
      <c r="M28" s="10" t="str">
        <f>IF(Friedman!AO25=0,"",Friedman!AO25)</f>
        <v/>
      </c>
      <c r="N28" s="10" t="str">
        <f>IF(Friedman!AS25=0,"",Friedman!AS25)</f>
        <v/>
      </c>
      <c r="O28" s="10" t="str">
        <f>IF(Friedman!AW25=0,"",Friedman!AW25)</f>
        <v/>
      </c>
      <c r="P28" s="10" t="str">
        <f>IF(Friedman!BA25=0,"",Friedman!BA25)</f>
        <v/>
      </c>
      <c r="Q28" s="10" t="str">
        <f>IF(Friedman!BE25=0,"",Friedman!BE25)</f>
        <v/>
      </c>
      <c r="R28" s="10" t="str">
        <f>IF(Friedman!BI25=0,"",Friedman!BI25)</f>
        <v/>
      </c>
      <c r="S28" s="10" t="str">
        <f>IF(Friedman!BM25=0,"",Friedman!BM25)</f>
        <v/>
      </c>
      <c r="T28" s="10" t="str">
        <f>IF(Friedman!BQ25=0,"",Friedman!BQ25)</f>
        <v/>
      </c>
      <c r="U28" s="10" t="str">
        <f>IF(Friedman!BU25=0,"",Friedman!BU25)</f>
        <v/>
      </c>
      <c r="V28" s="10" t="str">
        <f>IF(Friedman!BY25=0,"",Friedman!BY25)</f>
        <v/>
      </c>
      <c r="W28" s="10" t="str">
        <f>IF(Friedman!CC25=0,"",Friedman!CC25)</f>
        <v/>
      </c>
      <c r="X28" s="10" t="str">
        <f>IF(Friedman!CG25=0,"",Friedman!CG25)</f>
        <v/>
      </c>
      <c r="Y28" s="10"/>
      <c r="Z28" s="10"/>
      <c r="AA28" s="10"/>
      <c r="AB28" s="10"/>
      <c r="AC28" s="10"/>
      <c r="AD28" s="10"/>
      <c r="AE28" s="10"/>
      <c r="AF28" s="10"/>
      <c r="AG28" s="10" t="str">
        <f>IF(Friedman!D25=0,"",Friedman!D25)</f>
        <v/>
      </c>
    </row>
    <row r="29" spans="2:33" s="25" customFormat="1" ht="14.25" customHeight="1">
      <c r="B29" s="154" t="s">
        <v>28</v>
      </c>
      <c r="C29" s="155">
        <f>'Daily &amp; Weekly Totals'!E37</f>
        <v>43943</v>
      </c>
      <c r="E29" s="10" t="str">
        <f>IF(Friedman!I26=0,"",Friedman!I26)</f>
        <v/>
      </c>
      <c r="F29" s="10" t="str">
        <f>IF(Friedman!M26=0,"",Friedman!M26)</f>
        <v/>
      </c>
      <c r="G29" s="10" t="str">
        <f>IF(Friedman!Q26=0,"",Friedman!Q26)</f>
        <v/>
      </c>
      <c r="H29" s="10" t="str">
        <f>IF(Friedman!U26=0,"",Friedman!U26)</f>
        <v/>
      </c>
      <c r="I29" s="10" t="str">
        <f>IF(Friedman!Y26=0,"",Friedman!Y26)</f>
        <v/>
      </c>
      <c r="J29" s="10" t="str">
        <f>IF(Friedman!AC26=0,"",Friedman!AC26)</f>
        <v/>
      </c>
      <c r="K29" s="10" t="str">
        <f>IF(Friedman!AG26=0,"",Friedman!AG26)</f>
        <v/>
      </c>
      <c r="L29" s="10" t="str">
        <f>IF(Friedman!AK26=0,"",Friedman!AK26)</f>
        <v/>
      </c>
      <c r="M29" s="10" t="str">
        <f>IF(Friedman!AO26=0,"",Friedman!AO26)</f>
        <v/>
      </c>
      <c r="N29" s="10" t="str">
        <f>IF(Friedman!AS26=0,"",Friedman!AS26)</f>
        <v/>
      </c>
      <c r="O29" s="10" t="str">
        <f>IF(Friedman!AW26=0,"",Friedman!AW26)</f>
        <v/>
      </c>
      <c r="P29" s="10" t="str">
        <f>IF(Friedman!BA26=0,"",Friedman!BA26)</f>
        <v/>
      </c>
      <c r="Q29" s="10" t="str">
        <f>IF(Friedman!BE26=0,"",Friedman!BE26)</f>
        <v/>
      </c>
      <c r="R29" s="10" t="str">
        <f>IF(Friedman!BI26=0,"",Friedman!BI26)</f>
        <v/>
      </c>
      <c r="S29" s="10" t="str">
        <f>IF(Friedman!BM26=0,"",Friedman!BM26)</f>
        <v/>
      </c>
      <c r="T29" s="10" t="str">
        <f>IF(Friedman!BQ26=0,"",Friedman!BQ26)</f>
        <v/>
      </c>
      <c r="U29" s="10" t="str">
        <f>IF(Friedman!BU26=0,"",Friedman!BU26)</f>
        <v/>
      </c>
      <c r="V29" s="10" t="str">
        <f>IF(Friedman!BY26=0,"",Friedman!BY26)</f>
        <v/>
      </c>
      <c r="W29" s="10" t="str">
        <f>IF(Friedman!CC26=0,"",Friedman!CC26)</f>
        <v/>
      </c>
      <c r="X29" s="10" t="str">
        <f>IF(Friedman!CG26=0,"",Friedman!CG26)</f>
        <v/>
      </c>
      <c r="Y29" s="10"/>
      <c r="Z29" s="10"/>
      <c r="AA29" s="10"/>
      <c r="AB29" s="10"/>
      <c r="AC29" s="10"/>
      <c r="AD29" s="10"/>
      <c r="AE29" s="10"/>
      <c r="AF29" s="10"/>
      <c r="AG29" s="10" t="str">
        <f>IF(Friedman!D26=0,"",Friedman!D26)</f>
        <v/>
      </c>
    </row>
    <row r="30" spans="2:33" s="25" customFormat="1" ht="14.25" customHeight="1">
      <c r="B30" s="154" t="s">
        <v>29</v>
      </c>
      <c r="C30" s="155">
        <f>'Daily &amp; Weekly Totals'!E38</f>
        <v>43944</v>
      </c>
      <c r="E30" s="10" t="str">
        <f>IF(Friedman!I27=0,"",Friedman!I27)</f>
        <v/>
      </c>
      <c r="F30" s="10" t="str">
        <f>IF(Friedman!M27=0,"",Friedman!M27)</f>
        <v/>
      </c>
      <c r="G30" s="10" t="str">
        <f>IF(Friedman!Q27=0,"",Friedman!Q27)</f>
        <v/>
      </c>
      <c r="H30" s="10" t="str">
        <f>IF(Friedman!U27=0,"",Friedman!U27)</f>
        <v/>
      </c>
      <c r="I30" s="10" t="str">
        <f>IF(Friedman!Y27=0,"",Friedman!Y27)</f>
        <v/>
      </c>
      <c r="J30" s="10" t="str">
        <f>IF(Friedman!AC27=0,"",Friedman!AC27)</f>
        <v/>
      </c>
      <c r="K30" s="10" t="str">
        <f>IF(Friedman!AG27=0,"",Friedman!AG27)</f>
        <v/>
      </c>
      <c r="L30" s="10" t="str">
        <f>IF(Friedman!AK27=0,"",Friedman!AK27)</f>
        <v/>
      </c>
      <c r="M30" s="10" t="str">
        <f>IF(Friedman!AO27=0,"",Friedman!AO27)</f>
        <v/>
      </c>
      <c r="N30" s="10" t="str">
        <f>IF(Friedman!AS27=0,"",Friedman!AS27)</f>
        <v/>
      </c>
      <c r="O30" s="10" t="str">
        <f>IF(Friedman!AW27=0,"",Friedman!AW27)</f>
        <v/>
      </c>
      <c r="P30" s="10" t="str">
        <f>IF(Friedman!BA27=0,"",Friedman!BA27)</f>
        <v/>
      </c>
      <c r="Q30" s="10" t="str">
        <f>IF(Friedman!BE27=0,"",Friedman!BE27)</f>
        <v/>
      </c>
      <c r="R30" s="10" t="str">
        <f>IF(Friedman!BI27=0,"",Friedman!BI27)</f>
        <v/>
      </c>
      <c r="S30" s="10" t="str">
        <f>IF(Friedman!BM27=0,"",Friedman!BM27)</f>
        <v/>
      </c>
      <c r="T30" s="10" t="str">
        <f>IF(Friedman!BQ27=0,"",Friedman!BQ27)</f>
        <v/>
      </c>
      <c r="U30" s="10" t="str">
        <f>IF(Friedman!BU27=0,"",Friedman!BU27)</f>
        <v/>
      </c>
      <c r="V30" s="10" t="str">
        <f>IF(Friedman!BY27=0,"",Friedman!BY27)</f>
        <v/>
      </c>
      <c r="W30" s="10" t="str">
        <f>IF(Friedman!CC27=0,"",Friedman!CC27)</f>
        <v/>
      </c>
      <c r="X30" s="10" t="str">
        <f>IF(Friedman!CG27=0,"",Friedman!CG27)</f>
        <v/>
      </c>
      <c r="Y30" s="10"/>
      <c r="Z30" s="10"/>
      <c r="AA30" s="10"/>
      <c r="AB30" s="10"/>
      <c r="AC30" s="10"/>
      <c r="AD30" s="10"/>
      <c r="AE30" s="10"/>
      <c r="AF30" s="10"/>
      <c r="AG30" s="10" t="str">
        <f>IF(Friedman!D27=0,"",Friedman!D27)</f>
        <v/>
      </c>
    </row>
    <row r="31" spans="2:33" s="25" customFormat="1" ht="14.25" customHeight="1">
      <c r="B31" s="154" t="s">
        <v>30</v>
      </c>
      <c r="C31" s="155">
        <f>'Daily &amp; Weekly Totals'!E39</f>
        <v>43945</v>
      </c>
      <c r="E31" s="10" t="str">
        <f>IF(Friedman!I28=0,"",Friedman!I28)</f>
        <v/>
      </c>
      <c r="F31" s="10" t="str">
        <f>IF(Friedman!M28=0,"",Friedman!M28)</f>
        <v/>
      </c>
      <c r="G31" s="10" t="str">
        <f>IF(Friedman!Q28=0,"",Friedman!Q28)</f>
        <v/>
      </c>
      <c r="H31" s="10" t="str">
        <f>IF(Friedman!U28=0,"",Friedman!U28)</f>
        <v/>
      </c>
      <c r="I31" s="10" t="str">
        <f>IF(Friedman!Y28=0,"",Friedman!Y28)</f>
        <v/>
      </c>
      <c r="J31" s="10" t="str">
        <f>IF(Friedman!AC28=0,"",Friedman!AC28)</f>
        <v/>
      </c>
      <c r="K31" s="10" t="str">
        <f>IF(Friedman!AG28=0,"",Friedman!AG28)</f>
        <v/>
      </c>
      <c r="L31" s="10" t="str">
        <f>IF(Friedman!AK28=0,"",Friedman!AK28)</f>
        <v/>
      </c>
      <c r="M31" s="10" t="str">
        <f>IF(Friedman!AO28=0,"",Friedman!AO28)</f>
        <v/>
      </c>
      <c r="N31" s="10" t="str">
        <f>IF(Friedman!AS28=0,"",Friedman!AS28)</f>
        <v/>
      </c>
      <c r="O31" s="10" t="str">
        <f>IF(Friedman!AW28=0,"",Friedman!AW28)</f>
        <v/>
      </c>
      <c r="P31" s="10" t="str">
        <f>IF(Friedman!BA28=0,"",Friedman!BA28)</f>
        <v/>
      </c>
      <c r="Q31" s="10" t="str">
        <f>IF(Friedman!BE28=0,"",Friedman!BE28)</f>
        <v/>
      </c>
      <c r="R31" s="10" t="str">
        <f>IF(Friedman!BI28=0,"",Friedman!BI28)</f>
        <v/>
      </c>
      <c r="S31" s="10" t="str">
        <f>IF(Friedman!BM28=0,"",Friedman!BM28)</f>
        <v/>
      </c>
      <c r="T31" s="10" t="str">
        <f>IF(Friedman!BQ28=0,"",Friedman!BQ28)</f>
        <v/>
      </c>
      <c r="U31" s="10" t="str">
        <f>IF(Friedman!BU28=0,"",Friedman!BU28)</f>
        <v/>
      </c>
      <c r="V31" s="10" t="str">
        <f>IF(Friedman!BY28=0,"",Friedman!BY28)</f>
        <v/>
      </c>
      <c r="W31" s="10" t="str">
        <f>IF(Friedman!CC28=0,"",Friedman!CC28)</f>
        <v/>
      </c>
      <c r="X31" s="10" t="str">
        <f>IF(Friedman!CG28=0,"",Friedman!CG28)</f>
        <v/>
      </c>
      <c r="Y31" s="10"/>
      <c r="Z31" s="10"/>
      <c r="AA31" s="10"/>
      <c r="AB31" s="10"/>
      <c r="AC31" s="10"/>
      <c r="AD31" s="10"/>
      <c r="AE31" s="10"/>
      <c r="AF31" s="10"/>
      <c r="AG31" s="10" t="str">
        <f>IF(Friedman!D28=0,"",Friedman!D28)</f>
        <v/>
      </c>
    </row>
    <row r="32" spans="2:33" s="25" customFormat="1" ht="14.25" customHeight="1">
      <c r="B32" s="154" t="s">
        <v>31</v>
      </c>
      <c r="C32" s="155">
        <f>'Daily &amp; Weekly Totals'!E40</f>
        <v>43946</v>
      </c>
      <c r="E32" s="10" t="str">
        <f>IF(Friedman!I29=0,"",Friedman!I29)</f>
        <v/>
      </c>
      <c r="F32" s="10" t="str">
        <f>IF(Friedman!M29=0,"",Friedman!M29)</f>
        <v/>
      </c>
      <c r="G32" s="10" t="str">
        <f>IF(Friedman!Q29=0,"",Friedman!Q29)</f>
        <v/>
      </c>
      <c r="H32" s="10" t="str">
        <f>IF(Friedman!U29=0,"",Friedman!U29)</f>
        <v/>
      </c>
      <c r="I32" s="10" t="str">
        <f>IF(Friedman!Y29=0,"",Friedman!Y29)</f>
        <v/>
      </c>
      <c r="J32" s="10" t="str">
        <f>IF(Friedman!AC29=0,"",Friedman!AC29)</f>
        <v/>
      </c>
      <c r="K32" s="10" t="str">
        <f>IF(Friedman!AG29=0,"",Friedman!AG29)</f>
        <v/>
      </c>
      <c r="L32" s="10" t="str">
        <f>IF(Friedman!AK29=0,"",Friedman!AK29)</f>
        <v/>
      </c>
      <c r="M32" s="10" t="str">
        <f>IF(Friedman!AO29=0,"",Friedman!AO29)</f>
        <v/>
      </c>
      <c r="N32" s="10" t="str">
        <f>IF(Friedman!AS29=0,"",Friedman!AS29)</f>
        <v/>
      </c>
      <c r="O32" s="10" t="str">
        <f>IF(Friedman!AW29=0,"",Friedman!AW29)</f>
        <v/>
      </c>
      <c r="P32" s="10" t="str">
        <f>IF(Friedman!BA29=0,"",Friedman!BA29)</f>
        <v/>
      </c>
      <c r="Q32" s="10" t="str">
        <f>IF(Friedman!BE29=0,"",Friedman!BE29)</f>
        <v/>
      </c>
      <c r="R32" s="10" t="str">
        <f>IF(Friedman!BI29=0,"",Friedman!BI29)</f>
        <v/>
      </c>
      <c r="S32" s="10" t="str">
        <f>IF(Friedman!BM29=0,"",Friedman!BM29)</f>
        <v/>
      </c>
      <c r="T32" s="10" t="str">
        <f>IF(Friedman!BQ29=0,"",Friedman!BQ29)</f>
        <v/>
      </c>
      <c r="U32" s="10" t="str">
        <f>IF(Friedman!BU29=0,"",Friedman!BU29)</f>
        <v/>
      </c>
      <c r="V32" s="10" t="str">
        <f>IF(Friedman!BY29=0,"",Friedman!BY29)</f>
        <v/>
      </c>
      <c r="W32" s="10" t="str">
        <f>IF(Friedman!CC29=0,"",Friedman!CC29)</f>
        <v/>
      </c>
      <c r="X32" s="10" t="str">
        <f>IF(Friedman!CG29=0,"",Friedman!CG29)</f>
        <v/>
      </c>
      <c r="Y32" s="10"/>
      <c r="Z32" s="10"/>
      <c r="AA32" s="10"/>
      <c r="AB32" s="10"/>
      <c r="AC32" s="10"/>
      <c r="AD32" s="10"/>
      <c r="AE32" s="10"/>
      <c r="AF32" s="10"/>
      <c r="AG32" s="10" t="str">
        <f>IF(Friedman!D29=0,"",Friedman!D29)</f>
        <v/>
      </c>
    </row>
    <row r="33" spans="2:33" s="25" customFormat="1" ht="14.25" customHeight="1">
      <c r="B33" s="154" t="s">
        <v>32</v>
      </c>
      <c r="C33" s="155">
        <f>'Daily &amp; Weekly Totals'!E41</f>
        <v>43947</v>
      </c>
      <c r="E33" s="10" t="str">
        <f>IF(Friedman!I30=0,"",Friedman!I30)</f>
        <v/>
      </c>
      <c r="F33" s="10" t="str">
        <f>IF(Friedman!M30=0,"",Friedman!M30)</f>
        <v/>
      </c>
      <c r="G33" s="10" t="str">
        <f>IF(Friedman!Q30=0,"",Friedman!Q30)</f>
        <v/>
      </c>
      <c r="H33" s="10" t="str">
        <f>IF(Friedman!U30=0,"",Friedman!U30)</f>
        <v/>
      </c>
      <c r="I33" s="10" t="str">
        <f>IF(Friedman!Y30=0,"",Friedman!Y30)</f>
        <v/>
      </c>
      <c r="J33" s="10" t="str">
        <f>IF(Friedman!AC30=0,"",Friedman!AC30)</f>
        <v/>
      </c>
      <c r="K33" s="10" t="str">
        <f>IF(Friedman!AG30=0,"",Friedman!AG30)</f>
        <v/>
      </c>
      <c r="L33" s="10" t="str">
        <f>IF(Friedman!AK30=0,"",Friedman!AK30)</f>
        <v/>
      </c>
      <c r="M33" s="10" t="str">
        <f>IF(Friedman!AO30=0,"",Friedman!AO30)</f>
        <v/>
      </c>
      <c r="N33" s="10" t="str">
        <f>IF(Friedman!AS30=0,"",Friedman!AS30)</f>
        <v/>
      </c>
      <c r="O33" s="10" t="str">
        <f>IF(Friedman!AW30=0,"",Friedman!AW30)</f>
        <v/>
      </c>
      <c r="P33" s="10" t="str">
        <f>IF(Friedman!BA30=0,"",Friedman!BA30)</f>
        <v/>
      </c>
      <c r="Q33" s="10" t="str">
        <f>IF(Friedman!BE30=0,"",Friedman!BE30)</f>
        <v/>
      </c>
      <c r="R33" s="10" t="str">
        <f>IF(Friedman!BI30=0,"",Friedman!BI30)</f>
        <v/>
      </c>
      <c r="S33" s="10" t="str">
        <f>IF(Friedman!BM30=0,"",Friedman!BM30)</f>
        <v/>
      </c>
      <c r="T33" s="10" t="str">
        <f>IF(Friedman!BQ30=0,"",Friedman!BQ30)</f>
        <v/>
      </c>
      <c r="U33" s="10" t="str">
        <f>IF(Friedman!BU30=0,"",Friedman!BU30)</f>
        <v/>
      </c>
      <c r="V33" s="10" t="str">
        <f>IF(Friedman!BY30=0,"",Friedman!BY30)</f>
        <v/>
      </c>
      <c r="W33" s="10" t="str">
        <f>IF(Friedman!CC30=0,"",Friedman!CC30)</f>
        <v/>
      </c>
      <c r="X33" s="10" t="str">
        <f>IF(Friedman!CG30=0,"",Friedman!CG30)</f>
        <v/>
      </c>
      <c r="Y33" s="10"/>
      <c r="Z33" s="10"/>
      <c r="AA33" s="10"/>
      <c r="AB33" s="10"/>
      <c r="AC33" s="10"/>
      <c r="AD33" s="10"/>
      <c r="AE33" s="10"/>
      <c r="AF33" s="10"/>
      <c r="AG33" s="10" t="str">
        <f>IF(Friedman!D30=0,"",Friedman!D30)</f>
        <v/>
      </c>
    </row>
    <row r="34" spans="2:33" s="25" customFormat="1" ht="14.25" customHeight="1">
      <c r="B34" s="154" t="s">
        <v>26</v>
      </c>
      <c r="C34" s="155">
        <f>'Daily &amp; Weekly Totals'!E45</f>
        <v>43948</v>
      </c>
      <c r="E34" s="10" t="str">
        <f>IF(Friedman!I31=0,"",Friedman!I31)</f>
        <v/>
      </c>
      <c r="F34" s="10" t="str">
        <f>IF(Friedman!M31=0,"",Friedman!M31)</f>
        <v/>
      </c>
      <c r="G34" s="10" t="str">
        <f>IF(Friedman!Q31=0,"",Friedman!Q31)</f>
        <v/>
      </c>
      <c r="H34" s="10" t="str">
        <f>IF(Friedman!U31=0,"",Friedman!U31)</f>
        <v/>
      </c>
      <c r="I34" s="10" t="str">
        <f>IF(Friedman!Y31=0,"",Friedman!Y31)</f>
        <v/>
      </c>
      <c r="J34" s="10" t="str">
        <f>IF(Friedman!AC31=0,"",Friedman!AC31)</f>
        <v/>
      </c>
      <c r="K34" s="10" t="str">
        <f>IF(Friedman!AG31=0,"",Friedman!AG31)</f>
        <v/>
      </c>
      <c r="L34" s="10" t="str">
        <f>IF(Friedman!AK31=0,"",Friedman!AK31)</f>
        <v/>
      </c>
      <c r="M34" s="10" t="str">
        <f>IF(Friedman!AO31=0,"",Friedman!AO31)</f>
        <v/>
      </c>
      <c r="N34" s="10" t="str">
        <f>IF(Friedman!AS31=0,"",Friedman!AS31)</f>
        <v/>
      </c>
      <c r="O34" s="10" t="str">
        <f>IF(Friedman!AW31=0,"",Friedman!AW31)</f>
        <v/>
      </c>
      <c r="P34" s="10" t="str">
        <f>IF(Friedman!BA31=0,"",Friedman!BA31)</f>
        <v/>
      </c>
      <c r="Q34" s="10" t="str">
        <f>IF(Friedman!BE31=0,"",Friedman!BE31)</f>
        <v/>
      </c>
      <c r="R34" s="10" t="str">
        <f>IF(Friedman!BI31=0,"",Friedman!BI31)</f>
        <v/>
      </c>
      <c r="S34" s="10" t="str">
        <f>IF(Friedman!BM31=0,"",Friedman!BM31)</f>
        <v/>
      </c>
      <c r="T34" s="10" t="str">
        <f>IF(Friedman!BQ31=0,"",Friedman!BQ31)</f>
        <v/>
      </c>
      <c r="U34" s="10" t="str">
        <f>IF(Friedman!BU31=0,"",Friedman!BU31)</f>
        <v/>
      </c>
      <c r="V34" s="10" t="str">
        <f>IF(Friedman!BY31=0,"",Friedman!BY31)</f>
        <v/>
      </c>
      <c r="W34" s="10" t="str">
        <f>IF(Friedman!CC31=0,"",Friedman!CC31)</f>
        <v/>
      </c>
      <c r="X34" s="10" t="str">
        <f>IF(Friedman!CG31=0,"",Friedman!CG31)</f>
        <v/>
      </c>
      <c r="Y34" s="10"/>
      <c r="Z34" s="10"/>
      <c r="AA34" s="10"/>
      <c r="AB34" s="10"/>
      <c r="AC34" s="10"/>
      <c r="AD34" s="10"/>
      <c r="AE34" s="10"/>
      <c r="AF34" s="10"/>
      <c r="AG34" s="10" t="str">
        <f>IF(Friedman!D31=0,"",Friedman!D31)</f>
        <v/>
      </c>
    </row>
    <row r="35" spans="2:33" s="25" customFormat="1" ht="14.25" customHeight="1">
      <c r="B35" s="154" t="s">
        <v>27</v>
      </c>
      <c r="C35" s="155">
        <f>'Daily &amp; Weekly Totals'!E46</f>
        <v>43949</v>
      </c>
      <c r="E35" s="10" t="str">
        <f>IF(Friedman!I32=0,"",Friedman!I32)</f>
        <v/>
      </c>
      <c r="F35" s="10" t="str">
        <f>IF(Friedman!M32=0,"",Friedman!M32)</f>
        <v/>
      </c>
      <c r="G35" s="10" t="str">
        <f>IF(Friedman!Q32=0,"",Friedman!Q32)</f>
        <v/>
      </c>
      <c r="H35" s="10" t="str">
        <f>IF(Friedman!U32=0,"",Friedman!U32)</f>
        <v/>
      </c>
      <c r="I35" s="10" t="str">
        <f>IF(Friedman!Y32=0,"",Friedman!Y32)</f>
        <v/>
      </c>
      <c r="J35" s="10" t="str">
        <f>IF(Friedman!AC32=0,"",Friedman!AC32)</f>
        <v/>
      </c>
      <c r="K35" s="10" t="str">
        <f>IF(Friedman!AG32=0,"",Friedman!AG32)</f>
        <v/>
      </c>
      <c r="L35" s="10" t="str">
        <f>IF(Friedman!AK32=0,"",Friedman!AK32)</f>
        <v/>
      </c>
      <c r="M35" s="10" t="str">
        <f>IF(Friedman!AO32=0,"",Friedman!AO32)</f>
        <v/>
      </c>
      <c r="N35" s="10" t="str">
        <f>IF(Friedman!AS32=0,"",Friedman!AS32)</f>
        <v/>
      </c>
      <c r="O35" s="10" t="str">
        <f>IF(Friedman!AW32=0,"",Friedman!AW32)</f>
        <v/>
      </c>
      <c r="P35" s="10" t="str">
        <f>IF(Friedman!BA32=0,"",Friedman!BA32)</f>
        <v/>
      </c>
      <c r="Q35" s="10" t="str">
        <f>IF(Friedman!BE32=0,"",Friedman!BE32)</f>
        <v/>
      </c>
      <c r="R35" s="10" t="str">
        <f>IF(Friedman!BI32=0,"",Friedman!BI32)</f>
        <v/>
      </c>
      <c r="S35" s="10" t="str">
        <f>IF(Friedman!BM32=0,"",Friedman!BM32)</f>
        <v/>
      </c>
      <c r="T35" s="10" t="str">
        <f>IF(Friedman!BQ32=0,"",Friedman!BQ32)</f>
        <v/>
      </c>
      <c r="U35" s="10" t="str">
        <f>IF(Friedman!BU32=0,"",Friedman!BU32)</f>
        <v/>
      </c>
      <c r="V35" s="10" t="str">
        <f>IF(Friedman!BY32=0,"",Friedman!BY32)</f>
        <v/>
      </c>
      <c r="W35" s="10" t="str">
        <f>IF(Friedman!CC32=0,"",Friedman!CC32)</f>
        <v/>
      </c>
      <c r="X35" s="10" t="str">
        <f>IF(Friedman!CG32=0,"",Friedman!CG32)</f>
        <v/>
      </c>
      <c r="Y35" s="10"/>
      <c r="Z35" s="10"/>
      <c r="AA35" s="10"/>
      <c r="AB35" s="10"/>
      <c r="AC35" s="10"/>
      <c r="AD35" s="10"/>
      <c r="AE35" s="10"/>
      <c r="AF35" s="10"/>
      <c r="AG35" s="10" t="str">
        <f>IF(Friedman!D32=0,"",Friedman!D32)</f>
        <v/>
      </c>
    </row>
    <row r="36" spans="2:33" s="25" customFormat="1" ht="14.25" customHeight="1">
      <c r="B36" s="154" t="s">
        <v>28</v>
      </c>
      <c r="C36" s="155">
        <f>'Daily &amp; Weekly Totals'!E47</f>
        <v>43950</v>
      </c>
      <c r="E36" s="10" t="str">
        <f>IF(Friedman!I33=0,"",Friedman!I33)</f>
        <v/>
      </c>
      <c r="F36" s="10" t="str">
        <f>IF(Friedman!M33=0,"",Friedman!M33)</f>
        <v/>
      </c>
      <c r="G36" s="10" t="str">
        <f>IF(Friedman!Q33=0,"",Friedman!Q33)</f>
        <v/>
      </c>
      <c r="H36" s="10" t="str">
        <f>IF(Friedman!U33=0,"",Friedman!U33)</f>
        <v/>
      </c>
      <c r="I36" s="10" t="str">
        <f>IF(Friedman!Y33=0,"",Friedman!Y33)</f>
        <v/>
      </c>
      <c r="J36" s="10" t="str">
        <f>IF(Friedman!AC33=0,"",Friedman!AC33)</f>
        <v/>
      </c>
      <c r="K36" s="10" t="str">
        <f>IF(Friedman!AG33=0,"",Friedman!AG33)</f>
        <v/>
      </c>
      <c r="L36" s="10" t="str">
        <f>IF(Friedman!AK33=0,"",Friedman!AK33)</f>
        <v/>
      </c>
      <c r="M36" s="10" t="str">
        <f>IF(Friedman!AO33=0,"",Friedman!AO33)</f>
        <v/>
      </c>
      <c r="N36" s="10" t="str">
        <f>IF(Friedman!AS33=0,"",Friedman!AS33)</f>
        <v/>
      </c>
      <c r="O36" s="10" t="str">
        <f>IF(Friedman!AW33=0,"",Friedman!AW33)</f>
        <v/>
      </c>
      <c r="P36" s="10" t="str">
        <f>IF(Friedman!BA33=0,"",Friedman!BA33)</f>
        <v/>
      </c>
      <c r="Q36" s="10" t="str">
        <f>IF(Friedman!BE33=0,"",Friedman!BE33)</f>
        <v/>
      </c>
      <c r="R36" s="10" t="str">
        <f>IF(Friedman!BI33=0,"",Friedman!BI33)</f>
        <v/>
      </c>
      <c r="S36" s="10" t="str">
        <f>IF(Friedman!BM33=0,"",Friedman!BM33)</f>
        <v/>
      </c>
      <c r="T36" s="10" t="str">
        <f>IF(Friedman!BQ33=0,"",Friedman!BQ33)</f>
        <v/>
      </c>
      <c r="U36" s="10" t="str">
        <f>IF(Friedman!BU33=0,"",Friedman!BU33)</f>
        <v/>
      </c>
      <c r="V36" s="10" t="str">
        <f>IF(Friedman!BY33=0,"",Friedman!BY33)</f>
        <v/>
      </c>
      <c r="W36" s="10" t="str">
        <f>IF(Friedman!CC33=0,"",Friedman!CC33)</f>
        <v/>
      </c>
      <c r="X36" s="10" t="str">
        <f>IF(Friedman!CG33=0,"",Friedman!CG33)</f>
        <v/>
      </c>
      <c r="Y36" s="10"/>
      <c r="Z36" s="10"/>
      <c r="AA36" s="10"/>
      <c r="AB36" s="10"/>
      <c r="AC36" s="10"/>
      <c r="AD36" s="10"/>
      <c r="AE36" s="10"/>
      <c r="AF36" s="10"/>
      <c r="AG36" s="10" t="str">
        <f>IF(Friedman!D33=0,"",Friedman!D33)</f>
        <v/>
      </c>
    </row>
    <row r="37" spans="2:33" s="25" customFormat="1" ht="14.25" customHeight="1">
      <c r="B37" s="154" t="s">
        <v>29</v>
      </c>
      <c r="C37" s="155">
        <f>'Daily &amp; Weekly Totals'!E48</f>
        <v>43951</v>
      </c>
      <c r="E37" s="10" t="str">
        <f>IF(Friedman!I34=0,"",Friedman!I34)</f>
        <v/>
      </c>
      <c r="F37" s="10" t="str">
        <f>IF(Friedman!M34=0,"",Friedman!M34)</f>
        <v/>
      </c>
      <c r="G37" s="10" t="str">
        <f>IF(Friedman!Q34=0,"",Friedman!Q34)</f>
        <v/>
      </c>
      <c r="H37" s="10" t="str">
        <f>IF(Friedman!U34=0,"",Friedman!U34)</f>
        <v/>
      </c>
      <c r="I37" s="10" t="str">
        <f>IF(Friedman!Y34=0,"",Friedman!Y34)</f>
        <v/>
      </c>
      <c r="J37" s="10" t="str">
        <f>IF(Friedman!AC34=0,"",Friedman!AC34)</f>
        <v/>
      </c>
      <c r="K37" s="10" t="str">
        <f>IF(Friedman!AG34=0,"",Friedman!AG34)</f>
        <v/>
      </c>
      <c r="L37" s="10" t="str">
        <f>IF(Friedman!AK34=0,"",Friedman!AK34)</f>
        <v/>
      </c>
      <c r="M37" s="10" t="str">
        <f>IF(Friedman!AO34=0,"",Friedman!AO34)</f>
        <v/>
      </c>
      <c r="N37" s="10" t="str">
        <f>IF(Friedman!AS34=0,"",Friedman!AS34)</f>
        <v/>
      </c>
      <c r="O37" s="10" t="str">
        <f>IF(Friedman!AW34=0,"",Friedman!AW34)</f>
        <v/>
      </c>
      <c r="P37" s="10" t="str">
        <f>IF(Friedman!BA34=0,"",Friedman!BA34)</f>
        <v/>
      </c>
      <c r="Q37" s="10" t="str">
        <f>IF(Friedman!BE34=0,"",Friedman!BE34)</f>
        <v/>
      </c>
      <c r="R37" s="10" t="str">
        <f>IF(Friedman!BI34=0,"",Friedman!BI34)</f>
        <v/>
      </c>
      <c r="S37" s="10" t="str">
        <f>IF(Friedman!BM34=0,"",Friedman!BM34)</f>
        <v/>
      </c>
      <c r="T37" s="10" t="str">
        <f>IF(Friedman!BQ34=0,"",Friedman!BQ34)</f>
        <v/>
      </c>
      <c r="U37" s="10" t="str">
        <f>IF(Friedman!BU34=0,"",Friedman!BU34)</f>
        <v/>
      </c>
      <c r="V37" s="10" t="str">
        <f>IF(Friedman!BY34=0,"",Friedman!BY34)</f>
        <v/>
      </c>
      <c r="W37" s="10" t="str">
        <f>IF(Friedman!CC34=0,"",Friedman!CC34)</f>
        <v/>
      </c>
      <c r="X37" s="10" t="str">
        <f>IF(Friedman!CG34=0,"",Friedman!CG34)</f>
        <v/>
      </c>
      <c r="Y37" s="10"/>
      <c r="Z37" s="10"/>
      <c r="AA37" s="10"/>
      <c r="AB37" s="10"/>
      <c r="AC37" s="10"/>
      <c r="AD37" s="10"/>
      <c r="AE37" s="10"/>
      <c r="AF37" s="10"/>
      <c r="AG37" s="10" t="str">
        <f>IF(Friedman!D34=0,"",Friedman!D34)</f>
        <v/>
      </c>
    </row>
    <row r="38" spans="2:33" s="25" customFormat="1" ht="14.25" customHeight="1">
      <c r="B38" s="154" t="s">
        <v>30</v>
      </c>
      <c r="C38" s="155">
        <f>'Daily &amp; Weekly Totals'!E49</f>
        <v>43952</v>
      </c>
      <c r="E38" s="10" t="str">
        <f>IF(Friedman!I35=0,"",Friedman!I35)</f>
        <v/>
      </c>
      <c r="F38" s="10" t="str">
        <f>IF(Friedman!M35=0,"",Friedman!M35)</f>
        <v/>
      </c>
      <c r="G38" s="10" t="str">
        <f>IF(Friedman!Q35=0,"",Friedman!Q35)</f>
        <v/>
      </c>
      <c r="H38" s="10" t="str">
        <f>IF(Friedman!U35=0,"",Friedman!U35)</f>
        <v/>
      </c>
      <c r="I38" s="10" t="str">
        <f>IF(Friedman!Y35=0,"",Friedman!Y35)</f>
        <v/>
      </c>
      <c r="J38" s="10" t="str">
        <f>IF(Friedman!AC35=0,"",Friedman!AC35)</f>
        <v/>
      </c>
      <c r="K38" s="10" t="str">
        <f>IF(Friedman!AG35=0,"",Friedman!AG35)</f>
        <v/>
      </c>
      <c r="L38" s="10" t="str">
        <f>IF(Friedman!AK35=0,"",Friedman!AK35)</f>
        <v/>
      </c>
      <c r="M38" s="10" t="str">
        <f>IF(Friedman!AO35=0,"",Friedman!AO35)</f>
        <v/>
      </c>
      <c r="N38" s="10" t="str">
        <f>IF(Friedman!AS35=0,"",Friedman!AS35)</f>
        <v/>
      </c>
      <c r="O38" s="10" t="str">
        <f>IF(Friedman!AW35=0,"",Friedman!AW35)</f>
        <v/>
      </c>
      <c r="P38" s="10" t="str">
        <f>IF(Friedman!BA35=0,"",Friedman!BA35)</f>
        <v/>
      </c>
      <c r="Q38" s="10" t="str">
        <f>IF(Friedman!BE35=0,"",Friedman!BE35)</f>
        <v/>
      </c>
      <c r="R38" s="10" t="str">
        <f>IF(Friedman!BI35=0,"",Friedman!BI35)</f>
        <v/>
      </c>
      <c r="S38" s="10" t="str">
        <f>IF(Friedman!BM35=0,"",Friedman!BM35)</f>
        <v/>
      </c>
      <c r="T38" s="10" t="str">
        <f>IF(Friedman!BQ35=0,"",Friedman!BQ35)</f>
        <v/>
      </c>
      <c r="U38" s="10" t="str">
        <f>IF(Friedman!BU35=0,"",Friedman!BU35)</f>
        <v/>
      </c>
      <c r="V38" s="10" t="str">
        <f>IF(Friedman!BY35=0,"",Friedman!BY35)</f>
        <v/>
      </c>
      <c r="W38" s="10" t="str">
        <f>IF(Friedman!CC35=0,"",Friedman!CC35)</f>
        <v/>
      </c>
      <c r="X38" s="10" t="str">
        <f>IF(Friedman!CG35=0,"",Friedman!CG35)</f>
        <v/>
      </c>
      <c r="Y38" s="10"/>
      <c r="Z38" s="10"/>
      <c r="AA38" s="10"/>
      <c r="AB38" s="10"/>
      <c r="AC38" s="10"/>
      <c r="AD38" s="10"/>
      <c r="AE38" s="10"/>
      <c r="AF38" s="10"/>
      <c r="AG38" s="10" t="str">
        <f>IF(Friedman!D35=0,"",Friedman!D35)</f>
        <v/>
      </c>
    </row>
    <row r="39" spans="2:33" s="25" customFormat="1" ht="14.25" customHeight="1">
      <c r="B39" s="154" t="s">
        <v>31</v>
      </c>
      <c r="C39" s="155">
        <f>'Daily &amp; Weekly Totals'!E50</f>
        <v>43953</v>
      </c>
      <c r="E39" s="10" t="str">
        <f>IF(Friedman!I36=0,"",Friedman!I36)</f>
        <v/>
      </c>
      <c r="F39" s="10" t="str">
        <f>IF(Friedman!M36=0,"",Friedman!M36)</f>
        <v/>
      </c>
      <c r="G39" s="10" t="str">
        <f>IF(Friedman!Q36=0,"",Friedman!Q36)</f>
        <v/>
      </c>
      <c r="H39" s="10" t="str">
        <f>IF(Friedman!U36=0,"",Friedman!U36)</f>
        <v/>
      </c>
      <c r="I39" s="10" t="str">
        <f>IF(Friedman!Y36=0,"",Friedman!Y36)</f>
        <v/>
      </c>
      <c r="J39" s="10" t="str">
        <f>IF(Friedman!AC36=0,"",Friedman!AC36)</f>
        <v/>
      </c>
      <c r="K39" s="10" t="str">
        <f>IF(Friedman!AG36=0,"",Friedman!AG36)</f>
        <v/>
      </c>
      <c r="L39" s="10" t="str">
        <f>IF(Friedman!AK36=0,"",Friedman!AK36)</f>
        <v/>
      </c>
      <c r="M39" s="10" t="str">
        <f>IF(Friedman!AO36=0,"",Friedman!AO36)</f>
        <v/>
      </c>
      <c r="N39" s="10" t="str">
        <f>IF(Friedman!AS36=0,"",Friedman!AS36)</f>
        <v/>
      </c>
      <c r="O39" s="10" t="str">
        <f>IF(Friedman!AW36=0,"",Friedman!AW36)</f>
        <v/>
      </c>
      <c r="P39" s="10" t="str">
        <f>IF(Friedman!BA36=0,"",Friedman!BA36)</f>
        <v/>
      </c>
      <c r="Q39" s="10" t="str">
        <f>IF(Friedman!BE36=0,"",Friedman!BE36)</f>
        <v/>
      </c>
      <c r="R39" s="10" t="str">
        <f>IF(Friedman!BI36=0,"",Friedman!BI36)</f>
        <v/>
      </c>
      <c r="S39" s="10" t="str">
        <f>IF(Friedman!BM36=0,"",Friedman!BM36)</f>
        <v/>
      </c>
      <c r="T39" s="10" t="str">
        <f>IF(Friedman!BQ36=0,"",Friedman!BQ36)</f>
        <v/>
      </c>
      <c r="U39" s="10" t="str">
        <f>IF(Friedman!BU36=0,"",Friedman!BU36)</f>
        <v/>
      </c>
      <c r="V39" s="10" t="str">
        <f>IF(Friedman!BY36=0,"",Friedman!BY36)</f>
        <v/>
      </c>
      <c r="W39" s="10" t="str">
        <f>IF(Friedman!CC36=0,"",Friedman!CC36)</f>
        <v/>
      </c>
      <c r="X39" s="10" t="str">
        <f>IF(Friedman!CG36=0,"",Friedman!CG36)</f>
        <v/>
      </c>
      <c r="Y39" s="10"/>
      <c r="Z39" s="10"/>
      <c r="AA39" s="10"/>
      <c r="AB39" s="10"/>
      <c r="AC39" s="10"/>
      <c r="AD39" s="10"/>
      <c r="AE39" s="10"/>
      <c r="AF39" s="10"/>
      <c r="AG39" s="10" t="str">
        <f>IF(Friedman!D36=0,"",Friedman!D36)</f>
        <v/>
      </c>
    </row>
    <row r="40" spans="2:33" s="25" customFormat="1" ht="14.25" customHeight="1">
      <c r="B40" s="154" t="s">
        <v>32</v>
      </c>
      <c r="C40" s="155">
        <f>'Daily &amp; Weekly Totals'!E51</f>
        <v>43954</v>
      </c>
      <c r="E40" s="10" t="str">
        <f>IF(Friedman!I37=0,"",Friedman!I37)</f>
        <v/>
      </c>
      <c r="F40" s="10" t="str">
        <f>IF(Friedman!M37=0,"",Friedman!M37)</f>
        <v/>
      </c>
      <c r="G40" s="10" t="str">
        <f>IF(Friedman!Q37=0,"",Friedman!Q37)</f>
        <v/>
      </c>
      <c r="H40" s="10" t="str">
        <f>IF(Friedman!U37=0,"",Friedman!U37)</f>
        <v/>
      </c>
      <c r="I40" s="10" t="str">
        <f>IF(Friedman!Y37=0,"",Friedman!Y37)</f>
        <v/>
      </c>
      <c r="J40" s="10" t="str">
        <f>IF(Friedman!AC37=0,"",Friedman!AC37)</f>
        <v/>
      </c>
      <c r="K40" s="10" t="str">
        <f>IF(Friedman!AG37=0,"",Friedman!AG37)</f>
        <v/>
      </c>
      <c r="L40" s="10" t="str">
        <f>IF(Friedman!AK37=0,"",Friedman!AK37)</f>
        <v/>
      </c>
      <c r="M40" s="10" t="str">
        <f>IF(Friedman!AO37=0,"",Friedman!AO37)</f>
        <v/>
      </c>
      <c r="N40" s="10" t="str">
        <f>IF(Friedman!AS37=0,"",Friedman!AS37)</f>
        <v/>
      </c>
      <c r="O40" s="10" t="str">
        <f>IF(Friedman!AW37=0,"",Friedman!AW37)</f>
        <v/>
      </c>
      <c r="P40" s="10" t="str">
        <f>IF(Friedman!BA37=0,"",Friedman!BA37)</f>
        <v/>
      </c>
      <c r="Q40" s="10" t="str">
        <f>IF(Friedman!BE37=0,"",Friedman!BE37)</f>
        <v/>
      </c>
      <c r="R40" s="10" t="str">
        <f>IF(Friedman!BI37=0,"",Friedman!BI37)</f>
        <v/>
      </c>
      <c r="S40" s="10" t="str">
        <f>IF(Friedman!BM37=0,"",Friedman!BM37)</f>
        <v/>
      </c>
      <c r="T40" s="10" t="str">
        <f>IF(Friedman!BQ37=0,"",Friedman!BQ37)</f>
        <v/>
      </c>
      <c r="U40" s="10" t="str">
        <f>IF(Friedman!BU37=0,"",Friedman!BU37)</f>
        <v/>
      </c>
      <c r="V40" s="10" t="str">
        <f>IF(Friedman!BY37=0,"",Friedman!BY37)</f>
        <v/>
      </c>
      <c r="W40" s="10" t="str">
        <f>IF(Friedman!CC37=0,"",Friedman!CC37)</f>
        <v/>
      </c>
      <c r="X40" s="10" t="str">
        <f>IF(Friedman!CG37=0,"",Friedman!CG37)</f>
        <v/>
      </c>
      <c r="Y40" s="10"/>
      <c r="Z40" s="10"/>
      <c r="AA40" s="10"/>
      <c r="AB40" s="10"/>
      <c r="AC40" s="10"/>
      <c r="AD40" s="10"/>
      <c r="AE40" s="10"/>
      <c r="AF40" s="10"/>
      <c r="AG40" s="10" t="str">
        <f>IF(Friedman!D37=0,"",Friedman!D37)</f>
        <v/>
      </c>
    </row>
    <row r="41" spans="2:33" s="25" customFormat="1" ht="14.25" customHeight="1">
      <c r="B41" s="154" t="s">
        <v>26</v>
      </c>
      <c r="C41" s="155">
        <f>'Daily &amp; Weekly Totals'!E55</f>
        <v>43955</v>
      </c>
      <c r="E41" s="10" t="str">
        <f>IF(Friedman!I38=0,"",Friedman!I38)</f>
        <v/>
      </c>
      <c r="F41" s="10" t="str">
        <f>IF(Friedman!M38=0,"",Friedman!M38)</f>
        <v/>
      </c>
      <c r="G41" s="10" t="str">
        <f>IF(Friedman!Q38=0,"",Friedman!Q38)</f>
        <v/>
      </c>
      <c r="H41" s="10" t="str">
        <f>IF(Friedman!U38=0,"",Friedman!U38)</f>
        <v/>
      </c>
      <c r="I41" s="10" t="str">
        <f>IF(Friedman!Y38=0,"",Friedman!Y38)</f>
        <v/>
      </c>
      <c r="J41" s="10" t="str">
        <f>IF(Friedman!AC38=0,"",Friedman!AC38)</f>
        <v/>
      </c>
      <c r="K41" s="10" t="str">
        <f>IF(Friedman!AG38=0,"",Friedman!AG38)</f>
        <v/>
      </c>
      <c r="L41" s="10" t="str">
        <f>IF(Friedman!AK38=0,"",Friedman!AK38)</f>
        <v/>
      </c>
      <c r="M41" s="10" t="str">
        <f>IF(Friedman!AO38=0,"",Friedman!AO38)</f>
        <v/>
      </c>
      <c r="N41" s="10" t="str">
        <f>IF(Friedman!AS38=0,"",Friedman!AS38)</f>
        <v/>
      </c>
      <c r="O41" s="10" t="str">
        <f>IF(Friedman!AW38=0,"",Friedman!AW38)</f>
        <v/>
      </c>
      <c r="P41" s="10" t="str">
        <f>IF(Friedman!BA38=0,"",Friedman!BA38)</f>
        <v/>
      </c>
      <c r="Q41" s="10" t="str">
        <f>IF(Friedman!BE38=0,"",Friedman!BE38)</f>
        <v/>
      </c>
      <c r="R41" s="10" t="str">
        <f>IF(Friedman!BI38=0,"",Friedman!BI38)</f>
        <v/>
      </c>
      <c r="S41" s="10" t="str">
        <f>IF(Friedman!BM38=0,"",Friedman!BM38)</f>
        <v/>
      </c>
      <c r="T41" s="10" t="str">
        <f>IF(Friedman!BQ38=0,"",Friedman!BQ38)</f>
        <v/>
      </c>
      <c r="U41" s="10" t="str">
        <f>IF(Friedman!BU38=0,"",Friedman!BU38)</f>
        <v/>
      </c>
      <c r="V41" s="10" t="str">
        <f>IF(Friedman!BY38=0,"",Friedman!BY38)</f>
        <v/>
      </c>
      <c r="W41" s="10" t="str">
        <f>IF(Friedman!CC38=0,"",Friedman!CC38)</f>
        <v/>
      </c>
      <c r="X41" s="10" t="str">
        <f>IF(Friedman!CG38=0,"",Friedman!CG38)</f>
        <v/>
      </c>
      <c r="Y41" s="10"/>
      <c r="Z41" s="10"/>
      <c r="AA41" s="10"/>
      <c r="AB41" s="10"/>
      <c r="AC41" s="10"/>
      <c r="AD41" s="10"/>
      <c r="AE41" s="10"/>
      <c r="AF41" s="10"/>
      <c r="AG41" s="10" t="str">
        <f>IF(Friedman!D38=0,"",Friedman!D38)</f>
        <v/>
      </c>
    </row>
    <row r="42" spans="2:33" s="25" customFormat="1" ht="14.25" customHeight="1">
      <c r="B42" s="154" t="s">
        <v>27</v>
      </c>
      <c r="C42" s="155">
        <f>'Daily &amp; Weekly Totals'!E56</f>
        <v>43956</v>
      </c>
      <c r="E42" s="10" t="str">
        <f>IF(Friedman!I39=0,"",Friedman!I39)</f>
        <v/>
      </c>
      <c r="F42" s="10" t="str">
        <f>IF(Friedman!M39=0,"",Friedman!M39)</f>
        <v/>
      </c>
      <c r="G42" s="10" t="str">
        <f>IF(Friedman!Q39=0,"",Friedman!Q39)</f>
        <v/>
      </c>
      <c r="H42" s="10" t="str">
        <f>IF(Friedman!U39=0,"",Friedman!U39)</f>
        <v/>
      </c>
      <c r="I42" s="10" t="str">
        <f>IF(Friedman!Y39=0,"",Friedman!Y39)</f>
        <v/>
      </c>
      <c r="J42" s="10" t="str">
        <f>IF(Friedman!AC39=0,"",Friedman!AC39)</f>
        <v/>
      </c>
      <c r="K42" s="10" t="str">
        <f>IF(Friedman!AG39=0,"",Friedman!AG39)</f>
        <v/>
      </c>
      <c r="L42" s="10" t="str">
        <f>IF(Friedman!AK39=0,"",Friedman!AK39)</f>
        <v/>
      </c>
      <c r="M42" s="10" t="str">
        <f>IF(Friedman!AO39=0,"",Friedman!AO39)</f>
        <v/>
      </c>
      <c r="N42" s="10" t="str">
        <f>IF(Friedman!AS39=0,"",Friedman!AS39)</f>
        <v/>
      </c>
      <c r="O42" s="10" t="str">
        <f>IF(Friedman!AW39=0,"",Friedman!AW39)</f>
        <v/>
      </c>
      <c r="P42" s="10" t="str">
        <f>IF(Friedman!BA39=0,"",Friedman!BA39)</f>
        <v/>
      </c>
      <c r="Q42" s="10" t="str">
        <f>IF(Friedman!BE39=0,"",Friedman!BE39)</f>
        <v/>
      </c>
      <c r="R42" s="10" t="str">
        <f>IF(Friedman!BI39=0,"",Friedman!BI39)</f>
        <v/>
      </c>
      <c r="S42" s="10" t="str">
        <f>IF(Friedman!BM39=0,"",Friedman!BM39)</f>
        <v/>
      </c>
      <c r="T42" s="10" t="str">
        <f>IF(Friedman!BQ39=0,"",Friedman!BQ39)</f>
        <v/>
      </c>
      <c r="U42" s="10" t="str">
        <f>IF(Friedman!BU39=0,"",Friedman!BU39)</f>
        <v/>
      </c>
      <c r="V42" s="10" t="str">
        <f>IF(Friedman!BY39=0,"",Friedman!BY39)</f>
        <v/>
      </c>
      <c r="W42" s="10" t="str">
        <f>IF(Friedman!CC39=0,"",Friedman!CC39)</f>
        <v/>
      </c>
      <c r="X42" s="10" t="str">
        <f>IF(Friedman!CG39=0,"",Friedman!CG39)</f>
        <v/>
      </c>
      <c r="Y42" s="10"/>
      <c r="Z42" s="10"/>
      <c r="AA42" s="10"/>
      <c r="AB42" s="10"/>
      <c r="AC42" s="10"/>
      <c r="AD42" s="10"/>
      <c r="AE42" s="10"/>
      <c r="AF42" s="10"/>
      <c r="AG42" s="10" t="str">
        <f>IF(Friedman!D39=0,"",Friedman!D39)</f>
        <v/>
      </c>
    </row>
    <row r="43" spans="2:33" s="25" customFormat="1" ht="14.25" customHeight="1">
      <c r="B43" s="154" t="s">
        <v>28</v>
      </c>
      <c r="C43" s="155">
        <f>'Daily &amp; Weekly Totals'!E57</f>
        <v>43957</v>
      </c>
      <c r="E43" s="10" t="str">
        <f>IF(Friedman!I40=0,"",Friedman!I40)</f>
        <v/>
      </c>
      <c r="F43" s="10" t="str">
        <f>IF(Friedman!M40=0,"",Friedman!M40)</f>
        <v/>
      </c>
      <c r="G43" s="10" t="str">
        <f>IF(Friedman!Q40=0,"",Friedman!Q40)</f>
        <v/>
      </c>
      <c r="H43" s="10" t="str">
        <f>IF(Friedman!U40=0,"",Friedman!U40)</f>
        <v/>
      </c>
      <c r="I43" s="10" t="str">
        <f>IF(Friedman!Y40=0,"",Friedman!Y40)</f>
        <v/>
      </c>
      <c r="J43" s="10" t="str">
        <f>IF(Friedman!AC40=0,"",Friedman!AC40)</f>
        <v/>
      </c>
      <c r="K43" s="10" t="str">
        <f>IF(Friedman!AG40=0,"",Friedman!AG40)</f>
        <v/>
      </c>
      <c r="L43" s="10" t="str">
        <f>IF(Friedman!AK40=0,"",Friedman!AK40)</f>
        <v/>
      </c>
      <c r="M43" s="10" t="str">
        <f>IF(Friedman!AO40=0,"",Friedman!AO40)</f>
        <v/>
      </c>
      <c r="N43" s="10" t="str">
        <f>IF(Friedman!AS40=0,"",Friedman!AS40)</f>
        <v/>
      </c>
      <c r="O43" s="10" t="str">
        <f>IF(Friedman!AW40=0,"",Friedman!AW40)</f>
        <v/>
      </c>
      <c r="P43" s="10" t="str">
        <f>IF(Friedman!BA40=0,"",Friedman!BA40)</f>
        <v/>
      </c>
      <c r="Q43" s="10" t="str">
        <f>IF(Friedman!BE40=0,"",Friedman!BE40)</f>
        <v/>
      </c>
      <c r="R43" s="10" t="str">
        <f>IF(Friedman!BI40=0,"",Friedman!BI40)</f>
        <v/>
      </c>
      <c r="S43" s="10" t="str">
        <f>IF(Friedman!BM40=0,"",Friedman!BM40)</f>
        <v/>
      </c>
      <c r="T43" s="10" t="str">
        <f>IF(Friedman!BQ40=0,"",Friedman!BQ40)</f>
        <v/>
      </c>
      <c r="U43" s="10" t="str">
        <f>IF(Friedman!BU40=0,"",Friedman!BU40)</f>
        <v/>
      </c>
      <c r="V43" s="10" t="str">
        <f>IF(Friedman!BY40=0,"",Friedman!BY40)</f>
        <v/>
      </c>
      <c r="W43" s="10" t="str">
        <f>IF(Friedman!CC40=0,"",Friedman!CC40)</f>
        <v/>
      </c>
      <c r="X43" s="10" t="str">
        <f>IF(Friedman!CG40=0,"",Friedman!CG40)</f>
        <v/>
      </c>
      <c r="Y43" s="10"/>
      <c r="Z43" s="10"/>
      <c r="AA43" s="10"/>
      <c r="AB43" s="10"/>
      <c r="AC43" s="10"/>
      <c r="AD43" s="10"/>
      <c r="AE43" s="10"/>
      <c r="AF43" s="10"/>
      <c r="AG43" s="10" t="str">
        <f>IF(Friedman!D40=0,"",Friedman!D40)</f>
        <v/>
      </c>
    </row>
    <row r="44" spans="2:33" s="25" customFormat="1" ht="14.25" customHeight="1">
      <c r="B44" s="154" t="s">
        <v>29</v>
      </c>
      <c r="C44" s="155">
        <f>'Daily &amp; Weekly Totals'!E58</f>
        <v>43958</v>
      </c>
      <c r="E44" s="10" t="str">
        <f>IF(Friedman!I41=0,"",Friedman!I41)</f>
        <v/>
      </c>
      <c r="F44" s="10" t="str">
        <f>IF(Friedman!M41=0,"",Friedman!M41)</f>
        <v/>
      </c>
      <c r="G44" s="10" t="str">
        <f>IF(Friedman!Q41=0,"",Friedman!Q41)</f>
        <v/>
      </c>
      <c r="H44" s="10" t="str">
        <f>IF(Friedman!U41=0,"",Friedman!U41)</f>
        <v/>
      </c>
      <c r="I44" s="10" t="str">
        <f>IF(Friedman!Y41=0,"",Friedman!Y41)</f>
        <v/>
      </c>
      <c r="J44" s="10" t="str">
        <f>IF(Friedman!AC41=0,"",Friedman!AC41)</f>
        <v/>
      </c>
      <c r="K44" s="10" t="str">
        <f>IF(Friedman!AG41=0,"",Friedman!AG41)</f>
        <v/>
      </c>
      <c r="L44" s="10" t="str">
        <f>IF(Friedman!AK41=0,"",Friedman!AK41)</f>
        <v/>
      </c>
      <c r="M44" s="10" t="str">
        <f>IF(Friedman!AO41=0,"",Friedman!AO41)</f>
        <v/>
      </c>
      <c r="N44" s="10" t="str">
        <f>IF(Friedman!AS41=0,"",Friedman!AS41)</f>
        <v/>
      </c>
      <c r="O44" s="10" t="str">
        <f>IF(Friedman!AW41=0,"",Friedman!AW41)</f>
        <v/>
      </c>
      <c r="P44" s="10" t="str">
        <f>IF(Friedman!BA41=0,"",Friedman!BA41)</f>
        <v/>
      </c>
      <c r="Q44" s="10" t="str">
        <f>IF(Friedman!BE41=0,"",Friedman!BE41)</f>
        <v/>
      </c>
      <c r="R44" s="10" t="str">
        <f>IF(Friedman!BI41=0,"",Friedman!BI41)</f>
        <v/>
      </c>
      <c r="S44" s="10" t="str">
        <f>IF(Friedman!BM41=0,"",Friedman!BM41)</f>
        <v/>
      </c>
      <c r="T44" s="10" t="str">
        <f>IF(Friedman!BQ41=0,"",Friedman!BQ41)</f>
        <v/>
      </c>
      <c r="U44" s="10" t="str">
        <f>IF(Friedman!BU41=0,"",Friedman!BU41)</f>
        <v/>
      </c>
      <c r="V44" s="10" t="str">
        <f>IF(Friedman!BY41=0,"",Friedman!BY41)</f>
        <v/>
      </c>
      <c r="W44" s="10" t="str">
        <f>IF(Friedman!CC41=0,"",Friedman!CC41)</f>
        <v/>
      </c>
      <c r="X44" s="10" t="str">
        <f>IF(Friedman!CG41=0,"",Friedman!CG41)</f>
        <v/>
      </c>
      <c r="Y44" s="10"/>
      <c r="Z44" s="10"/>
      <c r="AA44" s="10"/>
      <c r="AB44" s="10"/>
      <c r="AC44" s="10"/>
      <c r="AD44" s="10"/>
      <c r="AE44" s="10"/>
      <c r="AF44" s="10"/>
      <c r="AG44" s="10" t="str">
        <f>IF(Friedman!D41=0,"",Friedman!D41)</f>
        <v/>
      </c>
    </row>
    <row r="45" spans="2:33" s="25" customFormat="1" ht="14.25" customHeight="1">
      <c r="B45" s="154" t="s">
        <v>30</v>
      </c>
      <c r="C45" s="155">
        <f>'Daily &amp; Weekly Totals'!E59</f>
        <v>43959</v>
      </c>
      <c r="E45" s="10" t="str">
        <f>IF(Friedman!I42=0,"",Friedman!I42)</f>
        <v/>
      </c>
      <c r="F45" s="10" t="str">
        <f>IF(Friedman!M42=0,"",Friedman!M42)</f>
        <v/>
      </c>
      <c r="G45" s="10" t="str">
        <f>IF(Friedman!Q42=0,"",Friedman!Q42)</f>
        <v/>
      </c>
      <c r="H45" s="10" t="str">
        <f>IF(Friedman!U42=0,"",Friedman!U42)</f>
        <v/>
      </c>
      <c r="I45" s="10" t="str">
        <f>IF(Friedman!Y42=0,"",Friedman!Y42)</f>
        <v/>
      </c>
      <c r="J45" s="10" t="str">
        <f>IF(Friedman!AC42=0,"",Friedman!AC42)</f>
        <v/>
      </c>
      <c r="K45" s="10" t="str">
        <f>IF(Friedman!AG42=0,"",Friedman!AG42)</f>
        <v/>
      </c>
      <c r="L45" s="10" t="str">
        <f>IF(Friedman!AK42=0,"",Friedman!AK42)</f>
        <v/>
      </c>
      <c r="M45" s="10" t="str">
        <f>IF(Friedman!AO42=0,"",Friedman!AO42)</f>
        <v/>
      </c>
      <c r="N45" s="10" t="str">
        <f>IF(Friedman!AS42=0,"",Friedman!AS42)</f>
        <v/>
      </c>
      <c r="O45" s="10" t="str">
        <f>IF(Friedman!AW42=0,"",Friedman!AW42)</f>
        <v/>
      </c>
      <c r="P45" s="10" t="str">
        <f>IF(Friedman!BA42=0,"",Friedman!BA42)</f>
        <v/>
      </c>
      <c r="Q45" s="10" t="str">
        <f>IF(Friedman!BE42=0,"",Friedman!BE42)</f>
        <v/>
      </c>
      <c r="R45" s="10" t="str">
        <f>IF(Friedman!BI42=0,"",Friedman!BI42)</f>
        <v/>
      </c>
      <c r="S45" s="10" t="str">
        <f>IF(Friedman!BM42=0,"",Friedman!BM42)</f>
        <v/>
      </c>
      <c r="T45" s="10" t="str">
        <f>IF(Friedman!BQ42=0,"",Friedman!BQ42)</f>
        <v/>
      </c>
      <c r="U45" s="10" t="str">
        <f>IF(Friedman!BU42=0,"",Friedman!BU42)</f>
        <v/>
      </c>
      <c r="V45" s="10" t="str">
        <f>IF(Friedman!BY42=0,"",Friedman!BY42)</f>
        <v/>
      </c>
      <c r="W45" s="10" t="str">
        <f>IF(Friedman!CC42=0,"",Friedman!CC42)</f>
        <v/>
      </c>
      <c r="X45" s="10" t="str">
        <f>IF(Friedman!CG42=0,"",Friedman!CG42)</f>
        <v/>
      </c>
      <c r="Y45" s="10"/>
      <c r="Z45" s="10"/>
      <c r="AA45" s="10"/>
      <c r="AB45" s="10"/>
      <c r="AC45" s="10"/>
      <c r="AD45" s="10"/>
      <c r="AE45" s="10"/>
      <c r="AF45" s="10"/>
      <c r="AG45" s="10" t="str">
        <f>IF(Friedman!D42=0,"",Friedman!D42)</f>
        <v/>
      </c>
    </row>
    <row r="46" spans="2:33" s="25" customFormat="1" ht="14.25" customHeight="1">
      <c r="B46" s="154" t="s">
        <v>31</v>
      </c>
      <c r="C46" s="155">
        <f>'Daily &amp; Weekly Totals'!E60</f>
        <v>43960</v>
      </c>
      <c r="E46" s="10" t="str">
        <f>IF(Friedman!I43=0,"",Friedman!I43)</f>
        <v/>
      </c>
      <c r="F46" s="10" t="str">
        <f>IF(Friedman!M43=0,"",Friedman!M43)</f>
        <v/>
      </c>
      <c r="G46" s="10" t="str">
        <f>IF(Friedman!Q43=0,"",Friedman!Q43)</f>
        <v/>
      </c>
      <c r="H46" s="10" t="str">
        <f>IF(Friedman!U43=0,"",Friedman!U43)</f>
        <v/>
      </c>
      <c r="I46" s="10" t="str">
        <f>IF(Friedman!Y43=0,"",Friedman!Y43)</f>
        <v/>
      </c>
      <c r="J46" s="10" t="str">
        <f>IF(Friedman!AC43=0,"",Friedman!AC43)</f>
        <v/>
      </c>
      <c r="K46" s="10" t="str">
        <f>IF(Friedman!AG43=0,"",Friedman!AG43)</f>
        <v/>
      </c>
      <c r="L46" s="10" t="str">
        <f>IF(Friedman!AK43=0,"",Friedman!AK43)</f>
        <v/>
      </c>
      <c r="M46" s="10" t="str">
        <f>IF(Friedman!AO43=0,"",Friedman!AO43)</f>
        <v/>
      </c>
      <c r="N46" s="10" t="str">
        <f>IF(Friedman!AS43=0,"",Friedman!AS43)</f>
        <v/>
      </c>
      <c r="O46" s="10" t="str">
        <f>IF(Friedman!AW43=0,"",Friedman!AW43)</f>
        <v/>
      </c>
      <c r="P46" s="10" t="str">
        <f>IF(Friedman!BA43=0,"",Friedman!BA43)</f>
        <v/>
      </c>
      <c r="Q46" s="10" t="str">
        <f>IF(Friedman!BE43=0,"",Friedman!BE43)</f>
        <v/>
      </c>
      <c r="R46" s="10" t="str">
        <f>IF(Friedman!BI43=0,"",Friedman!BI43)</f>
        <v/>
      </c>
      <c r="S46" s="10" t="str">
        <f>IF(Friedman!BM43=0,"",Friedman!BM43)</f>
        <v/>
      </c>
      <c r="T46" s="10" t="str">
        <f>IF(Friedman!BQ43=0,"",Friedman!BQ43)</f>
        <v/>
      </c>
      <c r="U46" s="10" t="str">
        <f>IF(Friedman!BU43=0,"",Friedman!BU43)</f>
        <v/>
      </c>
      <c r="V46" s="10" t="str">
        <f>IF(Friedman!BY43=0,"",Friedman!BY43)</f>
        <v/>
      </c>
      <c r="W46" s="10" t="str">
        <f>IF(Friedman!CC43=0,"",Friedman!CC43)</f>
        <v/>
      </c>
      <c r="X46" s="10" t="str">
        <f>IF(Friedman!CG43=0,"",Friedman!CG43)</f>
        <v/>
      </c>
      <c r="Y46" s="10"/>
      <c r="Z46" s="10"/>
      <c r="AA46" s="10"/>
      <c r="AB46" s="10"/>
      <c r="AC46" s="10"/>
      <c r="AD46" s="10"/>
      <c r="AE46" s="10"/>
      <c r="AF46" s="10"/>
      <c r="AG46" s="10" t="str">
        <f>IF(Friedman!D43=0,"",Friedman!D43)</f>
        <v/>
      </c>
    </row>
    <row r="47" spans="2:33" s="25" customFormat="1" ht="14.25" customHeight="1">
      <c r="B47" s="154" t="s">
        <v>32</v>
      </c>
      <c r="C47" s="155">
        <f>'Daily &amp; Weekly Totals'!E61</f>
        <v>43961</v>
      </c>
      <c r="E47" s="10" t="str">
        <f>IF(Friedman!I44=0,"",Friedman!I44)</f>
        <v/>
      </c>
      <c r="F47" s="10" t="str">
        <f>IF(Friedman!M44=0,"",Friedman!M44)</f>
        <v/>
      </c>
      <c r="G47" s="10" t="str">
        <f>IF(Friedman!Q44=0,"",Friedman!Q44)</f>
        <v/>
      </c>
      <c r="H47" s="10" t="str">
        <f>IF(Friedman!U44=0,"",Friedman!U44)</f>
        <v/>
      </c>
      <c r="I47" s="10" t="str">
        <f>IF(Friedman!Y44=0,"",Friedman!Y44)</f>
        <v/>
      </c>
      <c r="J47" s="10" t="str">
        <f>IF(Friedman!AC44=0,"",Friedman!AC44)</f>
        <v/>
      </c>
      <c r="K47" s="10" t="str">
        <f>IF(Friedman!AG44=0,"",Friedman!AG44)</f>
        <v/>
      </c>
      <c r="L47" s="10" t="str">
        <f>IF(Friedman!AK44=0,"",Friedman!AK44)</f>
        <v/>
      </c>
      <c r="M47" s="10" t="str">
        <f>IF(Friedman!AO44=0,"",Friedman!AO44)</f>
        <v/>
      </c>
      <c r="N47" s="10" t="str">
        <f>IF(Friedman!AS44=0,"",Friedman!AS44)</f>
        <v/>
      </c>
      <c r="O47" s="10" t="str">
        <f>IF(Friedman!AW44=0,"",Friedman!AW44)</f>
        <v/>
      </c>
      <c r="P47" s="10" t="str">
        <f>IF(Friedman!BA44=0,"",Friedman!BA44)</f>
        <v/>
      </c>
      <c r="Q47" s="10" t="str">
        <f>IF(Friedman!BE44=0,"",Friedman!BE44)</f>
        <v/>
      </c>
      <c r="R47" s="10" t="str">
        <f>IF(Friedman!BI44=0,"",Friedman!BI44)</f>
        <v/>
      </c>
      <c r="S47" s="10" t="str">
        <f>IF(Friedman!BM44=0,"",Friedman!BM44)</f>
        <v/>
      </c>
      <c r="T47" s="10" t="str">
        <f>IF(Friedman!BQ44=0,"",Friedman!BQ44)</f>
        <v/>
      </c>
      <c r="U47" s="10" t="str">
        <f>IF(Friedman!BU44=0,"",Friedman!BU44)</f>
        <v/>
      </c>
      <c r="V47" s="10" t="str">
        <f>IF(Friedman!BY44=0,"",Friedman!BY44)</f>
        <v/>
      </c>
      <c r="W47" s="10" t="str">
        <f>IF(Friedman!CC44=0,"",Friedman!CC44)</f>
        <v/>
      </c>
      <c r="X47" s="10" t="str">
        <f>IF(Friedman!CG44=0,"",Friedman!CG44)</f>
        <v/>
      </c>
      <c r="Y47" s="10"/>
      <c r="Z47" s="10"/>
      <c r="AA47" s="10"/>
      <c r="AB47" s="10"/>
      <c r="AC47" s="10"/>
      <c r="AD47" s="10"/>
      <c r="AE47" s="10"/>
      <c r="AF47" s="10"/>
      <c r="AG47" s="10" t="str">
        <f>IF(Friedman!D44=0,"",Friedman!D44)</f>
        <v/>
      </c>
    </row>
    <row r="48" spans="2:33" s="25" customFormat="1" ht="14.25" customHeight="1"/>
    <row r="49" s="25" customFormat="1" ht="14.25" customHeight="1"/>
    <row r="50" s="25" customFormat="1" ht="14.25" customHeight="1"/>
    <row r="51" s="25" customFormat="1" ht="14.25" customHeight="1"/>
    <row r="52" s="25" customFormat="1" ht="14.25" customHeight="1"/>
    <row r="53" s="25" customFormat="1" ht="14.25" customHeight="1"/>
    <row r="54" s="25" customFormat="1" ht="14.25" customHeight="1"/>
    <row r="55" s="25" customFormat="1" ht="14.25" customHeight="1"/>
    <row r="56" s="25" customFormat="1" ht="14.25" customHeight="1"/>
    <row r="57" s="25" customFormat="1" ht="14.25" customHeight="1"/>
    <row r="58" s="25" customFormat="1" ht="14.25" customHeight="1"/>
    <row r="59" s="25" customFormat="1" ht="14.25" customHeight="1"/>
    <row r="60" s="25" customFormat="1" ht="14.25" customHeight="1"/>
    <row r="61" s="25" customFormat="1" ht="14.25" customHeight="1"/>
    <row r="62" s="25" customFormat="1" ht="14.25" customHeight="1"/>
    <row r="63" s="25" customFormat="1" ht="14.25" customHeight="1"/>
    <row r="64" s="25" customFormat="1" ht="14.25" customHeight="1"/>
    <row r="65" s="25" customFormat="1" ht="14.25" customHeight="1"/>
    <row r="66" s="25" customFormat="1" ht="14.25" customHeight="1"/>
    <row r="67" s="25" customFormat="1" ht="14.25" customHeight="1"/>
    <row r="68" s="25" customFormat="1" ht="14.25" customHeight="1"/>
    <row r="69" s="25" customFormat="1" ht="14.25" customHeight="1"/>
    <row r="70" s="25" customFormat="1" ht="14.25" customHeight="1"/>
    <row r="71" s="25" customFormat="1" ht="14.25" customHeight="1"/>
    <row r="72" s="25" customFormat="1" ht="14.25" customHeight="1"/>
    <row r="73" s="25" customFormat="1" ht="14.25" customHeight="1"/>
    <row r="74" s="25" customFormat="1" ht="14.25" customHeight="1"/>
    <row r="75" s="25" customFormat="1" ht="14.25" customHeight="1"/>
    <row r="76" s="25" customFormat="1" ht="14.25" customHeight="1"/>
    <row r="77" s="25" customFormat="1" ht="14.25" customHeight="1"/>
    <row r="78" s="25" customFormat="1" ht="14.25" customHeight="1"/>
    <row r="79" s="25" customFormat="1" ht="14.25" customHeight="1"/>
    <row r="80" s="25" customFormat="1" ht="14.25" customHeight="1"/>
    <row r="81" s="25" customFormat="1" ht="14.25" customHeight="1"/>
    <row r="82" s="25" customFormat="1" ht="14.25" customHeight="1"/>
    <row r="83" s="25" customFormat="1" ht="14.25" customHeight="1"/>
    <row r="84" s="25" customFormat="1" ht="14.25" customHeight="1"/>
    <row r="85" s="25" customFormat="1" ht="14.25" customHeight="1"/>
    <row r="86" s="25" customFormat="1" ht="14.25" customHeight="1"/>
    <row r="87" s="25" customFormat="1" ht="14.25" customHeight="1"/>
    <row r="88" s="25" customFormat="1" ht="14.25" customHeight="1"/>
    <row r="89" s="25" customFormat="1" ht="14.25" customHeight="1"/>
    <row r="90" s="25" customFormat="1" ht="14.25" customHeight="1"/>
    <row r="91" s="25" customFormat="1" ht="14.25" customHeight="1"/>
    <row r="92" s="25" customFormat="1" ht="14.25" customHeight="1"/>
    <row r="93" s="25" customFormat="1" ht="14.25" customHeight="1"/>
    <row r="94" s="25" customFormat="1" ht="14.25" customHeight="1"/>
    <row r="95" s="25" customFormat="1" ht="14.25" customHeight="1"/>
    <row r="96" s="25" customFormat="1" ht="14.25" customHeight="1"/>
    <row r="97" s="25" customFormat="1" ht="14.25" customHeight="1"/>
    <row r="98" s="25" customFormat="1" ht="14.25" customHeight="1"/>
    <row r="99" s="25" customFormat="1" ht="14.25" customHeight="1"/>
    <row r="100" s="25" customFormat="1" ht="14.25" customHeight="1"/>
    <row r="101" s="25" customFormat="1" ht="14.25" customHeight="1"/>
    <row r="102" s="25" customFormat="1" ht="14.25" customHeight="1"/>
    <row r="103" s="25" customFormat="1" ht="14.25" customHeight="1"/>
    <row r="104" s="25" customFormat="1" ht="14.25" customHeight="1"/>
    <row r="105" s="25" customFormat="1" ht="14.25" customHeight="1"/>
    <row r="106" s="25" customFormat="1" ht="14.25" customHeight="1"/>
    <row r="107" s="25" customFormat="1" ht="14.25" customHeight="1"/>
    <row r="108" s="25" customFormat="1" ht="14.25" customHeight="1"/>
    <row r="109" s="25" customFormat="1" ht="14.25" customHeight="1"/>
    <row r="110" s="25" customFormat="1" ht="14.25" customHeight="1"/>
    <row r="111" s="25" customFormat="1" ht="14.25" customHeight="1"/>
    <row r="112" s="25" customFormat="1" ht="14.25" customHeight="1"/>
    <row r="113" s="25" customFormat="1" ht="14.25" customHeight="1"/>
    <row r="114" s="25" customFormat="1" ht="14.25" customHeight="1"/>
    <row r="115" s="25" customFormat="1" ht="14.25" customHeight="1"/>
    <row r="116" s="25" customFormat="1" ht="14.25" customHeight="1"/>
    <row r="117" s="25" customFormat="1" ht="14.25" customHeight="1"/>
    <row r="118" s="25" customFormat="1" ht="14.25" customHeight="1"/>
    <row r="119" s="25" customFormat="1" ht="14.25" customHeight="1"/>
    <row r="120" s="25" customFormat="1" ht="14.25" customHeight="1"/>
    <row r="121" s="25" customFormat="1" ht="14.25" customHeight="1"/>
    <row r="122" s="25" customFormat="1" ht="14.25" customHeight="1"/>
    <row r="123" s="25" customFormat="1" ht="14.25" customHeight="1"/>
    <row r="124" s="25" customFormat="1" ht="14.25" customHeight="1"/>
    <row r="125" s="25" customFormat="1" ht="14.25" customHeight="1"/>
    <row r="126" s="25" customFormat="1" ht="14.25" customHeight="1"/>
    <row r="127" s="25" customFormat="1" ht="14.25" customHeight="1"/>
    <row r="128" s="25" customFormat="1" ht="14.25" customHeight="1"/>
    <row r="129" s="25" customFormat="1" ht="14.25" customHeight="1"/>
    <row r="130" s="25" customFormat="1" ht="14.25" customHeight="1"/>
    <row r="131" s="25" customFormat="1" ht="14.25" customHeight="1"/>
    <row r="132" s="25" customFormat="1" ht="14.25" customHeight="1"/>
    <row r="133" s="25" customFormat="1" ht="14.25" customHeight="1"/>
    <row r="134" s="25" customFormat="1" ht="14.25" customHeight="1"/>
    <row r="135" s="25" customFormat="1" ht="14.25" customHeight="1"/>
    <row r="136" s="25" customFormat="1" ht="14.25" customHeight="1"/>
    <row r="137" s="25" customFormat="1" ht="14.25" customHeight="1"/>
    <row r="138" s="25" customFormat="1" ht="14.25" customHeight="1"/>
    <row r="139" s="25" customFormat="1" ht="14.25" customHeight="1"/>
    <row r="140" s="25" customFormat="1" ht="14.25" customHeight="1"/>
    <row r="141" s="25" customFormat="1" ht="14.25" customHeight="1"/>
    <row r="142" s="25" customFormat="1" ht="14.25" customHeight="1"/>
    <row r="143" s="25" customFormat="1" ht="14.25" customHeight="1"/>
    <row r="144" s="25" customFormat="1" ht="14.25" customHeight="1"/>
    <row r="145" s="25" customFormat="1" ht="14.25" customHeight="1"/>
    <row r="146" s="25" customFormat="1" ht="14.25" customHeight="1"/>
    <row r="147" s="25" customFormat="1" ht="14.25" customHeight="1"/>
    <row r="148" s="25" customFormat="1" ht="14.25" customHeight="1"/>
    <row r="149" s="25" customFormat="1" ht="14.25" customHeight="1"/>
    <row r="150" s="25" customFormat="1" ht="14.25" customHeight="1"/>
    <row r="151" s="25" customFormat="1" ht="14.25" customHeight="1"/>
    <row r="152" s="25" customFormat="1" ht="14.25" customHeight="1"/>
    <row r="153" s="25" customFormat="1" ht="14.25" customHeight="1"/>
    <row r="154" s="25" customFormat="1" ht="14.25" customHeight="1"/>
    <row r="155" s="25" customFormat="1" ht="14.25" customHeight="1"/>
    <row r="156" s="25" customFormat="1" ht="14.25" customHeight="1"/>
    <row r="157" s="25" customFormat="1" ht="14.25" customHeight="1"/>
    <row r="158" s="25" customFormat="1" ht="14.25" customHeight="1"/>
    <row r="159" s="25" customFormat="1" ht="14.25" customHeight="1"/>
    <row r="160" s="25" customFormat="1" ht="14.25" customHeight="1"/>
    <row r="161" s="25" customFormat="1" ht="14.25" customHeight="1"/>
    <row r="162" s="25" customFormat="1" ht="14.25" customHeight="1"/>
    <row r="163" s="25" customFormat="1" ht="14.25" customHeight="1"/>
    <row r="164" s="25" customFormat="1" ht="14.25" customHeight="1"/>
    <row r="165" s="25" customFormat="1" ht="14.25" customHeight="1"/>
    <row r="166" s="25" customFormat="1" ht="14.25" customHeight="1"/>
    <row r="167" s="25" customFormat="1" ht="14.25" customHeight="1"/>
    <row r="168" s="25" customFormat="1" ht="14.25" customHeight="1"/>
    <row r="169" s="25" customFormat="1" ht="14.25" customHeight="1"/>
    <row r="170" s="25" customFormat="1" ht="14.25" customHeight="1"/>
    <row r="171" s="25" customFormat="1" ht="14.25" customHeight="1"/>
    <row r="172" s="25" customFormat="1" ht="14.25" customHeight="1"/>
    <row r="173" s="25" customFormat="1" ht="14.25" customHeight="1"/>
    <row r="174" s="25" customFormat="1" ht="14.25" customHeight="1"/>
    <row r="175" s="25" customFormat="1" ht="14.25" customHeight="1"/>
  </sheetData>
  <phoneticPr fontId="10" type="noConversion"/>
  <conditionalFormatting sqref="E4:AG4">
    <cfRule type="cellIs" dxfId="20" priority="1" stopIfTrue="1" operator="equal">
      <formula>0</formula>
    </cfRule>
  </conditionalFormatting>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B1:AM175"/>
  <sheetViews>
    <sheetView topLeftCell="I1" zoomScale="85" zoomScaleNormal="85" workbookViewId="0">
      <selection activeCell="AM6" sqref="AM6"/>
    </sheetView>
  </sheetViews>
  <sheetFormatPr defaultColWidth="11.5703125" defaultRowHeight="12.75"/>
  <cols>
    <col min="1" max="1" width="2.5703125" customWidth="1"/>
    <col min="4" max="4" width="2.42578125" customWidth="1"/>
    <col min="5" max="19" width="11.28515625" customWidth="1"/>
    <col min="25" max="32" width="0" hidden="1" customWidth="1"/>
    <col min="33" max="33" width="11.28515625" customWidth="1"/>
  </cols>
  <sheetData>
    <row r="1" spans="2:39" s="25" customFormat="1" ht="14.25" customHeight="1">
      <c r="E1" s="156"/>
      <c r="F1" s="156"/>
      <c r="G1" s="156"/>
      <c r="H1" s="156"/>
    </row>
    <row r="2" spans="2:39" s="148" customFormat="1" ht="14.25" customHeight="1">
      <c r="B2" s="149">
        <f>'Daily &amp; Weekly Totals'!B5</f>
        <v>43922</v>
      </c>
      <c r="E2" s="151" t="str">
        <f>IF('Monthly Statistics'!E$5&gt;0,'Monthly Statistics'!E$5," ")</f>
        <v xml:space="preserve"> </v>
      </c>
      <c r="F2" s="151" t="str">
        <f>IF('Monthly Statistics'!F$5&gt;0,'Monthly Statistics'!F$5," ")</f>
        <v xml:space="preserve"> </v>
      </c>
      <c r="G2" s="151" t="str">
        <f>IF('Monthly Statistics'!G$5&gt;0,'Monthly Statistics'!G$5," ")</f>
        <v xml:space="preserve"> </v>
      </c>
      <c r="H2" s="151" t="str">
        <f>IF('Monthly Statistics'!H$5&gt;0,'Monthly Statistics'!H$5," ")</f>
        <v xml:space="preserve"> </v>
      </c>
      <c r="I2" s="151" t="str">
        <f>IF('Monthly Statistics'!I$5&gt;0,'Monthly Statistics'!I$5," ")</f>
        <v xml:space="preserve"> </v>
      </c>
      <c r="J2" s="151" t="str">
        <f>IF('Monthly Statistics'!J$5&gt;0,'Monthly Statistics'!J$5," ")</f>
        <v xml:space="preserve"> </v>
      </c>
      <c r="K2" s="151" t="str">
        <f>IF('Monthly Statistics'!K$5&gt;0,'Monthly Statistics'!K$5," ")</f>
        <v xml:space="preserve"> </v>
      </c>
      <c r="L2" s="151" t="str">
        <f>IF('Monthly Statistics'!L$5&gt;0,'Monthly Statistics'!L$5," ")</f>
        <v xml:space="preserve"> </v>
      </c>
      <c r="M2" s="151" t="str">
        <f>IF('Monthly Statistics'!M$5&gt;0,'Monthly Statistics'!M$5," ")</f>
        <v xml:space="preserve"> </v>
      </c>
      <c r="N2" s="151" t="str">
        <f>IF('Monthly Statistics'!N$5&gt;0,'Monthly Statistics'!N$5," ")</f>
        <v xml:space="preserve"> </v>
      </c>
      <c r="O2" s="151" t="str">
        <f>IF('Monthly Statistics'!O$5&gt;0,'Monthly Statistics'!O$5," ")</f>
        <v xml:space="preserve"> </v>
      </c>
      <c r="P2" s="151" t="str">
        <f>IF('Monthly Statistics'!P$5&gt;0,'Monthly Statistics'!P$5," ")</f>
        <v xml:space="preserve"> </v>
      </c>
      <c r="Q2" s="151" t="str">
        <f>IF('Monthly Statistics'!Q$5&gt;0,'Monthly Statistics'!Q$5," ")</f>
        <v xml:space="preserve"> </v>
      </c>
      <c r="R2" s="151" t="str">
        <f>IF('Monthly Statistics'!R$5&gt;0,'Monthly Statistics'!R$5," ")</f>
        <v xml:space="preserve"> </v>
      </c>
      <c r="S2" s="150" t="str">
        <f>IF('Monthly Statistics'!S$5&gt;0,'Monthly Statistics'!S$5," ")</f>
        <v xml:space="preserve"> </v>
      </c>
      <c r="T2" s="150" t="str">
        <f>IF('Monthly Statistics'!T$5&gt;0,'Monthly Statistics'!T$5," ")</f>
        <v xml:space="preserve"> </v>
      </c>
      <c r="U2" s="150" t="str">
        <f>IF('Monthly Statistics'!U$5&gt;0,'Monthly Statistics'!U$5," ")</f>
        <v xml:space="preserve"> </v>
      </c>
      <c r="V2" s="150" t="str">
        <f>IF('Monthly Statistics'!V$5&gt;0,'Monthly Statistics'!V$5," ")</f>
        <v xml:space="preserve"> </v>
      </c>
      <c r="W2" s="150" t="str">
        <f>IF('Monthly Statistics'!W$5&gt;0,'Monthly Statistics'!W$5," ")</f>
        <v xml:space="preserve"> </v>
      </c>
      <c r="X2" s="150" t="str">
        <f>IF('Monthly Statistics'!X$5&gt;0,'Monthly Statistics'!X$5," ")</f>
        <v xml:space="preserve"> </v>
      </c>
      <c r="Y2" s="150" t="e">
        <f>IF('Monthly Statistics'!Y$5&gt;0,'Monthly Statistics'!Y$5," ")</f>
        <v>#REF!</v>
      </c>
      <c r="Z2" s="152" t="e">
        <f>IF('Monthly Statistics'!Z$5&gt;0,'Monthly Statistics'!Z$5," ")</f>
        <v>#REF!</v>
      </c>
      <c r="AA2" s="152" t="e">
        <f>IF('Monthly Statistics'!AA$5&gt;0,'Monthly Statistics'!AA$5," ")</f>
        <v>#REF!</v>
      </c>
      <c r="AB2" s="152" t="e">
        <f>IF('Monthly Statistics'!AB$5&gt;0,'Monthly Statistics'!AB$5," ")</f>
        <v>#REF!</v>
      </c>
      <c r="AC2" s="152" t="e">
        <f>IF('Monthly Statistics'!AC$5&gt;0,'Monthly Statistics'!AC$5," ")</f>
        <v>#REF!</v>
      </c>
      <c r="AD2" s="152" t="e">
        <f>IF('Monthly Statistics'!AD$5&gt;0,'Monthly Statistics'!AD$5," ")</f>
        <v>#REF!</v>
      </c>
      <c r="AE2" s="152" t="e">
        <f>IF('Monthly Statistics'!AE$5&gt;0,'Monthly Statistics'!AE$5," ")</f>
        <v>#REF!</v>
      </c>
      <c r="AF2" s="152" t="e">
        <f>IF('Monthly Statistics'!AF$5&gt;0,'Monthly Statistics'!AF$5," ")</f>
        <v>#REF!</v>
      </c>
      <c r="AG2" s="152" t="str">
        <f>IF('Monthly Statistics'!AG$5&gt;0,'Monthly Statistics'!AG$5," ")</f>
        <v>Refunds From</v>
      </c>
    </row>
    <row r="3" spans="2:39" s="148" customFormat="1" ht="14.25" customHeight="1">
      <c r="B3" s="149">
        <f>'Daily &amp; Weekly Totals'!B6</f>
        <v>43951</v>
      </c>
      <c r="E3" s="152" t="str">
        <f>IF('Monthly Statistics'!E$5&gt;0,'Monthly Statistics'!E6," ")</f>
        <v xml:space="preserve"> </v>
      </c>
      <c r="F3" s="152" t="str">
        <f>IF('Monthly Statistics'!F$5&gt;0,'Monthly Statistics'!F6," ")</f>
        <v xml:space="preserve"> </v>
      </c>
      <c r="G3" s="152" t="str">
        <f>IF('Monthly Statistics'!G$5&gt;0,'Monthly Statistics'!G6," ")</f>
        <v xml:space="preserve"> </v>
      </c>
      <c r="H3" s="152" t="str">
        <f>IF('Monthly Statistics'!H$5&gt;0,'Monthly Statistics'!H6," ")</f>
        <v xml:space="preserve"> </v>
      </c>
      <c r="I3" s="152" t="str">
        <f>IF('Monthly Statistics'!I$5&gt;0,'Monthly Statistics'!I6," ")</f>
        <v xml:space="preserve"> </v>
      </c>
      <c r="J3" s="152" t="str">
        <f>IF('Monthly Statistics'!J$5&gt;0,'Monthly Statistics'!J6," ")</f>
        <v xml:space="preserve"> </v>
      </c>
      <c r="K3" s="152" t="str">
        <f>IF('Monthly Statistics'!K$5&gt;0,'Monthly Statistics'!K6," ")</f>
        <v xml:space="preserve"> </v>
      </c>
      <c r="L3" s="152" t="str">
        <f>IF('Monthly Statistics'!L$5&gt;0,'Monthly Statistics'!L6," ")</f>
        <v xml:space="preserve"> </v>
      </c>
      <c r="M3" s="152" t="str">
        <f>IF('Monthly Statistics'!M$5&gt;0,'Monthly Statistics'!M6," ")</f>
        <v xml:space="preserve"> </v>
      </c>
      <c r="N3" s="152" t="str">
        <f>IF('Monthly Statistics'!N$5&gt;0,'Monthly Statistics'!N6," ")</f>
        <v xml:space="preserve"> </v>
      </c>
      <c r="O3" s="152" t="str">
        <f>IF('Monthly Statistics'!O$5&gt;0,'Monthly Statistics'!O6," ")</f>
        <v xml:space="preserve"> </v>
      </c>
      <c r="P3" s="152" t="str">
        <f>IF('Monthly Statistics'!P$5&gt;0,'Monthly Statistics'!P6," ")</f>
        <v xml:space="preserve"> </v>
      </c>
      <c r="Q3" s="152" t="str">
        <f>IF('Monthly Statistics'!Q$5&gt;0,'Monthly Statistics'!Q6," ")</f>
        <v xml:space="preserve"> </v>
      </c>
      <c r="R3" s="152" t="str">
        <f>IF('Monthly Statistics'!R$5&gt;0,'Monthly Statistics'!R6," ")</f>
        <v xml:space="preserve"> </v>
      </c>
      <c r="S3" s="152" t="str">
        <f>IF('Monthly Statistics'!S$5&gt;0,'Monthly Statistics'!S6," ")</f>
        <v xml:space="preserve"> </v>
      </c>
      <c r="T3" s="152" t="str">
        <f>IF('Monthly Statistics'!T$5&gt;0,'Monthly Statistics'!T6," ")</f>
        <v xml:space="preserve"> </v>
      </c>
      <c r="U3" s="152" t="str">
        <f>IF('Monthly Statistics'!U$5&gt;0,'Monthly Statistics'!U6," ")</f>
        <v xml:space="preserve"> </v>
      </c>
      <c r="V3" s="152" t="str">
        <f>IF('Monthly Statistics'!V$5&gt;0,'Monthly Statistics'!V6," ")</f>
        <v xml:space="preserve"> </v>
      </c>
      <c r="W3" s="152" t="str">
        <f>IF('Monthly Statistics'!W$5&gt;0,'Monthly Statistics'!W6," ")</f>
        <v xml:space="preserve"> </v>
      </c>
      <c r="X3" s="152" t="str">
        <f>IF('Monthly Statistics'!X$5&gt;0,'Monthly Statistics'!X6," ")</f>
        <v xml:space="preserve"> </v>
      </c>
      <c r="Y3" s="152" t="e">
        <f>IF('Monthly Statistics'!Y$5&gt;0,'Monthly Statistics'!Y6," ")</f>
        <v>#REF!</v>
      </c>
      <c r="Z3" s="152" t="e">
        <f>IF('Monthly Statistics'!Z$5&gt;0,'Monthly Statistics'!Z6," ")</f>
        <v>#REF!</v>
      </c>
      <c r="AA3" s="152" t="e">
        <f>IF('Monthly Statistics'!AA$5&gt;0,'Monthly Statistics'!AA6," ")</f>
        <v>#REF!</v>
      </c>
      <c r="AB3" s="152" t="e">
        <f>IF('Monthly Statistics'!AB$5&gt;0,'Monthly Statistics'!AB6," ")</f>
        <v>#REF!</v>
      </c>
      <c r="AC3" s="152" t="e">
        <f>IF('Monthly Statistics'!AC$5&gt;0,'Monthly Statistics'!AC6," ")</f>
        <v>#REF!</v>
      </c>
      <c r="AD3" s="152" t="e">
        <f>IF('Monthly Statistics'!AD$5&gt;0,'Monthly Statistics'!AD6," ")</f>
        <v>#REF!</v>
      </c>
      <c r="AE3" s="152" t="e">
        <f>IF('Monthly Statistics'!AE$5&gt;0,'Monthly Statistics'!AE6," ")</f>
        <v>#REF!</v>
      </c>
      <c r="AF3" s="152" t="e">
        <f>IF('Monthly Statistics'!AF$5&gt;0,'Monthly Statistics'!AF6," ")</f>
        <v>#REF!</v>
      </c>
      <c r="AG3" s="152" t="str">
        <f>IF('Monthly Statistics'!AG$5&gt;0,'Monthly Statistics'!AG6," ")</f>
        <v>Other Stores</v>
      </c>
      <c r="AI3" s="149" t="s">
        <v>20</v>
      </c>
      <c r="AJ3" s="149" t="s">
        <v>21</v>
      </c>
      <c r="AK3" s="149" t="s">
        <v>22</v>
      </c>
      <c r="AL3" s="149" t="s">
        <v>23</v>
      </c>
      <c r="AM3" s="149" t="s">
        <v>24</v>
      </c>
    </row>
    <row r="4" spans="2:39" s="148" customFormat="1" ht="14.25" customHeight="1">
      <c r="E4" s="311">
        <f t="shared" ref="E4:AG4" si="0">SUMIF($C$6:$C$47,"&gt;="&amp;$B$2,E6:E47)-SUMIF($C$6:$C$47,"&gt;"&amp;$B$3,E6:E47)</f>
        <v>0</v>
      </c>
      <c r="F4" s="312">
        <f t="shared" si="0"/>
        <v>0</v>
      </c>
      <c r="G4" s="312">
        <f t="shared" si="0"/>
        <v>0</v>
      </c>
      <c r="H4" s="312">
        <f t="shared" si="0"/>
        <v>0</v>
      </c>
      <c r="I4" s="312">
        <f t="shared" si="0"/>
        <v>0</v>
      </c>
      <c r="J4" s="312">
        <f t="shared" si="0"/>
        <v>0</v>
      </c>
      <c r="K4" s="312">
        <f t="shared" si="0"/>
        <v>0</v>
      </c>
      <c r="L4" s="312">
        <f t="shared" si="0"/>
        <v>0</v>
      </c>
      <c r="M4" s="312">
        <f t="shared" si="0"/>
        <v>0</v>
      </c>
      <c r="N4" s="312">
        <f t="shared" si="0"/>
        <v>0</v>
      </c>
      <c r="O4" s="312">
        <f t="shared" si="0"/>
        <v>0</v>
      </c>
      <c r="P4" s="312">
        <f t="shared" si="0"/>
        <v>0</v>
      </c>
      <c r="Q4" s="312">
        <f t="shared" si="0"/>
        <v>0</v>
      </c>
      <c r="R4" s="312">
        <f t="shared" si="0"/>
        <v>0</v>
      </c>
      <c r="S4" s="312">
        <f t="shared" si="0"/>
        <v>0</v>
      </c>
      <c r="T4" s="312">
        <f t="shared" si="0"/>
        <v>0</v>
      </c>
      <c r="U4" s="312">
        <f t="shared" si="0"/>
        <v>0</v>
      </c>
      <c r="V4" s="312">
        <f t="shared" si="0"/>
        <v>0</v>
      </c>
      <c r="W4" s="312">
        <f t="shared" si="0"/>
        <v>0</v>
      </c>
      <c r="X4" s="312">
        <f t="shared" si="0"/>
        <v>0</v>
      </c>
      <c r="Y4" s="312">
        <f t="shared" si="0"/>
        <v>0</v>
      </c>
      <c r="Z4" s="312">
        <f t="shared" si="0"/>
        <v>0</v>
      </c>
      <c r="AA4" s="312">
        <f t="shared" si="0"/>
        <v>0</v>
      </c>
      <c r="AB4" s="312">
        <f t="shared" si="0"/>
        <v>0</v>
      </c>
      <c r="AC4" s="312">
        <f t="shared" si="0"/>
        <v>0</v>
      </c>
      <c r="AD4" s="312">
        <f t="shared" si="0"/>
        <v>0</v>
      </c>
      <c r="AE4" s="312">
        <f t="shared" si="0"/>
        <v>0</v>
      </c>
      <c r="AF4" s="312">
        <f t="shared" si="0"/>
        <v>0</v>
      </c>
      <c r="AG4" s="312">
        <f t="shared" si="0"/>
        <v>0</v>
      </c>
    </row>
    <row r="5" spans="2:39" s="25" customFormat="1" ht="14.25" customHeight="1">
      <c r="E5" s="158"/>
      <c r="F5" s="158"/>
      <c r="G5" s="158"/>
      <c r="H5" s="158"/>
      <c r="I5" s="159"/>
      <c r="J5" s="159"/>
      <c r="K5" s="159"/>
      <c r="L5" s="159"/>
      <c r="M5" s="159"/>
    </row>
    <row r="6" spans="2:39" s="25" customFormat="1" ht="14.25" customHeight="1">
      <c r="B6" s="154" t="s">
        <v>26</v>
      </c>
      <c r="C6" s="155">
        <f>'Daily &amp; Weekly Totals'!E5</f>
        <v>43920</v>
      </c>
      <c r="D6" s="160"/>
      <c r="E6" s="161">
        <f>IF(ISNUMBER('Staff Hours'!E6)=FALSE,0,(HLOOKUP(Budgets!$C6,'Store Details'!$F$25:$AU$26,2)/'Staff Hours'!$AN6*'Staff Hours'!E6))</f>
        <v>0</v>
      </c>
      <c r="F6" s="161">
        <f>IF(ISNUMBER('Staff Hours'!F6)=FALSE,0,(HLOOKUP(Budgets!$C6,'Store Details'!$F$25:$AU$26,2)/'Staff Hours'!$AN6*'Staff Hours'!F6))</f>
        <v>0</v>
      </c>
      <c r="G6" s="161">
        <f>IF(ISNUMBER('Staff Hours'!G6)=FALSE,0,(HLOOKUP(Budgets!$C6,'Store Details'!$F$25:$AU$26,2)/'Staff Hours'!$AN6*'Staff Hours'!G6))</f>
        <v>0</v>
      </c>
      <c r="H6" s="161">
        <f>IF(ISNUMBER('Staff Hours'!H6)=FALSE,0,(HLOOKUP(Budgets!$C6,'Store Details'!$F$25:$AU$26,2)/'Staff Hours'!$AN6*'Staff Hours'!H6))</f>
        <v>0</v>
      </c>
      <c r="I6" s="161">
        <f>IF(ISNUMBER('Staff Hours'!I6)=FALSE,0,(HLOOKUP(Budgets!$C6,'Store Details'!$F$25:$AU$26,2)/'Staff Hours'!$AN6*'Staff Hours'!I6))</f>
        <v>0</v>
      </c>
      <c r="J6" s="161">
        <f>IF(ISNUMBER('Staff Hours'!J6)=FALSE,0,(HLOOKUP(Budgets!$C6,'Store Details'!$F$25:$AU$26,2)/'Staff Hours'!$AN6*'Staff Hours'!J6))</f>
        <v>0</v>
      </c>
      <c r="K6" s="161">
        <f>IF(ISNUMBER('Staff Hours'!K6)=FALSE,0,(HLOOKUP(Budgets!$C6,'Store Details'!$F$25:$AU$26,2)/'Staff Hours'!$AN6*'Staff Hours'!K6))</f>
        <v>0</v>
      </c>
      <c r="L6" s="161">
        <f>IF(ISNUMBER('Staff Hours'!L6)=FALSE,0,(HLOOKUP(Budgets!$C6,'Store Details'!$F$25:$AU$26,2)/'Staff Hours'!$AN6*'Staff Hours'!L6))</f>
        <v>0</v>
      </c>
      <c r="M6" s="161">
        <f>IF(ISNUMBER('Staff Hours'!M6)=FALSE,0,(HLOOKUP(Budgets!$C6,'Store Details'!$F$25:$AU$26,2)/'Staff Hours'!$AN6*'Staff Hours'!M6))</f>
        <v>0</v>
      </c>
      <c r="N6" s="161">
        <f>IF(ISNUMBER('Staff Hours'!N6)=FALSE,0,(HLOOKUP(Budgets!$C6,'Store Details'!$F$25:$AU$26,2)/'Staff Hours'!$AN6*'Staff Hours'!N6))</f>
        <v>0</v>
      </c>
      <c r="O6" s="161">
        <f>IF(ISNUMBER('Staff Hours'!O6)=FALSE,0,(HLOOKUP(Budgets!$C6,'Store Details'!$F$25:$AU$26,2)/'Staff Hours'!$AN6*'Staff Hours'!O6))</f>
        <v>0</v>
      </c>
      <c r="P6" s="161">
        <f>IF(ISNUMBER('Staff Hours'!P6)=FALSE,0,(HLOOKUP(Budgets!$C6,'Store Details'!$F$25:$AU$26,2)/'Staff Hours'!$AN6*'Staff Hours'!P6))</f>
        <v>0</v>
      </c>
      <c r="Q6" s="161">
        <f>IF(ISNUMBER('Staff Hours'!Q6)=FALSE,0,(HLOOKUP(Budgets!$C6,'Store Details'!$F$25:$AU$26,2)/'Staff Hours'!$AN6*'Staff Hours'!Q6))</f>
        <v>0</v>
      </c>
      <c r="R6" s="161">
        <f>IF(ISNUMBER('Staff Hours'!R6)=FALSE,0,(HLOOKUP(Budgets!$C6,'Store Details'!$F$25:$AU$26,2)/'Staff Hours'!$AN6*'Staff Hours'!R6))</f>
        <v>0</v>
      </c>
      <c r="S6" s="161">
        <f>IF(ISNUMBER('Staff Hours'!S6)=FALSE,0,(HLOOKUP(Budgets!$C6,'Store Details'!$F$25:$AU$26,2)/'Staff Hours'!$AN6*'Staff Hours'!S6))</f>
        <v>0</v>
      </c>
      <c r="T6" s="161">
        <f>IF(ISNUMBER('Staff Hours'!T6)=FALSE,0,(HLOOKUP(Budgets!$C6,'Store Details'!$F$25:$AU$26,2)/'Staff Hours'!$AN6*'Staff Hours'!T6))</f>
        <v>0</v>
      </c>
      <c r="U6" s="161">
        <f>IF(ISNUMBER('Staff Hours'!U6)=FALSE,0,(HLOOKUP(Budgets!$C6,'Store Details'!$F$25:$AU$26,2)/'Staff Hours'!$AN6*'Staff Hours'!U6))</f>
        <v>0</v>
      </c>
      <c r="V6" s="161">
        <f>IF(ISNUMBER('Staff Hours'!V6)=FALSE,0,(HLOOKUP(Budgets!$C6,'Store Details'!$F$25:$AU$26,2)/'Staff Hours'!$AN6*'Staff Hours'!V6))</f>
        <v>0</v>
      </c>
      <c r="W6" s="161">
        <f>IF(ISNUMBER('Staff Hours'!W6)=FALSE,0,(HLOOKUP(Budgets!$C6,'Store Details'!$F$25:$AU$26,2)/'Staff Hours'!$AN6*'Staff Hours'!W6))</f>
        <v>0</v>
      </c>
      <c r="X6" s="161">
        <f>IF(ISNUMBER('Staff Hours'!X6)=FALSE,0,(HLOOKUP(Budgets!$C6,'Store Details'!$F$25:$AU$26,2)/'Staff Hours'!$AN6*'Staff Hours'!X6))</f>
        <v>0</v>
      </c>
      <c r="Y6" s="161"/>
      <c r="Z6" s="161"/>
      <c r="AA6" s="161"/>
      <c r="AB6" s="161"/>
      <c r="AC6" s="161"/>
      <c r="AD6" s="161"/>
      <c r="AE6" s="161"/>
      <c r="AF6" s="161"/>
      <c r="AG6" s="161" t="s">
        <v>163</v>
      </c>
      <c r="AI6" s="162">
        <f t="shared" ref="AI6:AM21" si="1">SUMIF($E$3:$AG$3,AI$3,$E6:$AG6)</f>
        <v>0</v>
      </c>
      <c r="AJ6" s="162">
        <f t="shared" si="1"/>
        <v>0</v>
      </c>
      <c r="AK6" s="162">
        <f t="shared" si="1"/>
        <v>0</v>
      </c>
      <c r="AL6" s="162">
        <f t="shared" si="1"/>
        <v>0</v>
      </c>
      <c r="AM6" s="162">
        <f t="shared" si="1"/>
        <v>0</v>
      </c>
    </row>
    <row r="7" spans="2:39" s="25" customFormat="1" ht="14.25" customHeight="1">
      <c r="B7" s="154" t="s">
        <v>27</v>
      </c>
      <c r="C7" s="155">
        <f>'Daily &amp; Weekly Totals'!E6</f>
        <v>43921</v>
      </c>
      <c r="D7" s="160"/>
      <c r="E7" s="161">
        <f>IF(ISNUMBER('Staff Hours'!E7)=FALSE,0,(HLOOKUP(Budgets!$C7,'Store Details'!$F$25:$AU$26,2)/'Staff Hours'!$AN7*'Staff Hours'!E7))</f>
        <v>0</v>
      </c>
      <c r="F7" s="161">
        <f>IF(ISNUMBER('Staff Hours'!F7)=FALSE,0,(HLOOKUP(Budgets!$C7,'Store Details'!$F$25:$AU$26,2)/'Staff Hours'!$AN7*'Staff Hours'!F7))</f>
        <v>0</v>
      </c>
      <c r="G7" s="161">
        <f>IF(ISNUMBER('Staff Hours'!G7)=FALSE,0,(HLOOKUP(Budgets!$C7,'Store Details'!$F$25:$AU$26,2)/'Staff Hours'!$AN7*'Staff Hours'!G7))</f>
        <v>0</v>
      </c>
      <c r="H7" s="161">
        <f>IF(ISNUMBER('Staff Hours'!H7)=FALSE,0,(HLOOKUP(Budgets!$C7,'Store Details'!$F$25:$AU$26,2)/'Staff Hours'!$AN7*'Staff Hours'!H7))</f>
        <v>0</v>
      </c>
      <c r="I7" s="161">
        <f>IF(ISNUMBER('Staff Hours'!I7)=FALSE,0,(HLOOKUP(Budgets!$C7,'Store Details'!$F$25:$AU$26,2)/'Staff Hours'!$AN7*'Staff Hours'!I7))</f>
        <v>0</v>
      </c>
      <c r="J7" s="161">
        <f>IF(ISNUMBER('Staff Hours'!J7)=FALSE,0,(HLOOKUP(Budgets!$C7,'Store Details'!$F$25:$AU$26,2)/'Staff Hours'!$AN7*'Staff Hours'!J7))</f>
        <v>0</v>
      </c>
      <c r="K7" s="161">
        <f>IF(ISNUMBER('Staff Hours'!K7)=FALSE,0,(HLOOKUP(Budgets!$C7,'Store Details'!$F$25:$AU$26,2)/'Staff Hours'!$AN7*'Staff Hours'!K7))</f>
        <v>0</v>
      </c>
      <c r="L7" s="161">
        <f>IF(ISNUMBER('Staff Hours'!L7)=FALSE,0,(HLOOKUP(Budgets!$C7,'Store Details'!$F$25:$AU$26,2)/'Staff Hours'!$AN7*'Staff Hours'!L7))</f>
        <v>0</v>
      </c>
      <c r="M7" s="161">
        <f>IF(ISNUMBER('Staff Hours'!M7)=FALSE,0,(HLOOKUP(Budgets!$C7,'Store Details'!$F$25:$AU$26,2)/'Staff Hours'!$AN7*'Staff Hours'!M7))</f>
        <v>0</v>
      </c>
      <c r="N7" s="161">
        <f>IF(ISNUMBER('Staff Hours'!N7)=FALSE,0,(HLOOKUP(Budgets!$C7,'Store Details'!$F$25:$AU$26,2)/'Staff Hours'!$AN7*'Staff Hours'!N7))</f>
        <v>0</v>
      </c>
      <c r="O7" s="161">
        <f>IF(ISNUMBER('Staff Hours'!O7)=FALSE,0,(HLOOKUP(Budgets!$C7,'Store Details'!$F$25:$AU$26,2)/'Staff Hours'!$AN7*'Staff Hours'!O7))</f>
        <v>0</v>
      </c>
      <c r="P7" s="161">
        <f>IF(ISNUMBER('Staff Hours'!P7)=FALSE,0,(HLOOKUP(Budgets!$C7,'Store Details'!$F$25:$AU$26,2)/'Staff Hours'!$AN7*'Staff Hours'!P7))</f>
        <v>0</v>
      </c>
      <c r="Q7" s="161">
        <f>IF(ISNUMBER('Staff Hours'!Q7)=FALSE,0,(HLOOKUP(Budgets!$C7,'Store Details'!$F$25:$AU$26,2)/'Staff Hours'!$AN7*'Staff Hours'!Q7))</f>
        <v>0</v>
      </c>
      <c r="R7" s="161">
        <f>IF(ISNUMBER('Staff Hours'!R7)=FALSE,0,(HLOOKUP(Budgets!$C7,'Store Details'!$F$25:$AU$26,2)/'Staff Hours'!$AN7*'Staff Hours'!R7))</f>
        <v>0</v>
      </c>
      <c r="S7" s="161">
        <f>IF(ISNUMBER('Staff Hours'!S7)=FALSE,0,(HLOOKUP(Budgets!$C7,'Store Details'!$F$25:$AU$26,2)/'Staff Hours'!$AN7*'Staff Hours'!S7))</f>
        <v>0</v>
      </c>
      <c r="T7" s="161">
        <f>IF(ISNUMBER('Staff Hours'!T7)=FALSE,0,(HLOOKUP(Budgets!$C7,'Store Details'!$F$25:$AU$26,2)/'Staff Hours'!$AN7*'Staff Hours'!T7))</f>
        <v>0</v>
      </c>
      <c r="U7" s="161">
        <f>IF(ISNUMBER('Staff Hours'!U7)=FALSE,0,(HLOOKUP(Budgets!$C7,'Store Details'!$F$25:$AU$26,2)/'Staff Hours'!$AN7*'Staff Hours'!U7))</f>
        <v>0</v>
      </c>
      <c r="V7" s="161">
        <f>IF(ISNUMBER('Staff Hours'!V7)=FALSE,0,(HLOOKUP(Budgets!$C7,'Store Details'!$F$25:$AU$26,2)/'Staff Hours'!$AN7*'Staff Hours'!V7))</f>
        <v>0</v>
      </c>
      <c r="W7" s="161">
        <f>IF(ISNUMBER('Staff Hours'!W7)=FALSE,0,(HLOOKUP(Budgets!$C7,'Store Details'!$F$25:$AU$26,2)/'Staff Hours'!$AN7*'Staff Hours'!W7))</f>
        <v>0</v>
      </c>
      <c r="X7" s="161">
        <f>IF(ISNUMBER('Staff Hours'!X7)=FALSE,0,(HLOOKUP(Budgets!$C7,'Store Details'!$F$25:$AU$26,2)/'Staff Hours'!$AN7*'Staff Hours'!X7))</f>
        <v>0</v>
      </c>
      <c r="Y7" s="10"/>
      <c r="Z7" s="10"/>
      <c r="AA7" s="10"/>
      <c r="AB7" s="10"/>
      <c r="AC7" s="10"/>
      <c r="AD7" s="10"/>
      <c r="AE7" s="10"/>
      <c r="AF7" s="10"/>
      <c r="AG7" s="161" t="s">
        <v>163</v>
      </c>
      <c r="AI7" s="162">
        <f t="shared" si="1"/>
        <v>0</v>
      </c>
      <c r="AJ7" s="162">
        <f t="shared" si="1"/>
        <v>0</v>
      </c>
      <c r="AK7" s="162">
        <f t="shared" si="1"/>
        <v>0</v>
      </c>
      <c r="AL7" s="162">
        <f t="shared" si="1"/>
        <v>0</v>
      </c>
      <c r="AM7" s="162">
        <f t="shared" si="1"/>
        <v>0</v>
      </c>
    </row>
    <row r="8" spans="2:39" s="25" customFormat="1" ht="14.25" customHeight="1">
      <c r="B8" s="154" t="s">
        <v>28</v>
      </c>
      <c r="C8" s="155">
        <f>'Daily &amp; Weekly Totals'!E7</f>
        <v>43922</v>
      </c>
      <c r="D8" s="160"/>
      <c r="E8" s="161">
        <f>IF(ISNUMBER('Staff Hours'!E8)=FALSE,0,(HLOOKUP(Budgets!$C8,'Store Details'!$F$25:$AU$26,2)/'Staff Hours'!$AN8*'Staff Hours'!E8))</f>
        <v>0</v>
      </c>
      <c r="F8" s="161">
        <f>IF(ISNUMBER('Staff Hours'!F8)=FALSE,0,(HLOOKUP(Budgets!$C8,'Store Details'!$F$25:$AU$26,2)/'Staff Hours'!$AN8*'Staff Hours'!F8))</f>
        <v>0</v>
      </c>
      <c r="G8" s="161">
        <f>IF(ISNUMBER('Staff Hours'!G8)=FALSE,0,(HLOOKUP(Budgets!$C8,'Store Details'!$F$25:$AU$26,2)/'Staff Hours'!$AN8*'Staff Hours'!G8))</f>
        <v>0</v>
      </c>
      <c r="H8" s="161">
        <f>IF(ISNUMBER('Staff Hours'!H8)=FALSE,0,(HLOOKUP(Budgets!$C8,'Store Details'!$F$25:$AU$26,2)/'Staff Hours'!$AN8*'Staff Hours'!H8))</f>
        <v>0</v>
      </c>
      <c r="I8" s="161">
        <f>IF(ISNUMBER('Staff Hours'!I8)=FALSE,0,(HLOOKUP(Budgets!$C8,'Store Details'!$F$25:$AU$26,2)/'Staff Hours'!$AN8*'Staff Hours'!I8))</f>
        <v>0</v>
      </c>
      <c r="J8" s="161">
        <f>IF(ISNUMBER('Staff Hours'!J8)=FALSE,0,(HLOOKUP(Budgets!$C8,'Store Details'!$F$25:$AU$26,2)/'Staff Hours'!$AN8*'Staff Hours'!J8))</f>
        <v>0</v>
      </c>
      <c r="K8" s="161">
        <f>IF(ISNUMBER('Staff Hours'!K8)=FALSE,0,(HLOOKUP(Budgets!$C8,'Store Details'!$F$25:$AU$26,2)/'Staff Hours'!$AN8*'Staff Hours'!K8))</f>
        <v>0</v>
      </c>
      <c r="L8" s="161">
        <f>IF(ISNUMBER('Staff Hours'!L8)=FALSE,0,(HLOOKUP(Budgets!$C8,'Store Details'!$F$25:$AU$26,2)/'Staff Hours'!$AN8*'Staff Hours'!L8))</f>
        <v>0</v>
      </c>
      <c r="M8" s="161">
        <f>IF(ISNUMBER('Staff Hours'!M8)=FALSE,0,(HLOOKUP(Budgets!$C8,'Store Details'!$F$25:$AU$26,2)/'Staff Hours'!$AN8*'Staff Hours'!M8))</f>
        <v>0</v>
      </c>
      <c r="N8" s="161">
        <f>IF(ISNUMBER('Staff Hours'!N8)=FALSE,0,(HLOOKUP(Budgets!$C8,'Store Details'!$F$25:$AU$26,2)/'Staff Hours'!$AN8*'Staff Hours'!N8))</f>
        <v>0</v>
      </c>
      <c r="O8" s="161">
        <f>IF(ISNUMBER('Staff Hours'!O8)=FALSE,0,(HLOOKUP(Budgets!$C8,'Store Details'!$F$25:$AU$26,2)/'Staff Hours'!$AN8*'Staff Hours'!O8))</f>
        <v>0</v>
      </c>
      <c r="P8" s="161">
        <f>IF(ISNUMBER('Staff Hours'!P8)=FALSE,0,(HLOOKUP(Budgets!$C8,'Store Details'!$F$25:$AU$26,2)/'Staff Hours'!$AN8*'Staff Hours'!P8))</f>
        <v>0</v>
      </c>
      <c r="Q8" s="161">
        <f>IF(ISNUMBER('Staff Hours'!Q8)=FALSE,0,(HLOOKUP(Budgets!$C8,'Store Details'!$F$25:$AU$26,2)/'Staff Hours'!$AN8*'Staff Hours'!Q8))</f>
        <v>0</v>
      </c>
      <c r="R8" s="161">
        <f>IF(ISNUMBER('Staff Hours'!R8)=FALSE,0,(HLOOKUP(Budgets!$C8,'Store Details'!$F$25:$AU$26,2)/'Staff Hours'!$AN8*'Staff Hours'!R8))</f>
        <v>0</v>
      </c>
      <c r="S8" s="161">
        <f>IF(ISNUMBER('Staff Hours'!S8)=FALSE,0,(HLOOKUP(Budgets!$C8,'Store Details'!$F$25:$AU$26,2)/'Staff Hours'!$AN8*'Staff Hours'!S8))</f>
        <v>0</v>
      </c>
      <c r="T8" s="161">
        <f>IF(ISNUMBER('Staff Hours'!T8)=FALSE,0,(HLOOKUP(Budgets!$C8,'Store Details'!$F$25:$AU$26,2)/'Staff Hours'!$AN8*'Staff Hours'!T8))</f>
        <v>0</v>
      </c>
      <c r="U8" s="161">
        <f>IF(ISNUMBER('Staff Hours'!U8)=FALSE,0,(HLOOKUP(Budgets!$C8,'Store Details'!$F$25:$AU$26,2)/'Staff Hours'!$AN8*'Staff Hours'!U8))</f>
        <v>0</v>
      </c>
      <c r="V8" s="161">
        <f>IF(ISNUMBER('Staff Hours'!V8)=FALSE,0,(HLOOKUP(Budgets!$C8,'Store Details'!$F$25:$AU$26,2)/'Staff Hours'!$AN8*'Staff Hours'!V8))</f>
        <v>0</v>
      </c>
      <c r="W8" s="161">
        <f>IF(ISNUMBER('Staff Hours'!W8)=FALSE,0,(HLOOKUP(Budgets!$C8,'Store Details'!$F$25:$AU$26,2)/'Staff Hours'!$AN8*'Staff Hours'!W8))</f>
        <v>0</v>
      </c>
      <c r="X8" s="161">
        <f>IF(ISNUMBER('Staff Hours'!X8)=FALSE,0,(HLOOKUP(Budgets!$C8,'Store Details'!$F$25:$AU$26,2)/'Staff Hours'!$AN8*'Staff Hours'!X8))</f>
        <v>0</v>
      </c>
      <c r="Y8" s="10"/>
      <c r="Z8" s="10"/>
      <c r="AA8" s="10"/>
      <c r="AB8" s="10"/>
      <c r="AC8" s="10"/>
      <c r="AD8" s="10"/>
      <c r="AE8" s="10"/>
      <c r="AF8" s="10"/>
      <c r="AG8" s="161" t="s">
        <v>163</v>
      </c>
      <c r="AI8" s="162">
        <f t="shared" si="1"/>
        <v>0</v>
      </c>
      <c r="AJ8" s="162">
        <f t="shared" si="1"/>
        <v>0</v>
      </c>
      <c r="AK8" s="162">
        <f t="shared" si="1"/>
        <v>0</v>
      </c>
      <c r="AL8" s="162">
        <f t="shared" si="1"/>
        <v>0</v>
      </c>
      <c r="AM8" s="162">
        <f t="shared" si="1"/>
        <v>0</v>
      </c>
    </row>
    <row r="9" spans="2:39" s="25" customFormat="1" ht="14.25" customHeight="1">
      <c r="B9" s="154" t="s">
        <v>29</v>
      </c>
      <c r="C9" s="155">
        <f>'Daily &amp; Weekly Totals'!E8</f>
        <v>43923</v>
      </c>
      <c r="D9" s="160"/>
      <c r="E9" s="161">
        <f>IF(ISNUMBER('Staff Hours'!E9)=FALSE,0,(HLOOKUP(Budgets!$C9,'Store Details'!$F$25:$AU$26,2)/'Staff Hours'!$AN9*'Staff Hours'!E9))</f>
        <v>0</v>
      </c>
      <c r="F9" s="161">
        <f>IF(ISNUMBER('Staff Hours'!F9)=FALSE,0,(HLOOKUP(Budgets!$C9,'Store Details'!$F$25:$AU$26,2)/'Staff Hours'!$AN9*'Staff Hours'!F9))</f>
        <v>0</v>
      </c>
      <c r="G9" s="161">
        <f>IF(ISNUMBER('Staff Hours'!G9)=FALSE,0,(HLOOKUP(Budgets!$C9,'Store Details'!$F$25:$AU$26,2)/'Staff Hours'!$AN9*'Staff Hours'!G9))</f>
        <v>0</v>
      </c>
      <c r="H9" s="161">
        <f>IF(ISNUMBER('Staff Hours'!H9)=FALSE,0,(HLOOKUP(Budgets!$C9,'Store Details'!$F$25:$AU$26,2)/'Staff Hours'!$AN9*'Staff Hours'!H9))</f>
        <v>0</v>
      </c>
      <c r="I9" s="161">
        <f>IF(ISNUMBER('Staff Hours'!I9)=FALSE,0,(HLOOKUP(Budgets!$C9,'Store Details'!$F$25:$AU$26,2)/'Staff Hours'!$AN9*'Staff Hours'!I9))</f>
        <v>0</v>
      </c>
      <c r="J9" s="161">
        <f>IF(ISNUMBER('Staff Hours'!J9)=FALSE,0,(HLOOKUP(Budgets!$C9,'Store Details'!$F$25:$AU$26,2)/'Staff Hours'!$AN9*'Staff Hours'!J9))</f>
        <v>0</v>
      </c>
      <c r="K9" s="161">
        <f>IF(ISNUMBER('Staff Hours'!K9)=FALSE,0,(HLOOKUP(Budgets!$C9,'Store Details'!$F$25:$AU$26,2)/'Staff Hours'!$AN9*'Staff Hours'!K9))</f>
        <v>0</v>
      </c>
      <c r="L9" s="161">
        <f>IF(ISNUMBER('Staff Hours'!L9)=FALSE,0,(HLOOKUP(Budgets!$C9,'Store Details'!$F$25:$AU$26,2)/'Staff Hours'!$AN9*'Staff Hours'!L9))</f>
        <v>0</v>
      </c>
      <c r="M9" s="161">
        <f>IF(ISNUMBER('Staff Hours'!M9)=FALSE,0,(HLOOKUP(Budgets!$C9,'Store Details'!$F$25:$AU$26,2)/'Staff Hours'!$AN9*'Staff Hours'!M9))</f>
        <v>0</v>
      </c>
      <c r="N9" s="161">
        <f>IF(ISNUMBER('Staff Hours'!N9)=FALSE,0,(HLOOKUP(Budgets!$C9,'Store Details'!$F$25:$AU$26,2)/'Staff Hours'!$AN9*'Staff Hours'!N9))</f>
        <v>0</v>
      </c>
      <c r="O9" s="161">
        <f>IF(ISNUMBER('Staff Hours'!O9)=FALSE,0,(HLOOKUP(Budgets!$C9,'Store Details'!$F$25:$AU$26,2)/'Staff Hours'!$AN9*'Staff Hours'!O9))</f>
        <v>0</v>
      </c>
      <c r="P9" s="161">
        <f>IF(ISNUMBER('Staff Hours'!P9)=FALSE,0,(HLOOKUP(Budgets!$C9,'Store Details'!$F$25:$AU$26,2)/'Staff Hours'!$AN9*'Staff Hours'!P9))</f>
        <v>0</v>
      </c>
      <c r="Q9" s="161">
        <f>IF(ISNUMBER('Staff Hours'!Q9)=FALSE,0,(HLOOKUP(Budgets!$C9,'Store Details'!$F$25:$AU$26,2)/'Staff Hours'!$AN9*'Staff Hours'!Q9))</f>
        <v>0</v>
      </c>
      <c r="R9" s="161">
        <f>IF(ISNUMBER('Staff Hours'!R9)=FALSE,0,(HLOOKUP(Budgets!$C9,'Store Details'!$F$25:$AU$26,2)/'Staff Hours'!$AN9*'Staff Hours'!R9))</f>
        <v>0</v>
      </c>
      <c r="S9" s="161">
        <f>IF(ISNUMBER('Staff Hours'!S9)=FALSE,0,(HLOOKUP(Budgets!$C9,'Store Details'!$F$25:$AU$26,2)/'Staff Hours'!$AN9*'Staff Hours'!S9))</f>
        <v>0</v>
      </c>
      <c r="T9" s="161">
        <f>IF(ISNUMBER('Staff Hours'!T9)=FALSE,0,(HLOOKUP(Budgets!$C9,'Store Details'!$F$25:$AU$26,2)/'Staff Hours'!$AN9*'Staff Hours'!T9))</f>
        <v>0</v>
      </c>
      <c r="U9" s="161">
        <f>IF(ISNUMBER('Staff Hours'!U9)=FALSE,0,(HLOOKUP(Budgets!$C9,'Store Details'!$F$25:$AU$26,2)/'Staff Hours'!$AN9*'Staff Hours'!U9))</f>
        <v>0</v>
      </c>
      <c r="V9" s="161">
        <f>IF(ISNUMBER('Staff Hours'!V9)=FALSE,0,(HLOOKUP(Budgets!$C9,'Store Details'!$F$25:$AU$26,2)/'Staff Hours'!$AN9*'Staff Hours'!V9))</f>
        <v>0</v>
      </c>
      <c r="W9" s="161">
        <f>IF(ISNUMBER('Staff Hours'!W9)=FALSE,0,(HLOOKUP(Budgets!$C9,'Store Details'!$F$25:$AU$26,2)/'Staff Hours'!$AN9*'Staff Hours'!W9))</f>
        <v>0</v>
      </c>
      <c r="X9" s="161">
        <f>IF(ISNUMBER('Staff Hours'!X9)=FALSE,0,(HLOOKUP(Budgets!$C9,'Store Details'!$F$25:$AU$26,2)/'Staff Hours'!$AN9*'Staff Hours'!X9))</f>
        <v>0</v>
      </c>
      <c r="Y9" s="10"/>
      <c r="Z9" s="10"/>
      <c r="AA9" s="10"/>
      <c r="AB9" s="10"/>
      <c r="AC9" s="10"/>
      <c r="AD9" s="10"/>
      <c r="AE9" s="10"/>
      <c r="AF9" s="10"/>
      <c r="AG9" s="161" t="s">
        <v>163</v>
      </c>
      <c r="AI9" s="162">
        <f t="shared" si="1"/>
        <v>0</v>
      </c>
      <c r="AJ9" s="162">
        <f t="shared" si="1"/>
        <v>0</v>
      </c>
      <c r="AK9" s="162">
        <f t="shared" si="1"/>
        <v>0</v>
      </c>
      <c r="AL9" s="162">
        <f t="shared" si="1"/>
        <v>0</v>
      </c>
      <c r="AM9" s="162">
        <f t="shared" si="1"/>
        <v>0</v>
      </c>
    </row>
    <row r="10" spans="2:39" s="25" customFormat="1" ht="14.25" customHeight="1">
      <c r="B10" s="154" t="s">
        <v>30</v>
      </c>
      <c r="C10" s="155">
        <f>'Daily &amp; Weekly Totals'!E9</f>
        <v>43924</v>
      </c>
      <c r="D10" s="160"/>
      <c r="E10" s="161">
        <f>IF(ISNUMBER('Staff Hours'!E10)=FALSE,0,(HLOOKUP(Budgets!$C10,'Store Details'!$F$25:$AU$26,2)/'Staff Hours'!$AN10*'Staff Hours'!E10))</f>
        <v>0</v>
      </c>
      <c r="F10" s="161">
        <f>IF(ISNUMBER('Staff Hours'!F10)=FALSE,0,(HLOOKUP(Budgets!$C10,'Store Details'!$F$25:$AU$26,2)/'Staff Hours'!$AN10*'Staff Hours'!F10))</f>
        <v>0</v>
      </c>
      <c r="G10" s="161">
        <f>IF(ISNUMBER('Staff Hours'!G10)=FALSE,0,(HLOOKUP(Budgets!$C10,'Store Details'!$F$25:$AU$26,2)/'Staff Hours'!$AN10*'Staff Hours'!G10))</f>
        <v>0</v>
      </c>
      <c r="H10" s="161">
        <f>IF(ISNUMBER('Staff Hours'!H10)=FALSE,0,(HLOOKUP(Budgets!$C10,'Store Details'!$F$25:$AU$26,2)/'Staff Hours'!$AN10*'Staff Hours'!H10))</f>
        <v>0</v>
      </c>
      <c r="I10" s="161">
        <f>IF(ISNUMBER('Staff Hours'!I10)=FALSE,0,(HLOOKUP(Budgets!$C10,'Store Details'!$F$25:$AU$26,2)/'Staff Hours'!$AN10*'Staff Hours'!I10))</f>
        <v>0</v>
      </c>
      <c r="J10" s="161">
        <f>IF(ISNUMBER('Staff Hours'!J10)=FALSE,0,(HLOOKUP(Budgets!$C10,'Store Details'!$F$25:$AU$26,2)/'Staff Hours'!$AN10*'Staff Hours'!J10))</f>
        <v>0</v>
      </c>
      <c r="K10" s="161">
        <f>IF(ISNUMBER('Staff Hours'!K10)=FALSE,0,(HLOOKUP(Budgets!$C10,'Store Details'!$F$25:$AU$26,2)/'Staff Hours'!$AN10*'Staff Hours'!K10))</f>
        <v>0</v>
      </c>
      <c r="L10" s="161">
        <f>IF(ISNUMBER('Staff Hours'!L10)=FALSE,0,(HLOOKUP(Budgets!$C10,'Store Details'!$F$25:$AU$26,2)/'Staff Hours'!$AN10*'Staff Hours'!L10))</f>
        <v>0</v>
      </c>
      <c r="M10" s="161">
        <f>IF(ISNUMBER('Staff Hours'!M10)=FALSE,0,(HLOOKUP(Budgets!$C10,'Store Details'!$F$25:$AU$26,2)/'Staff Hours'!$AN10*'Staff Hours'!M10))</f>
        <v>0</v>
      </c>
      <c r="N10" s="161">
        <f>IF(ISNUMBER('Staff Hours'!N10)=FALSE,0,(HLOOKUP(Budgets!$C10,'Store Details'!$F$25:$AU$26,2)/'Staff Hours'!$AN10*'Staff Hours'!N10))</f>
        <v>0</v>
      </c>
      <c r="O10" s="161">
        <f>IF(ISNUMBER('Staff Hours'!O10)=FALSE,0,(HLOOKUP(Budgets!$C10,'Store Details'!$F$25:$AU$26,2)/'Staff Hours'!$AN10*'Staff Hours'!O10))</f>
        <v>0</v>
      </c>
      <c r="P10" s="161">
        <f>IF(ISNUMBER('Staff Hours'!P10)=FALSE,0,(HLOOKUP(Budgets!$C10,'Store Details'!$F$25:$AU$26,2)/'Staff Hours'!$AN10*'Staff Hours'!P10))</f>
        <v>0</v>
      </c>
      <c r="Q10" s="161">
        <f>IF(ISNUMBER('Staff Hours'!Q10)=FALSE,0,(HLOOKUP(Budgets!$C10,'Store Details'!$F$25:$AU$26,2)/'Staff Hours'!$AN10*'Staff Hours'!Q10))</f>
        <v>0</v>
      </c>
      <c r="R10" s="161">
        <f>IF(ISNUMBER('Staff Hours'!R10)=FALSE,0,(HLOOKUP(Budgets!$C10,'Store Details'!$F$25:$AU$26,2)/'Staff Hours'!$AN10*'Staff Hours'!R10))</f>
        <v>0</v>
      </c>
      <c r="S10" s="161">
        <f>IF(ISNUMBER('Staff Hours'!S10)=FALSE,0,(HLOOKUP(Budgets!$C10,'Store Details'!$F$25:$AU$26,2)/'Staff Hours'!$AN10*'Staff Hours'!S10))</f>
        <v>0</v>
      </c>
      <c r="T10" s="161">
        <f>IF(ISNUMBER('Staff Hours'!T10)=FALSE,0,(HLOOKUP(Budgets!$C10,'Store Details'!$F$25:$AU$26,2)/'Staff Hours'!$AN10*'Staff Hours'!T10))</f>
        <v>0</v>
      </c>
      <c r="U10" s="161">
        <f>IF(ISNUMBER('Staff Hours'!U10)=FALSE,0,(HLOOKUP(Budgets!$C10,'Store Details'!$F$25:$AU$26,2)/'Staff Hours'!$AN10*'Staff Hours'!U10))</f>
        <v>0</v>
      </c>
      <c r="V10" s="161">
        <f>IF(ISNUMBER('Staff Hours'!V10)=FALSE,0,(HLOOKUP(Budgets!$C10,'Store Details'!$F$25:$AU$26,2)/'Staff Hours'!$AN10*'Staff Hours'!V10))</f>
        <v>0</v>
      </c>
      <c r="W10" s="161">
        <f>IF(ISNUMBER('Staff Hours'!W10)=FALSE,0,(HLOOKUP(Budgets!$C10,'Store Details'!$F$25:$AU$26,2)/'Staff Hours'!$AN10*'Staff Hours'!W10))</f>
        <v>0</v>
      </c>
      <c r="X10" s="161">
        <f>IF(ISNUMBER('Staff Hours'!X10)=FALSE,0,(HLOOKUP(Budgets!$C10,'Store Details'!$F$25:$AU$26,2)/'Staff Hours'!$AN10*'Staff Hours'!X10))</f>
        <v>0</v>
      </c>
      <c r="Y10" s="10"/>
      <c r="Z10" s="10"/>
      <c r="AA10" s="10"/>
      <c r="AB10" s="10"/>
      <c r="AC10" s="10"/>
      <c r="AD10" s="10"/>
      <c r="AE10" s="10"/>
      <c r="AF10" s="10"/>
      <c r="AG10" s="161" t="s">
        <v>163</v>
      </c>
      <c r="AI10" s="162">
        <f t="shared" si="1"/>
        <v>0</v>
      </c>
      <c r="AJ10" s="162">
        <f t="shared" si="1"/>
        <v>0</v>
      </c>
      <c r="AK10" s="162">
        <f t="shared" si="1"/>
        <v>0</v>
      </c>
      <c r="AL10" s="162">
        <f t="shared" si="1"/>
        <v>0</v>
      </c>
      <c r="AM10" s="162">
        <f t="shared" si="1"/>
        <v>0</v>
      </c>
    </row>
    <row r="11" spans="2:39" s="25" customFormat="1" ht="14.25" customHeight="1">
      <c r="B11" s="154" t="s">
        <v>31</v>
      </c>
      <c r="C11" s="155">
        <f>'Daily &amp; Weekly Totals'!E10</f>
        <v>43925</v>
      </c>
      <c r="D11" s="160"/>
      <c r="E11" s="161">
        <f>IF(ISNUMBER('Staff Hours'!E11)=FALSE,0,(HLOOKUP(Budgets!$C11,'Store Details'!$F$25:$AU$26,2)/'Staff Hours'!$AN11*'Staff Hours'!E11))</f>
        <v>0</v>
      </c>
      <c r="F11" s="161">
        <f>IF(ISNUMBER('Staff Hours'!F11)=FALSE,0,(HLOOKUP(Budgets!$C11,'Store Details'!$F$25:$AU$26,2)/'Staff Hours'!$AN11*'Staff Hours'!F11))</f>
        <v>0</v>
      </c>
      <c r="G11" s="161">
        <f>IF(ISNUMBER('Staff Hours'!G11)=FALSE,0,(HLOOKUP(Budgets!$C11,'Store Details'!$F$25:$AU$26,2)/'Staff Hours'!$AN11*'Staff Hours'!G11))</f>
        <v>0</v>
      </c>
      <c r="H11" s="161">
        <f>IF(ISNUMBER('Staff Hours'!H11)=FALSE,0,(HLOOKUP(Budgets!$C11,'Store Details'!$F$25:$AU$26,2)/'Staff Hours'!$AN11*'Staff Hours'!H11))</f>
        <v>0</v>
      </c>
      <c r="I11" s="161">
        <f>IF(ISNUMBER('Staff Hours'!I11)=FALSE,0,(HLOOKUP(Budgets!$C11,'Store Details'!$F$25:$AU$26,2)/'Staff Hours'!$AN11*'Staff Hours'!I11))</f>
        <v>0</v>
      </c>
      <c r="J11" s="161">
        <f>IF(ISNUMBER('Staff Hours'!J11)=FALSE,0,(HLOOKUP(Budgets!$C11,'Store Details'!$F$25:$AU$26,2)/'Staff Hours'!$AN11*'Staff Hours'!J11))</f>
        <v>0</v>
      </c>
      <c r="K11" s="161">
        <f>IF(ISNUMBER('Staff Hours'!K11)=FALSE,0,(HLOOKUP(Budgets!$C11,'Store Details'!$F$25:$AU$26,2)/'Staff Hours'!$AN11*'Staff Hours'!K11))</f>
        <v>0</v>
      </c>
      <c r="L11" s="161">
        <f>IF(ISNUMBER('Staff Hours'!L11)=FALSE,0,(HLOOKUP(Budgets!$C11,'Store Details'!$F$25:$AU$26,2)/'Staff Hours'!$AN11*'Staff Hours'!L11))</f>
        <v>0</v>
      </c>
      <c r="M11" s="161">
        <f>IF(ISNUMBER('Staff Hours'!M11)=FALSE,0,(HLOOKUP(Budgets!$C11,'Store Details'!$F$25:$AU$26,2)/'Staff Hours'!$AN11*'Staff Hours'!M11))</f>
        <v>0</v>
      </c>
      <c r="N11" s="161">
        <f>IF(ISNUMBER('Staff Hours'!N11)=FALSE,0,(HLOOKUP(Budgets!$C11,'Store Details'!$F$25:$AU$26,2)/'Staff Hours'!$AN11*'Staff Hours'!N11))</f>
        <v>0</v>
      </c>
      <c r="O11" s="161">
        <f>IF(ISNUMBER('Staff Hours'!O11)=FALSE,0,(HLOOKUP(Budgets!$C11,'Store Details'!$F$25:$AU$26,2)/'Staff Hours'!$AN11*'Staff Hours'!O11))</f>
        <v>0</v>
      </c>
      <c r="P11" s="161">
        <f>IF(ISNUMBER('Staff Hours'!P11)=FALSE,0,(HLOOKUP(Budgets!$C11,'Store Details'!$F$25:$AU$26,2)/'Staff Hours'!$AN11*'Staff Hours'!P11))</f>
        <v>0</v>
      </c>
      <c r="Q11" s="161">
        <f>IF(ISNUMBER('Staff Hours'!Q11)=FALSE,0,(HLOOKUP(Budgets!$C11,'Store Details'!$F$25:$AU$26,2)/'Staff Hours'!$AN11*'Staff Hours'!Q11))</f>
        <v>0</v>
      </c>
      <c r="R11" s="161">
        <f>IF(ISNUMBER('Staff Hours'!R11)=FALSE,0,(HLOOKUP(Budgets!$C11,'Store Details'!$F$25:$AU$26,2)/'Staff Hours'!$AN11*'Staff Hours'!R11))</f>
        <v>0</v>
      </c>
      <c r="S11" s="161">
        <f>IF(ISNUMBER('Staff Hours'!S11)=FALSE,0,(HLOOKUP(Budgets!$C11,'Store Details'!$F$25:$AU$26,2)/'Staff Hours'!$AN11*'Staff Hours'!S11))</f>
        <v>0</v>
      </c>
      <c r="T11" s="161">
        <f>IF(ISNUMBER('Staff Hours'!T11)=FALSE,0,(HLOOKUP(Budgets!$C11,'Store Details'!$F$25:$AU$26,2)/'Staff Hours'!$AN11*'Staff Hours'!T11))</f>
        <v>0</v>
      </c>
      <c r="U11" s="161">
        <f>IF(ISNUMBER('Staff Hours'!U11)=FALSE,0,(HLOOKUP(Budgets!$C11,'Store Details'!$F$25:$AU$26,2)/'Staff Hours'!$AN11*'Staff Hours'!U11))</f>
        <v>0</v>
      </c>
      <c r="V11" s="161">
        <f>IF(ISNUMBER('Staff Hours'!V11)=FALSE,0,(HLOOKUP(Budgets!$C11,'Store Details'!$F$25:$AU$26,2)/'Staff Hours'!$AN11*'Staff Hours'!V11))</f>
        <v>0</v>
      </c>
      <c r="W11" s="161">
        <f>IF(ISNUMBER('Staff Hours'!W11)=FALSE,0,(HLOOKUP(Budgets!$C11,'Store Details'!$F$25:$AU$26,2)/'Staff Hours'!$AN11*'Staff Hours'!W11))</f>
        <v>0</v>
      </c>
      <c r="X11" s="161">
        <f>IF(ISNUMBER('Staff Hours'!X11)=FALSE,0,(HLOOKUP(Budgets!$C11,'Store Details'!$F$25:$AU$26,2)/'Staff Hours'!$AN11*'Staff Hours'!X11))</f>
        <v>0</v>
      </c>
      <c r="Y11" s="10"/>
      <c r="Z11" s="10"/>
      <c r="AA11" s="10"/>
      <c r="AB11" s="10"/>
      <c r="AC11" s="10"/>
      <c r="AD11" s="10"/>
      <c r="AE11" s="10"/>
      <c r="AF11" s="10"/>
      <c r="AG11" s="161" t="s">
        <v>163</v>
      </c>
      <c r="AI11" s="162">
        <f t="shared" si="1"/>
        <v>0</v>
      </c>
      <c r="AJ11" s="162">
        <f t="shared" si="1"/>
        <v>0</v>
      </c>
      <c r="AK11" s="162">
        <f t="shared" si="1"/>
        <v>0</v>
      </c>
      <c r="AL11" s="162">
        <f t="shared" si="1"/>
        <v>0</v>
      </c>
      <c r="AM11" s="162">
        <f t="shared" si="1"/>
        <v>0</v>
      </c>
    </row>
    <row r="12" spans="2:39" s="25" customFormat="1" ht="14.25" customHeight="1">
      <c r="B12" s="154" t="s">
        <v>32</v>
      </c>
      <c r="C12" s="155">
        <f>'Daily &amp; Weekly Totals'!E11</f>
        <v>43926</v>
      </c>
      <c r="D12" s="160"/>
      <c r="E12" s="161">
        <f>IF(ISNUMBER('Staff Hours'!E12)=FALSE,0,(HLOOKUP(Budgets!$C12,'Store Details'!$F$25:$AU$26,2)/'Staff Hours'!$AN12*'Staff Hours'!E12))</f>
        <v>0</v>
      </c>
      <c r="F12" s="161">
        <f>IF(ISNUMBER('Staff Hours'!F12)=FALSE,0,(HLOOKUP(Budgets!$C12,'Store Details'!$F$25:$AU$26,2)/'Staff Hours'!$AN12*'Staff Hours'!F12))</f>
        <v>0</v>
      </c>
      <c r="G12" s="161">
        <f>IF(ISNUMBER('Staff Hours'!G12)=FALSE,0,(HLOOKUP(Budgets!$C12,'Store Details'!$F$25:$AU$26,2)/'Staff Hours'!$AN12*'Staff Hours'!G12))</f>
        <v>0</v>
      </c>
      <c r="H12" s="161">
        <f>IF(ISNUMBER('Staff Hours'!H12)=FALSE,0,(HLOOKUP(Budgets!$C12,'Store Details'!$F$25:$AU$26,2)/'Staff Hours'!$AN12*'Staff Hours'!H12))</f>
        <v>0</v>
      </c>
      <c r="I12" s="161">
        <f>IF(ISNUMBER('Staff Hours'!I12)=FALSE,0,(HLOOKUP(Budgets!$C12,'Store Details'!$F$25:$AU$26,2)/'Staff Hours'!$AN12*'Staff Hours'!I12))</f>
        <v>0</v>
      </c>
      <c r="J12" s="161">
        <f>IF(ISNUMBER('Staff Hours'!J12)=FALSE,0,(HLOOKUP(Budgets!$C12,'Store Details'!$F$25:$AU$26,2)/'Staff Hours'!$AN12*'Staff Hours'!J12))</f>
        <v>0</v>
      </c>
      <c r="K12" s="161">
        <f>IF(ISNUMBER('Staff Hours'!K12)=FALSE,0,(HLOOKUP(Budgets!$C12,'Store Details'!$F$25:$AU$26,2)/'Staff Hours'!$AN12*'Staff Hours'!K12))</f>
        <v>0</v>
      </c>
      <c r="L12" s="161">
        <f>IF(ISNUMBER('Staff Hours'!L12)=FALSE,0,(HLOOKUP(Budgets!$C12,'Store Details'!$F$25:$AU$26,2)/'Staff Hours'!$AN12*'Staff Hours'!L12))</f>
        <v>0</v>
      </c>
      <c r="M12" s="161">
        <f>IF(ISNUMBER('Staff Hours'!M12)=FALSE,0,(HLOOKUP(Budgets!$C12,'Store Details'!$F$25:$AU$26,2)/'Staff Hours'!$AN12*'Staff Hours'!M12))</f>
        <v>0</v>
      </c>
      <c r="N12" s="161">
        <f>IF(ISNUMBER('Staff Hours'!N12)=FALSE,0,(HLOOKUP(Budgets!$C12,'Store Details'!$F$25:$AU$26,2)/'Staff Hours'!$AN12*'Staff Hours'!N12))</f>
        <v>0</v>
      </c>
      <c r="O12" s="161">
        <f>IF(ISNUMBER('Staff Hours'!O12)=FALSE,0,(HLOOKUP(Budgets!$C12,'Store Details'!$F$25:$AU$26,2)/'Staff Hours'!$AN12*'Staff Hours'!O12))</f>
        <v>0</v>
      </c>
      <c r="P12" s="161">
        <f>IF(ISNUMBER('Staff Hours'!P12)=FALSE,0,(HLOOKUP(Budgets!$C12,'Store Details'!$F$25:$AU$26,2)/'Staff Hours'!$AN12*'Staff Hours'!P12))</f>
        <v>0</v>
      </c>
      <c r="Q12" s="161">
        <f>IF(ISNUMBER('Staff Hours'!Q12)=FALSE,0,(HLOOKUP(Budgets!$C12,'Store Details'!$F$25:$AU$26,2)/'Staff Hours'!$AN12*'Staff Hours'!Q12))</f>
        <v>0</v>
      </c>
      <c r="R12" s="161">
        <f>IF(ISNUMBER('Staff Hours'!R12)=FALSE,0,(HLOOKUP(Budgets!$C12,'Store Details'!$F$25:$AU$26,2)/'Staff Hours'!$AN12*'Staff Hours'!R12))</f>
        <v>0</v>
      </c>
      <c r="S12" s="161">
        <f>IF(ISNUMBER('Staff Hours'!S12)=FALSE,0,(HLOOKUP(Budgets!$C12,'Store Details'!$F$25:$AU$26,2)/'Staff Hours'!$AN12*'Staff Hours'!S12))</f>
        <v>0</v>
      </c>
      <c r="T12" s="161">
        <f>IF(ISNUMBER('Staff Hours'!T12)=FALSE,0,(HLOOKUP(Budgets!$C12,'Store Details'!$F$25:$AU$26,2)/'Staff Hours'!$AN12*'Staff Hours'!T12))</f>
        <v>0</v>
      </c>
      <c r="U12" s="161">
        <f>IF(ISNUMBER('Staff Hours'!U12)=FALSE,0,(HLOOKUP(Budgets!$C12,'Store Details'!$F$25:$AU$26,2)/'Staff Hours'!$AN12*'Staff Hours'!U12))</f>
        <v>0</v>
      </c>
      <c r="V12" s="161">
        <f>IF(ISNUMBER('Staff Hours'!V12)=FALSE,0,(HLOOKUP(Budgets!$C12,'Store Details'!$F$25:$AU$26,2)/'Staff Hours'!$AN12*'Staff Hours'!V12))</f>
        <v>0</v>
      </c>
      <c r="W12" s="161">
        <f>IF(ISNUMBER('Staff Hours'!W12)=FALSE,0,(HLOOKUP(Budgets!$C12,'Store Details'!$F$25:$AU$26,2)/'Staff Hours'!$AN12*'Staff Hours'!W12))</f>
        <v>0</v>
      </c>
      <c r="X12" s="161">
        <f>IF(ISNUMBER('Staff Hours'!X12)=FALSE,0,(HLOOKUP(Budgets!$C12,'Store Details'!$F$25:$AU$26,2)/'Staff Hours'!$AN12*'Staff Hours'!X12))</f>
        <v>0</v>
      </c>
      <c r="Y12" s="10"/>
      <c r="Z12" s="10"/>
      <c r="AA12" s="10"/>
      <c r="AB12" s="10"/>
      <c r="AC12" s="10"/>
      <c r="AD12" s="10"/>
      <c r="AE12" s="10"/>
      <c r="AF12" s="10"/>
      <c r="AG12" s="161" t="s">
        <v>163</v>
      </c>
      <c r="AI12" s="162">
        <f t="shared" si="1"/>
        <v>0</v>
      </c>
      <c r="AJ12" s="162">
        <f t="shared" si="1"/>
        <v>0</v>
      </c>
      <c r="AK12" s="162">
        <f t="shared" si="1"/>
        <v>0</v>
      </c>
      <c r="AL12" s="162">
        <f t="shared" si="1"/>
        <v>0</v>
      </c>
      <c r="AM12" s="162">
        <f t="shared" si="1"/>
        <v>0</v>
      </c>
    </row>
    <row r="13" spans="2:39" s="25" customFormat="1" ht="14.25" customHeight="1">
      <c r="B13" s="154" t="s">
        <v>26</v>
      </c>
      <c r="C13" s="155">
        <f>'Daily &amp; Weekly Totals'!E15</f>
        <v>43927</v>
      </c>
      <c r="D13" s="160"/>
      <c r="E13" s="161">
        <f>IF(ISNUMBER('Staff Hours'!E13)=FALSE,0,(HLOOKUP(Budgets!$C13,'Store Details'!$F$25:$AU$26,2)/'Staff Hours'!$AN13*'Staff Hours'!E13))</f>
        <v>0</v>
      </c>
      <c r="F13" s="161">
        <f>IF(ISNUMBER('Staff Hours'!F13)=FALSE,0,(HLOOKUP(Budgets!$C13,'Store Details'!$F$25:$AU$26,2)/'Staff Hours'!$AN13*'Staff Hours'!F13))</f>
        <v>0</v>
      </c>
      <c r="G13" s="161">
        <f>IF(ISNUMBER('Staff Hours'!G13)=FALSE,0,(HLOOKUP(Budgets!$C13,'Store Details'!$F$25:$AU$26,2)/'Staff Hours'!$AN13*'Staff Hours'!G13))</f>
        <v>0</v>
      </c>
      <c r="H13" s="161">
        <f>IF(ISNUMBER('Staff Hours'!H13)=FALSE,0,(HLOOKUP(Budgets!$C13,'Store Details'!$F$25:$AU$26,2)/'Staff Hours'!$AN13*'Staff Hours'!H13))</f>
        <v>0</v>
      </c>
      <c r="I13" s="161">
        <f>IF(ISNUMBER('Staff Hours'!I13)=FALSE,0,(HLOOKUP(Budgets!$C13,'Store Details'!$F$25:$AU$26,2)/'Staff Hours'!$AN13*'Staff Hours'!I13))</f>
        <v>0</v>
      </c>
      <c r="J13" s="161">
        <f>IF(ISNUMBER('Staff Hours'!J13)=FALSE,0,(HLOOKUP(Budgets!$C13,'Store Details'!$F$25:$AU$26,2)/'Staff Hours'!$AN13*'Staff Hours'!J13))</f>
        <v>0</v>
      </c>
      <c r="K13" s="161">
        <f>IF(ISNUMBER('Staff Hours'!K13)=FALSE,0,(HLOOKUP(Budgets!$C13,'Store Details'!$F$25:$AU$26,2)/'Staff Hours'!$AN13*'Staff Hours'!K13))</f>
        <v>0</v>
      </c>
      <c r="L13" s="161">
        <f>IF(ISNUMBER('Staff Hours'!L13)=FALSE,0,(HLOOKUP(Budgets!$C13,'Store Details'!$F$25:$AU$26,2)/'Staff Hours'!$AN13*'Staff Hours'!L13))</f>
        <v>0</v>
      </c>
      <c r="M13" s="161">
        <f>IF(ISNUMBER('Staff Hours'!M13)=FALSE,0,(HLOOKUP(Budgets!$C13,'Store Details'!$F$25:$AU$26,2)/'Staff Hours'!$AN13*'Staff Hours'!M13))</f>
        <v>0</v>
      </c>
      <c r="N13" s="161">
        <f>IF(ISNUMBER('Staff Hours'!N13)=FALSE,0,(HLOOKUP(Budgets!$C13,'Store Details'!$F$25:$AU$26,2)/'Staff Hours'!$AN13*'Staff Hours'!N13))</f>
        <v>0</v>
      </c>
      <c r="O13" s="161">
        <f>IF(ISNUMBER('Staff Hours'!O13)=FALSE,0,(HLOOKUP(Budgets!$C13,'Store Details'!$F$25:$AU$26,2)/'Staff Hours'!$AN13*'Staff Hours'!O13))</f>
        <v>0</v>
      </c>
      <c r="P13" s="161">
        <f>IF(ISNUMBER('Staff Hours'!P13)=FALSE,0,(HLOOKUP(Budgets!$C13,'Store Details'!$F$25:$AU$26,2)/'Staff Hours'!$AN13*'Staff Hours'!P13))</f>
        <v>0</v>
      </c>
      <c r="Q13" s="161">
        <f>IF(ISNUMBER('Staff Hours'!Q13)=FALSE,0,(HLOOKUP(Budgets!$C13,'Store Details'!$F$25:$AU$26,2)/'Staff Hours'!$AN13*'Staff Hours'!Q13))</f>
        <v>0</v>
      </c>
      <c r="R13" s="161">
        <f>IF(ISNUMBER('Staff Hours'!R13)=FALSE,0,(HLOOKUP(Budgets!$C13,'Store Details'!$F$25:$AU$26,2)/'Staff Hours'!$AN13*'Staff Hours'!R13))</f>
        <v>0</v>
      </c>
      <c r="S13" s="161">
        <f>IF(ISNUMBER('Staff Hours'!S13)=FALSE,0,(HLOOKUP(Budgets!$C13,'Store Details'!$F$25:$AU$26,2)/'Staff Hours'!$AN13*'Staff Hours'!S13))</f>
        <v>0</v>
      </c>
      <c r="T13" s="161">
        <f>IF(ISNUMBER('Staff Hours'!T13)=FALSE,0,(HLOOKUP(Budgets!$C13,'Store Details'!$F$25:$AU$26,2)/'Staff Hours'!$AN13*'Staff Hours'!T13))</f>
        <v>0</v>
      </c>
      <c r="U13" s="161">
        <f>IF(ISNUMBER('Staff Hours'!U13)=FALSE,0,(HLOOKUP(Budgets!$C13,'Store Details'!$F$25:$AU$26,2)/'Staff Hours'!$AN13*'Staff Hours'!U13))</f>
        <v>0</v>
      </c>
      <c r="V13" s="161">
        <f>IF(ISNUMBER('Staff Hours'!V13)=FALSE,0,(HLOOKUP(Budgets!$C13,'Store Details'!$F$25:$AU$26,2)/'Staff Hours'!$AN13*'Staff Hours'!V13))</f>
        <v>0</v>
      </c>
      <c r="W13" s="161">
        <f>IF(ISNUMBER('Staff Hours'!W13)=FALSE,0,(HLOOKUP(Budgets!$C13,'Store Details'!$F$25:$AU$26,2)/'Staff Hours'!$AN13*'Staff Hours'!W13))</f>
        <v>0</v>
      </c>
      <c r="X13" s="161">
        <f>IF(ISNUMBER('Staff Hours'!X13)=FALSE,0,(HLOOKUP(Budgets!$C13,'Store Details'!$F$25:$AU$26,2)/'Staff Hours'!$AN13*'Staff Hours'!X13))</f>
        <v>0</v>
      </c>
      <c r="Y13" s="10"/>
      <c r="Z13" s="10"/>
      <c r="AA13" s="10"/>
      <c r="AB13" s="10"/>
      <c r="AC13" s="10"/>
      <c r="AD13" s="10"/>
      <c r="AE13" s="10"/>
      <c r="AF13" s="10"/>
      <c r="AG13" s="161" t="s">
        <v>163</v>
      </c>
      <c r="AI13" s="162">
        <f t="shared" si="1"/>
        <v>0</v>
      </c>
      <c r="AJ13" s="162">
        <f t="shared" si="1"/>
        <v>0</v>
      </c>
      <c r="AK13" s="162">
        <f t="shared" si="1"/>
        <v>0</v>
      </c>
      <c r="AL13" s="162">
        <f t="shared" si="1"/>
        <v>0</v>
      </c>
      <c r="AM13" s="162">
        <f t="shared" si="1"/>
        <v>0</v>
      </c>
    </row>
    <row r="14" spans="2:39" s="25" customFormat="1" ht="14.25" customHeight="1">
      <c r="B14" s="154" t="s">
        <v>27</v>
      </c>
      <c r="C14" s="155">
        <f>'Daily &amp; Weekly Totals'!E16</f>
        <v>43928</v>
      </c>
      <c r="D14" s="160"/>
      <c r="E14" s="161">
        <f>IF(ISNUMBER('Staff Hours'!E14)=FALSE,0,(HLOOKUP(Budgets!$C14,'Store Details'!$F$25:$AU$26,2)/'Staff Hours'!$AN14*'Staff Hours'!E14))</f>
        <v>0</v>
      </c>
      <c r="F14" s="161">
        <f>IF(ISNUMBER('Staff Hours'!F14)=FALSE,0,(HLOOKUP(Budgets!$C14,'Store Details'!$F$25:$AU$26,2)/'Staff Hours'!$AN14*'Staff Hours'!F14))</f>
        <v>0</v>
      </c>
      <c r="G14" s="161">
        <f>IF(ISNUMBER('Staff Hours'!G14)=FALSE,0,(HLOOKUP(Budgets!$C14,'Store Details'!$F$25:$AU$26,2)/'Staff Hours'!$AN14*'Staff Hours'!G14))</f>
        <v>0</v>
      </c>
      <c r="H14" s="161">
        <f>IF(ISNUMBER('Staff Hours'!H14)=FALSE,0,(HLOOKUP(Budgets!$C14,'Store Details'!$F$25:$AU$26,2)/'Staff Hours'!$AN14*'Staff Hours'!H14))</f>
        <v>0</v>
      </c>
      <c r="I14" s="161">
        <f>IF(ISNUMBER('Staff Hours'!I14)=FALSE,0,(HLOOKUP(Budgets!$C14,'Store Details'!$F$25:$AU$26,2)/'Staff Hours'!$AN14*'Staff Hours'!I14))</f>
        <v>0</v>
      </c>
      <c r="J14" s="161">
        <f>IF(ISNUMBER('Staff Hours'!J14)=FALSE,0,(HLOOKUP(Budgets!$C14,'Store Details'!$F$25:$AU$26,2)/'Staff Hours'!$AN14*'Staff Hours'!J14))</f>
        <v>0</v>
      </c>
      <c r="K14" s="161">
        <f>IF(ISNUMBER('Staff Hours'!K14)=FALSE,0,(HLOOKUP(Budgets!$C14,'Store Details'!$F$25:$AU$26,2)/'Staff Hours'!$AN14*'Staff Hours'!K14))</f>
        <v>0</v>
      </c>
      <c r="L14" s="161">
        <f>IF(ISNUMBER('Staff Hours'!L14)=FALSE,0,(HLOOKUP(Budgets!$C14,'Store Details'!$F$25:$AU$26,2)/'Staff Hours'!$AN14*'Staff Hours'!L14))</f>
        <v>0</v>
      </c>
      <c r="M14" s="161">
        <f>IF(ISNUMBER('Staff Hours'!M14)=FALSE,0,(HLOOKUP(Budgets!$C14,'Store Details'!$F$25:$AU$26,2)/'Staff Hours'!$AN14*'Staff Hours'!M14))</f>
        <v>0</v>
      </c>
      <c r="N14" s="161">
        <f>IF(ISNUMBER('Staff Hours'!N14)=FALSE,0,(HLOOKUP(Budgets!$C14,'Store Details'!$F$25:$AU$26,2)/'Staff Hours'!$AN14*'Staff Hours'!N14))</f>
        <v>0</v>
      </c>
      <c r="O14" s="161">
        <f>IF(ISNUMBER('Staff Hours'!O14)=FALSE,0,(HLOOKUP(Budgets!$C14,'Store Details'!$F$25:$AU$26,2)/'Staff Hours'!$AN14*'Staff Hours'!O14))</f>
        <v>0</v>
      </c>
      <c r="P14" s="161">
        <f>IF(ISNUMBER('Staff Hours'!P14)=FALSE,0,(HLOOKUP(Budgets!$C14,'Store Details'!$F$25:$AU$26,2)/'Staff Hours'!$AN14*'Staff Hours'!P14))</f>
        <v>0</v>
      </c>
      <c r="Q14" s="161">
        <f>IF(ISNUMBER('Staff Hours'!Q14)=FALSE,0,(HLOOKUP(Budgets!$C14,'Store Details'!$F$25:$AU$26,2)/'Staff Hours'!$AN14*'Staff Hours'!Q14))</f>
        <v>0</v>
      </c>
      <c r="R14" s="161">
        <f>IF(ISNUMBER('Staff Hours'!R14)=FALSE,0,(HLOOKUP(Budgets!$C14,'Store Details'!$F$25:$AU$26,2)/'Staff Hours'!$AN14*'Staff Hours'!R14))</f>
        <v>0</v>
      </c>
      <c r="S14" s="161">
        <f>IF(ISNUMBER('Staff Hours'!S14)=FALSE,0,(HLOOKUP(Budgets!$C14,'Store Details'!$F$25:$AU$26,2)/'Staff Hours'!$AN14*'Staff Hours'!S14))</f>
        <v>0</v>
      </c>
      <c r="T14" s="161">
        <f>IF(ISNUMBER('Staff Hours'!T14)=FALSE,0,(HLOOKUP(Budgets!$C14,'Store Details'!$F$25:$AU$26,2)/'Staff Hours'!$AN14*'Staff Hours'!T14))</f>
        <v>0</v>
      </c>
      <c r="U14" s="161">
        <f>IF(ISNUMBER('Staff Hours'!U14)=FALSE,0,(HLOOKUP(Budgets!$C14,'Store Details'!$F$25:$AU$26,2)/'Staff Hours'!$AN14*'Staff Hours'!U14))</f>
        <v>0</v>
      </c>
      <c r="V14" s="161">
        <f>IF(ISNUMBER('Staff Hours'!V14)=FALSE,0,(HLOOKUP(Budgets!$C14,'Store Details'!$F$25:$AU$26,2)/'Staff Hours'!$AN14*'Staff Hours'!V14))</f>
        <v>0</v>
      </c>
      <c r="W14" s="161">
        <f>IF(ISNUMBER('Staff Hours'!W14)=FALSE,0,(HLOOKUP(Budgets!$C14,'Store Details'!$F$25:$AU$26,2)/'Staff Hours'!$AN14*'Staff Hours'!W14))</f>
        <v>0</v>
      </c>
      <c r="X14" s="161">
        <f>IF(ISNUMBER('Staff Hours'!X14)=FALSE,0,(HLOOKUP(Budgets!$C14,'Store Details'!$F$25:$AU$26,2)/'Staff Hours'!$AN14*'Staff Hours'!X14))</f>
        <v>0</v>
      </c>
      <c r="Y14" s="10"/>
      <c r="Z14" s="10"/>
      <c r="AA14" s="10"/>
      <c r="AB14" s="10"/>
      <c r="AC14" s="10"/>
      <c r="AD14" s="10"/>
      <c r="AE14" s="10"/>
      <c r="AF14" s="10"/>
      <c r="AG14" s="161" t="s">
        <v>163</v>
      </c>
      <c r="AI14" s="162">
        <f t="shared" si="1"/>
        <v>0</v>
      </c>
      <c r="AJ14" s="162">
        <f t="shared" si="1"/>
        <v>0</v>
      </c>
      <c r="AK14" s="162">
        <f t="shared" si="1"/>
        <v>0</v>
      </c>
      <c r="AL14" s="162">
        <f t="shared" si="1"/>
        <v>0</v>
      </c>
      <c r="AM14" s="162">
        <f t="shared" si="1"/>
        <v>0</v>
      </c>
    </row>
    <row r="15" spans="2:39" s="25" customFormat="1" ht="14.25" customHeight="1">
      <c r="B15" s="154" t="s">
        <v>28</v>
      </c>
      <c r="C15" s="155">
        <f>'Daily &amp; Weekly Totals'!E17</f>
        <v>43929</v>
      </c>
      <c r="D15" s="160"/>
      <c r="E15" s="161">
        <f>IF(ISNUMBER('Staff Hours'!E15)=FALSE,0,(HLOOKUP(Budgets!$C15,'Store Details'!$F$25:$AU$26,2)/'Staff Hours'!$AN15*'Staff Hours'!E15))</f>
        <v>0</v>
      </c>
      <c r="F15" s="161">
        <f>IF(ISNUMBER('Staff Hours'!F15)=FALSE,0,(HLOOKUP(Budgets!$C15,'Store Details'!$F$25:$AU$26,2)/'Staff Hours'!$AN15*'Staff Hours'!F15))</f>
        <v>0</v>
      </c>
      <c r="G15" s="161">
        <f>IF(ISNUMBER('Staff Hours'!G15)=FALSE,0,(HLOOKUP(Budgets!$C15,'Store Details'!$F$25:$AU$26,2)/'Staff Hours'!$AN15*'Staff Hours'!G15))</f>
        <v>0</v>
      </c>
      <c r="H15" s="161">
        <f>IF(ISNUMBER('Staff Hours'!H15)=FALSE,0,(HLOOKUP(Budgets!$C15,'Store Details'!$F$25:$AU$26,2)/'Staff Hours'!$AN15*'Staff Hours'!H15))</f>
        <v>0</v>
      </c>
      <c r="I15" s="161">
        <f>IF(ISNUMBER('Staff Hours'!I15)=FALSE,0,(HLOOKUP(Budgets!$C15,'Store Details'!$F$25:$AU$26,2)/'Staff Hours'!$AN15*'Staff Hours'!I15))</f>
        <v>0</v>
      </c>
      <c r="J15" s="161">
        <f>IF(ISNUMBER('Staff Hours'!J15)=FALSE,0,(HLOOKUP(Budgets!$C15,'Store Details'!$F$25:$AU$26,2)/'Staff Hours'!$AN15*'Staff Hours'!J15))</f>
        <v>0</v>
      </c>
      <c r="K15" s="161">
        <f>IF(ISNUMBER('Staff Hours'!K15)=FALSE,0,(HLOOKUP(Budgets!$C15,'Store Details'!$F$25:$AU$26,2)/'Staff Hours'!$AN15*'Staff Hours'!K15))</f>
        <v>0</v>
      </c>
      <c r="L15" s="161">
        <f>IF(ISNUMBER('Staff Hours'!L15)=FALSE,0,(HLOOKUP(Budgets!$C15,'Store Details'!$F$25:$AU$26,2)/'Staff Hours'!$AN15*'Staff Hours'!L15))</f>
        <v>0</v>
      </c>
      <c r="M15" s="161">
        <f>IF(ISNUMBER('Staff Hours'!M15)=FALSE,0,(HLOOKUP(Budgets!$C15,'Store Details'!$F$25:$AU$26,2)/'Staff Hours'!$AN15*'Staff Hours'!M15))</f>
        <v>0</v>
      </c>
      <c r="N15" s="161">
        <f>IF(ISNUMBER('Staff Hours'!N15)=FALSE,0,(HLOOKUP(Budgets!$C15,'Store Details'!$F$25:$AU$26,2)/'Staff Hours'!$AN15*'Staff Hours'!N15))</f>
        <v>0</v>
      </c>
      <c r="O15" s="161">
        <f>IF(ISNUMBER('Staff Hours'!O15)=FALSE,0,(HLOOKUP(Budgets!$C15,'Store Details'!$F$25:$AU$26,2)/'Staff Hours'!$AN15*'Staff Hours'!O15))</f>
        <v>0</v>
      </c>
      <c r="P15" s="161">
        <f>IF(ISNUMBER('Staff Hours'!P15)=FALSE,0,(HLOOKUP(Budgets!$C15,'Store Details'!$F$25:$AU$26,2)/'Staff Hours'!$AN15*'Staff Hours'!P15))</f>
        <v>0</v>
      </c>
      <c r="Q15" s="161">
        <f>IF(ISNUMBER('Staff Hours'!Q15)=FALSE,0,(HLOOKUP(Budgets!$C15,'Store Details'!$F$25:$AU$26,2)/'Staff Hours'!$AN15*'Staff Hours'!Q15))</f>
        <v>0</v>
      </c>
      <c r="R15" s="161">
        <f>IF(ISNUMBER('Staff Hours'!R15)=FALSE,0,(HLOOKUP(Budgets!$C15,'Store Details'!$F$25:$AU$26,2)/'Staff Hours'!$AN15*'Staff Hours'!R15))</f>
        <v>0</v>
      </c>
      <c r="S15" s="161">
        <f>IF(ISNUMBER('Staff Hours'!S15)=FALSE,0,(HLOOKUP(Budgets!$C15,'Store Details'!$F$25:$AU$26,2)/'Staff Hours'!$AN15*'Staff Hours'!S15))</f>
        <v>0</v>
      </c>
      <c r="T15" s="161">
        <f>IF(ISNUMBER('Staff Hours'!T15)=FALSE,0,(HLOOKUP(Budgets!$C15,'Store Details'!$F$25:$AU$26,2)/'Staff Hours'!$AN15*'Staff Hours'!T15))</f>
        <v>0</v>
      </c>
      <c r="U15" s="161">
        <f>IF(ISNUMBER('Staff Hours'!U15)=FALSE,0,(HLOOKUP(Budgets!$C15,'Store Details'!$F$25:$AU$26,2)/'Staff Hours'!$AN15*'Staff Hours'!U15))</f>
        <v>0</v>
      </c>
      <c r="V15" s="161">
        <f>IF(ISNUMBER('Staff Hours'!V15)=FALSE,0,(HLOOKUP(Budgets!$C15,'Store Details'!$F$25:$AU$26,2)/'Staff Hours'!$AN15*'Staff Hours'!V15))</f>
        <v>0</v>
      </c>
      <c r="W15" s="161">
        <f>IF(ISNUMBER('Staff Hours'!W15)=FALSE,0,(HLOOKUP(Budgets!$C15,'Store Details'!$F$25:$AU$26,2)/'Staff Hours'!$AN15*'Staff Hours'!W15))</f>
        <v>0</v>
      </c>
      <c r="X15" s="161">
        <f>IF(ISNUMBER('Staff Hours'!X15)=FALSE,0,(HLOOKUP(Budgets!$C15,'Store Details'!$F$25:$AU$26,2)/'Staff Hours'!$AN15*'Staff Hours'!X15))</f>
        <v>0</v>
      </c>
      <c r="Y15" s="10"/>
      <c r="Z15" s="10"/>
      <c r="AA15" s="10"/>
      <c r="AB15" s="10"/>
      <c r="AC15" s="10"/>
      <c r="AD15" s="10"/>
      <c r="AE15" s="10"/>
      <c r="AF15" s="10"/>
      <c r="AG15" s="161" t="s">
        <v>163</v>
      </c>
      <c r="AI15" s="162">
        <f t="shared" si="1"/>
        <v>0</v>
      </c>
      <c r="AJ15" s="162">
        <f t="shared" si="1"/>
        <v>0</v>
      </c>
      <c r="AK15" s="162">
        <f t="shared" si="1"/>
        <v>0</v>
      </c>
      <c r="AL15" s="162">
        <f t="shared" si="1"/>
        <v>0</v>
      </c>
      <c r="AM15" s="162">
        <f t="shared" si="1"/>
        <v>0</v>
      </c>
    </row>
    <row r="16" spans="2:39" s="25" customFormat="1" ht="14.25" customHeight="1">
      <c r="B16" s="154" t="s">
        <v>29</v>
      </c>
      <c r="C16" s="155">
        <f>'Daily &amp; Weekly Totals'!E18</f>
        <v>43930</v>
      </c>
      <c r="D16" s="160"/>
      <c r="E16" s="161">
        <f>IF(ISNUMBER('Staff Hours'!E16)=FALSE,0,(HLOOKUP(Budgets!$C16,'Store Details'!$F$25:$AU$26,2)/'Staff Hours'!$AN16*'Staff Hours'!E16))</f>
        <v>0</v>
      </c>
      <c r="F16" s="161">
        <f>IF(ISNUMBER('Staff Hours'!F16)=FALSE,0,(HLOOKUP(Budgets!$C16,'Store Details'!$F$25:$AU$26,2)/'Staff Hours'!$AN16*'Staff Hours'!F16))</f>
        <v>0</v>
      </c>
      <c r="G16" s="161">
        <f>IF(ISNUMBER('Staff Hours'!G16)=FALSE,0,(HLOOKUP(Budgets!$C16,'Store Details'!$F$25:$AU$26,2)/'Staff Hours'!$AN16*'Staff Hours'!G16))</f>
        <v>0</v>
      </c>
      <c r="H16" s="161">
        <f>IF(ISNUMBER('Staff Hours'!H16)=FALSE,0,(HLOOKUP(Budgets!$C16,'Store Details'!$F$25:$AU$26,2)/'Staff Hours'!$AN16*'Staff Hours'!H16))</f>
        <v>0</v>
      </c>
      <c r="I16" s="161">
        <f>IF(ISNUMBER('Staff Hours'!I16)=FALSE,0,(HLOOKUP(Budgets!$C16,'Store Details'!$F$25:$AU$26,2)/'Staff Hours'!$AN16*'Staff Hours'!I16))</f>
        <v>0</v>
      </c>
      <c r="J16" s="161">
        <f>IF(ISNUMBER('Staff Hours'!J16)=FALSE,0,(HLOOKUP(Budgets!$C16,'Store Details'!$F$25:$AU$26,2)/'Staff Hours'!$AN16*'Staff Hours'!J16))</f>
        <v>0</v>
      </c>
      <c r="K16" s="161">
        <f>IF(ISNUMBER('Staff Hours'!K16)=FALSE,0,(HLOOKUP(Budgets!$C16,'Store Details'!$F$25:$AU$26,2)/'Staff Hours'!$AN16*'Staff Hours'!K16))</f>
        <v>0</v>
      </c>
      <c r="L16" s="161">
        <f>IF(ISNUMBER('Staff Hours'!L16)=FALSE,0,(HLOOKUP(Budgets!$C16,'Store Details'!$F$25:$AU$26,2)/'Staff Hours'!$AN16*'Staff Hours'!L16))</f>
        <v>0</v>
      </c>
      <c r="M16" s="161">
        <f>IF(ISNUMBER('Staff Hours'!M16)=FALSE,0,(HLOOKUP(Budgets!$C16,'Store Details'!$F$25:$AU$26,2)/'Staff Hours'!$AN16*'Staff Hours'!M16))</f>
        <v>0</v>
      </c>
      <c r="N16" s="161">
        <f>IF(ISNUMBER('Staff Hours'!N16)=FALSE,0,(HLOOKUP(Budgets!$C16,'Store Details'!$F$25:$AU$26,2)/'Staff Hours'!$AN16*'Staff Hours'!N16))</f>
        <v>0</v>
      </c>
      <c r="O16" s="161">
        <f>IF(ISNUMBER('Staff Hours'!O16)=FALSE,0,(HLOOKUP(Budgets!$C16,'Store Details'!$F$25:$AU$26,2)/'Staff Hours'!$AN16*'Staff Hours'!O16))</f>
        <v>0</v>
      </c>
      <c r="P16" s="161">
        <f>IF(ISNUMBER('Staff Hours'!P16)=FALSE,0,(HLOOKUP(Budgets!$C16,'Store Details'!$F$25:$AU$26,2)/'Staff Hours'!$AN16*'Staff Hours'!P16))</f>
        <v>0</v>
      </c>
      <c r="Q16" s="161">
        <f>IF(ISNUMBER('Staff Hours'!Q16)=FALSE,0,(HLOOKUP(Budgets!$C16,'Store Details'!$F$25:$AU$26,2)/'Staff Hours'!$AN16*'Staff Hours'!Q16))</f>
        <v>0</v>
      </c>
      <c r="R16" s="161">
        <f>IF(ISNUMBER('Staff Hours'!R16)=FALSE,0,(HLOOKUP(Budgets!$C16,'Store Details'!$F$25:$AU$26,2)/'Staff Hours'!$AN16*'Staff Hours'!R16))</f>
        <v>0</v>
      </c>
      <c r="S16" s="161">
        <f>IF(ISNUMBER('Staff Hours'!S16)=FALSE,0,(HLOOKUP(Budgets!$C16,'Store Details'!$F$25:$AU$26,2)/'Staff Hours'!$AN16*'Staff Hours'!S16))</f>
        <v>0</v>
      </c>
      <c r="T16" s="161">
        <f>IF(ISNUMBER('Staff Hours'!T16)=FALSE,0,(HLOOKUP(Budgets!$C16,'Store Details'!$F$25:$AU$26,2)/'Staff Hours'!$AN16*'Staff Hours'!T16))</f>
        <v>0</v>
      </c>
      <c r="U16" s="161">
        <f>IF(ISNUMBER('Staff Hours'!U16)=FALSE,0,(HLOOKUP(Budgets!$C16,'Store Details'!$F$25:$AU$26,2)/'Staff Hours'!$AN16*'Staff Hours'!U16))</f>
        <v>0</v>
      </c>
      <c r="V16" s="161">
        <f>IF(ISNUMBER('Staff Hours'!V16)=FALSE,0,(HLOOKUP(Budgets!$C16,'Store Details'!$F$25:$AU$26,2)/'Staff Hours'!$AN16*'Staff Hours'!V16))</f>
        <v>0</v>
      </c>
      <c r="W16" s="161">
        <f>IF(ISNUMBER('Staff Hours'!W16)=FALSE,0,(HLOOKUP(Budgets!$C16,'Store Details'!$F$25:$AU$26,2)/'Staff Hours'!$AN16*'Staff Hours'!W16))</f>
        <v>0</v>
      </c>
      <c r="X16" s="161">
        <f>IF(ISNUMBER('Staff Hours'!X16)=FALSE,0,(HLOOKUP(Budgets!$C16,'Store Details'!$F$25:$AU$26,2)/'Staff Hours'!$AN16*'Staff Hours'!X16))</f>
        <v>0</v>
      </c>
      <c r="Y16" s="10"/>
      <c r="Z16" s="10"/>
      <c r="AA16" s="10"/>
      <c r="AB16" s="10"/>
      <c r="AC16" s="10"/>
      <c r="AD16" s="10"/>
      <c r="AE16" s="10"/>
      <c r="AF16" s="10"/>
      <c r="AG16" s="161" t="s">
        <v>163</v>
      </c>
      <c r="AI16" s="162">
        <f t="shared" si="1"/>
        <v>0</v>
      </c>
      <c r="AJ16" s="162">
        <f t="shared" si="1"/>
        <v>0</v>
      </c>
      <c r="AK16" s="162">
        <f t="shared" si="1"/>
        <v>0</v>
      </c>
      <c r="AL16" s="162">
        <f t="shared" si="1"/>
        <v>0</v>
      </c>
      <c r="AM16" s="162">
        <f t="shared" si="1"/>
        <v>0</v>
      </c>
    </row>
    <row r="17" spans="2:39" s="25" customFormat="1" ht="14.25" customHeight="1">
      <c r="B17" s="154" t="s">
        <v>30</v>
      </c>
      <c r="C17" s="155">
        <f>'Daily &amp; Weekly Totals'!E19</f>
        <v>43931</v>
      </c>
      <c r="D17" s="160"/>
      <c r="E17" s="161">
        <f>IF(ISNUMBER('Staff Hours'!E17)=FALSE,0,(HLOOKUP(Budgets!$C17,'Store Details'!$F$25:$AU$26,2)/'Staff Hours'!$AN17*'Staff Hours'!E17))</f>
        <v>0</v>
      </c>
      <c r="F17" s="161">
        <f>IF(ISNUMBER('Staff Hours'!F17)=FALSE,0,(HLOOKUP(Budgets!$C17,'Store Details'!$F$25:$AU$26,2)/'Staff Hours'!$AN17*'Staff Hours'!F17))</f>
        <v>0</v>
      </c>
      <c r="G17" s="161">
        <f>IF(ISNUMBER('Staff Hours'!G17)=FALSE,0,(HLOOKUP(Budgets!$C17,'Store Details'!$F$25:$AU$26,2)/'Staff Hours'!$AN17*'Staff Hours'!G17))</f>
        <v>0</v>
      </c>
      <c r="H17" s="161">
        <f>IF(ISNUMBER('Staff Hours'!H17)=FALSE,0,(HLOOKUP(Budgets!$C17,'Store Details'!$F$25:$AU$26,2)/'Staff Hours'!$AN17*'Staff Hours'!H17))</f>
        <v>0</v>
      </c>
      <c r="I17" s="161">
        <f>IF(ISNUMBER('Staff Hours'!I17)=FALSE,0,(HLOOKUP(Budgets!$C17,'Store Details'!$F$25:$AU$26,2)/'Staff Hours'!$AN17*'Staff Hours'!I17))</f>
        <v>0</v>
      </c>
      <c r="J17" s="161">
        <f>IF(ISNUMBER('Staff Hours'!J17)=FALSE,0,(HLOOKUP(Budgets!$C17,'Store Details'!$F$25:$AU$26,2)/'Staff Hours'!$AN17*'Staff Hours'!J17))</f>
        <v>0</v>
      </c>
      <c r="K17" s="161">
        <f>IF(ISNUMBER('Staff Hours'!K17)=FALSE,0,(HLOOKUP(Budgets!$C17,'Store Details'!$F$25:$AU$26,2)/'Staff Hours'!$AN17*'Staff Hours'!K17))</f>
        <v>0</v>
      </c>
      <c r="L17" s="161">
        <f>IF(ISNUMBER('Staff Hours'!L17)=FALSE,0,(HLOOKUP(Budgets!$C17,'Store Details'!$F$25:$AU$26,2)/'Staff Hours'!$AN17*'Staff Hours'!L17))</f>
        <v>0</v>
      </c>
      <c r="M17" s="161">
        <f>IF(ISNUMBER('Staff Hours'!M17)=FALSE,0,(HLOOKUP(Budgets!$C17,'Store Details'!$F$25:$AU$26,2)/'Staff Hours'!$AN17*'Staff Hours'!M17))</f>
        <v>0</v>
      </c>
      <c r="N17" s="161">
        <f>IF(ISNUMBER('Staff Hours'!N17)=FALSE,0,(HLOOKUP(Budgets!$C17,'Store Details'!$F$25:$AU$26,2)/'Staff Hours'!$AN17*'Staff Hours'!N17))</f>
        <v>0</v>
      </c>
      <c r="O17" s="161">
        <f>IF(ISNUMBER('Staff Hours'!O17)=FALSE,0,(HLOOKUP(Budgets!$C17,'Store Details'!$F$25:$AU$26,2)/'Staff Hours'!$AN17*'Staff Hours'!O17))</f>
        <v>0</v>
      </c>
      <c r="P17" s="161">
        <f>IF(ISNUMBER('Staff Hours'!P17)=FALSE,0,(HLOOKUP(Budgets!$C17,'Store Details'!$F$25:$AU$26,2)/'Staff Hours'!$AN17*'Staff Hours'!P17))</f>
        <v>0</v>
      </c>
      <c r="Q17" s="161">
        <f>IF(ISNUMBER('Staff Hours'!Q17)=FALSE,0,(HLOOKUP(Budgets!$C17,'Store Details'!$F$25:$AU$26,2)/'Staff Hours'!$AN17*'Staff Hours'!Q17))</f>
        <v>0</v>
      </c>
      <c r="R17" s="161">
        <f>IF(ISNUMBER('Staff Hours'!R17)=FALSE,0,(HLOOKUP(Budgets!$C17,'Store Details'!$F$25:$AU$26,2)/'Staff Hours'!$AN17*'Staff Hours'!R17))</f>
        <v>0</v>
      </c>
      <c r="S17" s="161">
        <f>IF(ISNUMBER('Staff Hours'!S17)=FALSE,0,(HLOOKUP(Budgets!$C17,'Store Details'!$F$25:$AU$26,2)/'Staff Hours'!$AN17*'Staff Hours'!S17))</f>
        <v>0</v>
      </c>
      <c r="T17" s="161">
        <f>IF(ISNUMBER('Staff Hours'!T17)=FALSE,0,(HLOOKUP(Budgets!$C17,'Store Details'!$F$25:$AU$26,2)/'Staff Hours'!$AN17*'Staff Hours'!T17))</f>
        <v>0</v>
      </c>
      <c r="U17" s="161">
        <f>IF(ISNUMBER('Staff Hours'!U17)=FALSE,0,(HLOOKUP(Budgets!$C17,'Store Details'!$F$25:$AU$26,2)/'Staff Hours'!$AN17*'Staff Hours'!U17))</f>
        <v>0</v>
      </c>
      <c r="V17" s="161">
        <f>IF(ISNUMBER('Staff Hours'!V17)=FALSE,0,(HLOOKUP(Budgets!$C17,'Store Details'!$F$25:$AU$26,2)/'Staff Hours'!$AN17*'Staff Hours'!V17))</f>
        <v>0</v>
      </c>
      <c r="W17" s="161">
        <f>IF(ISNUMBER('Staff Hours'!W17)=FALSE,0,(HLOOKUP(Budgets!$C17,'Store Details'!$F$25:$AU$26,2)/'Staff Hours'!$AN17*'Staff Hours'!W17))</f>
        <v>0</v>
      </c>
      <c r="X17" s="161">
        <f>IF(ISNUMBER('Staff Hours'!X17)=FALSE,0,(HLOOKUP(Budgets!$C17,'Store Details'!$F$25:$AU$26,2)/'Staff Hours'!$AN17*'Staff Hours'!X17))</f>
        <v>0</v>
      </c>
      <c r="Y17" s="10"/>
      <c r="Z17" s="10"/>
      <c r="AA17" s="10"/>
      <c r="AB17" s="10"/>
      <c r="AC17" s="10"/>
      <c r="AD17" s="10"/>
      <c r="AE17" s="10"/>
      <c r="AF17" s="10"/>
      <c r="AG17" s="161" t="s">
        <v>163</v>
      </c>
      <c r="AI17" s="162">
        <f t="shared" si="1"/>
        <v>0</v>
      </c>
      <c r="AJ17" s="162">
        <f t="shared" si="1"/>
        <v>0</v>
      </c>
      <c r="AK17" s="162">
        <f t="shared" si="1"/>
        <v>0</v>
      </c>
      <c r="AL17" s="162">
        <f t="shared" si="1"/>
        <v>0</v>
      </c>
      <c r="AM17" s="162">
        <f t="shared" si="1"/>
        <v>0</v>
      </c>
    </row>
    <row r="18" spans="2:39" s="25" customFormat="1" ht="14.25" customHeight="1">
      <c r="B18" s="154" t="s">
        <v>31</v>
      </c>
      <c r="C18" s="155">
        <f>'Daily &amp; Weekly Totals'!E20</f>
        <v>43932</v>
      </c>
      <c r="D18" s="160"/>
      <c r="E18" s="161">
        <f>IF(ISNUMBER('Staff Hours'!E18)=FALSE,0,(HLOOKUP(Budgets!$C18,'Store Details'!$F$25:$AU$26,2)/'Staff Hours'!$AN18*'Staff Hours'!E18))</f>
        <v>0</v>
      </c>
      <c r="F18" s="161">
        <f>IF(ISNUMBER('Staff Hours'!F18)=FALSE,0,(HLOOKUP(Budgets!$C18,'Store Details'!$F$25:$AU$26,2)/'Staff Hours'!$AN18*'Staff Hours'!F18))</f>
        <v>0</v>
      </c>
      <c r="G18" s="161">
        <f>IF(ISNUMBER('Staff Hours'!G18)=FALSE,0,(HLOOKUP(Budgets!$C18,'Store Details'!$F$25:$AU$26,2)/'Staff Hours'!$AN18*'Staff Hours'!G18))</f>
        <v>0</v>
      </c>
      <c r="H18" s="161">
        <f>IF(ISNUMBER('Staff Hours'!H18)=FALSE,0,(HLOOKUP(Budgets!$C18,'Store Details'!$F$25:$AU$26,2)/'Staff Hours'!$AN18*'Staff Hours'!H18))</f>
        <v>0</v>
      </c>
      <c r="I18" s="161">
        <f>IF(ISNUMBER('Staff Hours'!I18)=FALSE,0,(HLOOKUP(Budgets!$C18,'Store Details'!$F$25:$AU$26,2)/'Staff Hours'!$AN18*'Staff Hours'!I18))</f>
        <v>0</v>
      </c>
      <c r="J18" s="161">
        <f>IF(ISNUMBER('Staff Hours'!J18)=FALSE,0,(HLOOKUP(Budgets!$C18,'Store Details'!$F$25:$AU$26,2)/'Staff Hours'!$AN18*'Staff Hours'!J18))</f>
        <v>0</v>
      </c>
      <c r="K18" s="161">
        <f>IF(ISNUMBER('Staff Hours'!K18)=FALSE,0,(HLOOKUP(Budgets!$C18,'Store Details'!$F$25:$AU$26,2)/'Staff Hours'!$AN18*'Staff Hours'!K18))</f>
        <v>0</v>
      </c>
      <c r="L18" s="161">
        <f>IF(ISNUMBER('Staff Hours'!L18)=FALSE,0,(HLOOKUP(Budgets!$C18,'Store Details'!$F$25:$AU$26,2)/'Staff Hours'!$AN18*'Staff Hours'!L18))</f>
        <v>0</v>
      </c>
      <c r="M18" s="161">
        <f>IF(ISNUMBER('Staff Hours'!M18)=FALSE,0,(HLOOKUP(Budgets!$C18,'Store Details'!$F$25:$AU$26,2)/'Staff Hours'!$AN18*'Staff Hours'!M18))</f>
        <v>0</v>
      </c>
      <c r="N18" s="161">
        <f>IF(ISNUMBER('Staff Hours'!N18)=FALSE,0,(HLOOKUP(Budgets!$C18,'Store Details'!$F$25:$AU$26,2)/'Staff Hours'!$AN18*'Staff Hours'!N18))</f>
        <v>0</v>
      </c>
      <c r="O18" s="161">
        <f>IF(ISNUMBER('Staff Hours'!O18)=FALSE,0,(HLOOKUP(Budgets!$C18,'Store Details'!$F$25:$AU$26,2)/'Staff Hours'!$AN18*'Staff Hours'!O18))</f>
        <v>0</v>
      </c>
      <c r="P18" s="161">
        <f>IF(ISNUMBER('Staff Hours'!P18)=FALSE,0,(HLOOKUP(Budgets!$C18,'Store Details'!$F$25:$AU$26,2)/'Staff Hours'!$AN18*'Staff Hours'!P18))</f>
        <v>0</v>
      </c>
      <c r="Q18" s="161">
        <f>IF(ISNUMBER('Staff Hours'!Q18)=FALSE,0,(HLOOKUP(Budgets!$C18,'Store Details'!$F$25:$AU$26,2)/'Staff Hours'!$AN18*'Staff Hours'!Q18))</f>
        <v>0</v>
      </c>
      <c r="R18" s="161">
        <f>IF(ISNUMBER('Staff Hours'!R18)=FALSE,0,(HLOOKUP(Budgets!$C18,'Store Details'!$F$25:$AU$26,2)/'Staff Hours'!$AN18*'Staff Hours'!R18))</f>
        <v>0</v>
      </c>
      <c r="S18" s="161">
        <f>IF(ISNUMBER('Staff Hours'!S18)=FALSE,0,(HLOOKUP(Budgets!$C18,'Store Details'!$F$25:$AU$26,2)/'Staff Hours'!$AN18*'Staff Hours'!S18))</f>
        <v>0</v>
      </c>
      <c r="T18" s="161">
        <f>IF(ISNUMBER('Staff Hours'!T18)=FALSE,0,(HLOOKUP(Budgets!$C18,'Store Details'!$F$25:$AU$26,2)/'Staff Hours'!$AN18*'Staff Hours'!T18))</f>
        <v>0</v>
      </c>
      <c r="U18" s="161">
        <f>IF(ISNUMBER('Staff Hours'!U18)=FALSE,0,(HLOOKUP(Budgets!$C18,'Store Details'!$F$25:$AU$26,2)/'Staff Hours'!$AN18*'Staff Hours'!U18))</f>
        <v>0</v>
      </c>
      <c r="V18" s="161">
        <f>IF(ISNUMBER('Staff Hours'!V18)=FALSE,0,(HLOOKUP(Budgets!$C18,'Store Details'!$F$25:$AU$26,2)/'Staff Hours'!$AN18*'Staff Hours'!V18))</f>
        <v>0</v>
      </c>
      <c r="W18" s="161">
        <f>IF(ISNUMBER('Staff Hours'!W18)=FALSE,0,(HLOOKUP(Budgets!$C18,'Store Details'!$F$25:$AU$26,2)/'Staff Hours'!$AN18*'Staff Hours'!W18))</f>
        <v>0</v>
      </c>
      <c r="X18" s="161">
        <f>IF(ISNUMBER('Staff Hours'!X18)=FALSE,0,(HLOOKUP(Budgets!$C18,'Store Details'!$F$25:$AU$26,2)/'Staff Hours'!$AN18*'Staff Hours'!X18))</f>
        <v>0</v>
      </c>
      <c r="Y18" s="10"/>
      <c r="Z18" s="10"/>
      <c r="AA18" s="10"/>
      <c r="AB18" s="10"/>
      <c r="AC18" s="10"/>
      <c r="AD18" s="10"/>
      <c r="AE18" s="10"/>
      <c r="AF18" s="10"/>
      <c r="AG18" s="161" t="s">
        <v>163</v>
      </c>
      <c r="AI18" s="162">
        <f t="shared" si="1"/>
        <v>0</v>
      </c>
      <c r="AJ18" s="162">
        <f t="shared" si="1"/>
        <v>0</v>
      </c>
      <c r="AK18" s="162">
        <f t="shared" si="1"/>
        <v>0</v>
      </c>
      <c r="AL18" s="162">
        <f t="shared" si="1"/>
        <v>0</v>
      </c>
      <c r="AM18" s="162">
        <f t="shared" si="1"/>
        <v>0</v>
      </c>
    </row>
    <row r="19" spans="2:39" s="25" customFormat="1" ht="14.25" customHeight="1">
      <c r="B19" s="154" t="s">
        <v>32</v>
      </c>
      <c r="C19" s="155">
        <f>'Daily &amp; Weekly Totals'!E21</f>
        <v>43933</v>
      </c>
      <c r="D19" s="160"/>
      <c r="E19" s="161">
        <f>IF(ISNUMBER('Staff Hours'!E19)=FALSE,0,(HLOOKUP(Budgets!$C19,'Store Details'!$F$25:$AU$26,2)/'Staff Hours'!$AN19*'Staff Hours'!E19))</f>
        <v>0</v>
      </c>
      <c r="F19" s="161">
        <f>IF(ISNUMBER('Staff Hours'!F19)=FALSE,0,(HLOOKUP(Budgets!$C19,'Store Details'!$F$25:$AU$26,2)/'Staff Hours'!$AN19*'Staff Hours'!F19))</f>
        <v>0</v>
      </c>
      <c r="G19" s="161">
        <f>IF(ISNUMBER('Staff Hours'!G19)=FALSE,0,(HLOOKUP(Budgets!$C19,'Store Details'!$F$25:$AU$26,2)/'Staff Hours'!$AN19*'Staff Hours'!G19))</f>
        <v>0</v>
      </c>
      <c r="H19" s="161">
        <f>IF(ISNUMBER('Staff Hours'!H19)=FALSE,0,(HLOOKUP(Budgets!$C19,'Store Details'!$F$25:$AU$26,2)/'Staff Hours'!$AN19*'Staff Hours'!H19))</f>
        <v>0</v>
      </c>
      <c r="I19" s="161">
        <f>IF(ISNUMBER('Staff Hours'!I19)=FALSE,0,(HLOOKUP(Budgets!$C19,'Store Details'!$F$25:$AU$26,2)/'Staff Hours'!$AN19*'Staff Hours'!I19))</f>
        <v>0</v>
      </c>
      <c r="J19" s="161">
        <f>IF(ISNUMBER('Staff Hours'!J19)=FALSE,0,(HLOOKUP(Budgets!$C19,'Store Details'!$F$25:$AU$26,2)/'Staff Hours'!$AN19*'Staff Hours'!J19))</f>
        <v>0</v>
      </c>
      <c r="K19" s="161">
        <f>IF(ISNUMBER('Staff Hours'!K19)=FALSE,0,(HLOOKUP(Budgets!$C19,'Store Details'!$F$25:$AU$26,2)/'Staff Hours'!$AN19*'Staff Hours'!K19))</f>
        <v>0</v>
      </c>
      <c r="L19" s="161">
        <f>IF(ISNUMBER('Staff Hours'!L19)=FALSE,0,(HLOOKUP(Budgets!$C19,'Store Details'!$F$25:$AU$26,2)/'Staff Hours'!$AN19*'Staff Hours'!L19))</f>
        <v>0</v>
      </c>
      <c r="M19" s="161">
        <f>IF(ISNUMBER('Staff Hours'!M19)=FALSE,0,(HLOOKUP(Budgets!$C19,'Store Details'!$F$25:$AU$26,2)/'Staff Hours'!$AN19*'Staff Hours'!M19))</f>
        <v>0</v>
      </c>
      <c r="N19" s="161">
        <f>IF(ISNUMBER('Staff Hours'!N19)=FALSE,0,(HLOOKUP(Budgets!$C19,'Store Details'!$F$25:$AU$26,2)/'Staff Hours'!$AN19*'Staff Hours'!N19))</f>
        <v>0</v>
      </c>
      <c r="O19" s="161">
        <f>IF(ISNUMBER('Staff Hours'!O19)=FALSE,0,(HLOOKUP(Budgets!$C19,'Store Details'!$F$25:$AU$26,2)/'Staff Hours'!$AN19*'Staff Hours'!O19))</f>
        <v>0</v>
      </c>
      <c r="P19" s="161">
        <f>IF(ISNUMBER('Staff Hours'!P19)=FALSE,0,(HLOOKUP(Budgets!$C19,'Store Details'!$F$25:$AU$26,2)/'Staff Hours'!$AN19*'Staff Hours'!P19))</f>
        <v>0</v>
      </c>
      <c r="Q19" s="161">
        <f>IF(ISNUMBER('Staff Hours'!Q19)=FALSE,0,(HLOOKUP(Budgets!$C19,'Store Details'!$F$25:$AU$26,2)/'Staff Hours'!$AN19*'Staff Hours'!Q19))</f>
        <v>0</v>
      </c>
      <c r="R19" s="161">
        <f>IF(ISNUMBER('Staff Hours'!R19)=FALSE,0,(HLOOKUP(Budgets!$C19,'Store Details'!$F$25:$AU$26,2)/'Staff Hours'!$AN19*'Staff Hours'!R19))</f>
        <v>0</v>
      </c>
      <c r="S19" s="161">
        <f>IF(ISNUMBER('Staff Hours'!S19)=FALSE,0,(HLOOKUP(Budgets!$C19,'Store Details'!$F$25:$AU$26,2)/'Staff Hours'!$AN19*'Staff Hours'!S19))</f>
        <v>0</v>
      </c>
      <c r="T19" s="161">
        <f>IF(ISNUMBER('Staff Hours'!T19)=FALSE,0,(HLOOKUP(Budgets!$C19,'Store Details'!$F$25:$AU$26,2)/'Staff Hours'!$AN19*'Staff Hours'!T19))</f>
        <v>0</v>
      </c>
      <c r="U19" s="161">
        <f>IF(ISNUMBER('Staff Hours'!U19)=FALSE,0,(HLOOKUP(Budgets!$C19,'Store Details'!$F$25:$AU$26,2)/'Staff Hours'!$AN19*'Staff Hours'!U19))</f>
        <v>0</v>
      </c>
      <c r="V19" s="161">
        <f>IF(ISNUMBER('Staff Hours'!V19)=FALSE,0,(HLOOKUP(Budgets!$C19,'Store Details'!$F$25:$AU$26,2)/'Staff Hours'!$AN19*'Staff Hours'!V19))</f>
        <v>0</v>
      </c>
      <c r="W19" s="161">
        <f>IF(ISNUMBER('Staff Hours'!W19)=FALSE,0,(HLOOKUP(Budgets!$C19,'Store Details'!$F$25:$AU$26,2)/'Staff Hours'!$AN19*'Staff Hours'!W19))</f>
        <v>0</v>
      </c>
      <c r="X19" s="161">
        <f>IF(ISNUMBER('Staff Hours'!X19)=FALSE,0,(HLOOKUP(Budgets!$C19,'Store Details'!$F$25:$AU$26,2)/'Staff Hours'!$AN19*'Staff Hours'!X19))</f>
        <v>0</v>
      </c>
      <c r="Y19" s="10"/>
      <c r="Z19" s="10"/>
      <c r="AA19" s="10"/>
      <c r="AB19" s="10"/>
      <c r="AC19" s="10"/>
      <c r="AD19" s="10"/>
      <c r="AE19" s="10"/>
      <c r="AF19" s="10"/>
      <c r="AG19" s="161" t="s">
        <v>163</v>
      </c>
      <c r="AI19" s="162">
        <f t="shared" si="1"/>
        <v>0</v>
      </c>
      <c r="AJ19" s="162">
        <f t="shared" si="1"/>
        <v>0</v>
      </c>
      <c r="AK19" s="162">
        <f t="shared" si="1"/>
        <v>0</v>
      </c>
      <c r="AL19" s="162">
        <f t="shared" si="1"/>
        <v>0</v>
      </c>
      <c r="AM19" s="162">
        <f t="shared" si="1"/>
        <v>0</v>
      </c>
    </row>
    <row r="20" spans="2:39" s="25" customFormat="1" ht="14.25" customHeight="1">
      <c r="B20" s="154" t="s">
        <v>26</v>
      </c>
      <c r="C20" s="155">
        <f>'Daily &amp; Weekly Totals'!E25</f>
        <v>43934</v>
      </c>
      <c r="D20" s="160"/>
      <c r="E20" s="161">
        <f>IF(ISNUMBER('Staff Hours'!E20)=FALSE,0,(HLOOKUP(Budgets!$C20,'Store Details'!$F$25:$AU$26,2)/'Staff Hours'!$AN20*'Staff Hours'!E20))</f>
        <v>0</v>
      </c>
      <c r="F20" s="161">
        <f>IF(ISNUMBER('Staff Hours'!F20)=FALSE,0,(HLOOKUP(Budgets!$C20,'Store Details'!$F$25:$AU$26,2)/'Staff Hours'!$AN20*'Staff Hours'!F20))</f>
        <v>0</v>
      </c>
      <c r="G20" s="161">
        <f>IF(ISNUMBER('Staff Hours'!G20)=FALSE,0,(HLOOKUP(Budgets!$C20,'Store Details'!$F$25:$AU$26,2)/'Staff Hours'!$AN20*'Staff Hours'!G20))</f>
        <v>0</v>
      </c>
      <c r="H20" s="161">
        <f>IF(ISNUMBER('Staff Hours'!H20)=FALSE,0,(HLOOKUP(Budgets!$C20,'Store Details'!$F$25:$AU$26,2)/'Staff Hours'!$AN20*'Staff Hours'!H20))</f>
        <v>0</v>
      </c>
      <c r="I20" s="161">
        <f>IF(ISNUMBER('Staff Hours'!I20)=FALSE,0,(HLOOKUP(Budgets!$C20,'Store Details'!$F$25:$AU$26,2)/'Staff Hours'!$AN20*'Staff Hours'!I20))</f>
        <v>0</v>
      </c>
      <c r="J20" s="161">
        <f>IF(ISNUMBER('Staff Hours'!J20)=FALSE,0,(HLOOKUP(Budgets!$C20,'Store Details'!$F$25:$AU$26,2)/'Staff Hours'!$AN20*'Staff Hours'!J20))</f>
        <v>0</v>
      </c>
      <c r="K20" s="161">
        <f>IF(ISNUMBER('Staff Hours'!K20)=FALSE,0,(HLOOKUP(Budgets!$C20,'Store Details'!$F$25:$AU$26,2)/'Staff Hours'!$AN20*'Staff Hours'!K20))</f>
        <v>0</v>
      </c>
      <c r="L20" s="161">
        <f>IF(ISNUMBER('Staff Hours'!L20)=FALSE,0,(HLOOKUP(Budgets!$C20,'Store Details'!$F$25:$AU$26,2)/'Staff Hours'!$AN20*'Staff Hours'!L20))</f>
        <v>0</v>
      </c>
      <c r="M20" s="161">
        <f>IF(ISNUMBER('Staff Hours'!M20)=FALSE,0,(HLOOKUP(Budgets!$C20,'Store Details'!$F$25:$AU$26,2)/'Staff Hours'!$AN20*'Staff Hours'!M20))</f>
        <v>0</v>
      </c>
      <c r="N20" s="161">
        <f>IF(ISNUMBER('Staff Hours'!N20)=FALSE,0,(HLOOKUP(Budgets!$C20,'Store Details'!$F$25:$AU$26,2)/'Staff Hours'!$AN20*'Staff Hours'!N20))</f>
        <v>0</v>
      </c>
      <c r="O20" s="161">
        <f>IF(ISNUMBER('Staff Hours'!O20)=FALSE,0,(HLOOKUP(Budgets!$C20,'Store Details'!$F$25:$AU$26,2)/'Staff Hours'!$AN20*'Staff Hours'!O20))</f>
        <v>0</v>
      </c>
      <c r="P20" s="161">
        <f>IF(ISNUMBER('Staff Hours'!P20)=FALSE,0,(HLOOKUP(Budgets!$C20,'Store Details'!$F$25:$AU$26,2)/'Staff Hours'!$AN20*'Staff Hours'!P20))</f>
        <v>0</v>
      </c>
      <c r="Q20" s="161">
        <f>IF(ISNUMBER('Staff Hours'!Q20)=FALSE,0,(HLOOKUP(Budgets!$C20,'Store Details'!$F$25:$AU$26,2)/'Staff Hours'!$AN20*'Staff Hours'!Q20))</f>
        <v>0</v>
      </c>
      <c r="R20" s="161">
        <f>IF(ISNUMBER('Staff Hours'!R20)=FALSE,0,(HLOOKUP(Budgets!$C20,'Store Details'!$F$25:$AU$26,2)/'Staff Hours'!$AN20*'Staff Hours'!R20))</f>
        <v>0</v>
      </c>
      <c r="S20" s="161">
        <f>IF(ISNUMBER('Staff Hours'!S20)=FALSE,0,(HLOOKUP(Budgets!$C20,'Store Details'!$F$25:$AU$26,2)/'Staff Hours'!$AN20*'Staff Hours'!S20))</f>
        <v>0</v>
      </c>
      <c r="T20" s="161">
        <f>IF(ISNUMBER('Staff Hours'!T20)=FALSE,0,(HLOOKUP(Budgets!$C20,'Store Details'!$F$25:$AU$26,2)/'Staff Hours'!$AN20*'Staff Hours'!T20))</f>
        <v>0</v>
      </c>
      <c r="U20" s="161">
        <f>IF(ISNUMBER('Staff Hours'!U20)=FALSE,0,(HLOOKUP(Budgets!$C20,'Store Details'!$F$25:$AU$26,2)/'Staff Hours'!$AN20*'Staff Hours'!U20))</f>
        <v>0</v>
      </c>
      <c r="V20" s="161">
        <f>IF(ISNUMBER('Staff Hours'!V20)=FALSE,0,(HLOOKUP(Budgets!$C20,'Store Details'!$F$25:$AU$26,2)/'Staff Hours'!$AN20*'Staff Hours'!V20))</f>
        <v>0</v>
      </c>
      <c r="W20" s="161">
        <f>IF(ISNUMBER('Staff Hours'!W20)=FALSE,0,(HLOOKUP(Budgets!$C20,'Store Details'!$F$25:$AU$26,2)/'Staff Hours'!$AN20*'Staff Hours'!W20))</f>
        <v>0</v>
      </c>
      <c r="X20" s="161">
        <f>IF(ISNUMBER('Staff Hours'!X20)=FALSE,0,(HLOOKUP(Budgets!$C20,'Store Details'!$F$25:$AU$26,2)/'Staff Hours'!$AN20*'Staff Hours'!X20))</f>
        <v>0</v>
      </c>
      <c r="Y20" s="10"/>
      <c r="Z20" s="10"/>
      <c r="AA20" s="10"/>
      <c r="AB20" s="10"/>
      <c r="AC20" s="10"/>
      <c r="AD20" s="10"/>
      <c r="AE20" s="10"/>
      <c r="AF20" s="10"/>
      <c r="AG20" s="161" t="s">
        <v>163</v>
      </c>
      <c r="AI20" s="162">
        <f t="shared" si="1"/>
        <v>0</v>
      </c>
      <c r="AJ20" s="162">
        <f t="shared" si="1"/>
        <v>0</v>
      </c>
      <c r="AK20" s="162">
        <f t="shared" si="1"/>
        <v>0</v>
      </c>
      <c r="AL20" s="162">
        <f t="shared" si="1"/>
        <v>0</v>
      </c>
      <c r="AM20" s="162">
        <f t="shared" si="1"/>
        <v>0</v>
      </c>
    </row>
    <row r="21" spans="2:39" s="25" customFormat="1" ht="14.25" customHeight="1">
      <c r="B21" s="154" t="s">
        <v>27</v>
      </c>
      <c r="C21" s="155">
        <f>'Daily &amp; Weekly Totals'!E26</f>
        <v>43935</v>
      </c>
      <c r="D21" s="160"/>
      <c r="E21" s="161">
        <f>IF(ISNUMBER('Staff Hours'!E21)=FALSE,0,(HLOOKUP(Budgets!$C21,'Store Details'!$F$25:$AU$26,2)/'Staff Hours'!$AN21*'Staff Hours'!E21))</f>
        <v>0</v>
      </c>
      <c r="F21" s="161">
        <f>IF(ISNUMBER('Staff Hours'!F21)=FALSE,0,(HLOOKUP(Budgets!$C21,'Store Details'!$F$25:$AU$26,2)/'Staff Hours'!$AN21*'Staff Hours'!F21))</f>
        <v>0</v>
      </c>
      <c r="G21" s="161">
        <f>IF(ISNUMBER('Staff Hours'!G21)=FALSE,0,(HLOOKUP(Budgets!$C21,'Store Details'!$F$25:$AU$26,2)/'Staff Hours'!$AN21*'Staff Hours'!G21))</f>
        <v>0</v>
      </c>
      <c r="H21" s="161">
        <f>IF(ISNUMBER('Staff Hours'!H21)=FALSE,0,(HLOOKUP(Budgets!$C21,'Store Details'!$F$25:$AU$26,2)/'Staff Hours'!$AN21*'Staff Hours'!H21))</f>
        <v>0</v>
      </c>
      <c r="I21" s="161">
        <f>IF(ISNUMBER('Staff Hours'!I21)=FALSE,0,(HLOOKUP(Budgets!$C21,'Store Details'!$F$25:$AU$26,2)/'Staff Hours'!$AN21*'Staff Hours'!I21))</f>
        <v>0</v>
      </c>
      <c r="J21" s="161">
        <f>IF(ISNUMBER('Staff Hours'!J21)=FALSE,0,(HLOOKUP(Budgets!$C21,'Store Details'!$F$25:$AU$26,2)/'Staff Hours'!$AN21*'Staff Hours'!J21))</f>
        <v>0</v>
      </c>
      <c r="K21" s="161">
        <f>IF(ISNUMBER('Staff Hours'!K21)=FALSE,0,(HLOOKUP(Budgets!$C21,'Store Details'!$F$25:$AU$26,2)/'Staff Hours'!$AN21*'Staff Hours'!K21))</f>
        <v>0</v>
      </c>
      <c r="L21" s="161">
        <f>IF(ISNUMBER('Staff Hours'!L21)=FALSE,0,(HLOOKUP(Budgets!$C21,'Store Details'!$F$25:$AU$26,2)/'Staff Hours'!$AN21*'Staff Hours'!L21))</f>
        <v>0</v>
      </c>
      <c r="M21" s="161">
        <f>IF(ISNUMBER('Staff Hours'!M21)=FALSE,0,(HLOOKUP(Budgets!$C21,'Store Details'!$F$25:$AU$26,2)/'Staff Hours'!$AN21*'Staff Hours'!M21))</f>
        <v>0</v>
      </c>
      <c r="N21" s="161">
        <f>IF(ISNUMBER('Staff Hours'!N21)=FALSE,0,(HLOOKUP(Budgets!$C21,'Store Details'!$F$25:$AU$26,2)/'Staff Hours'!$AN21*'Staff Hours'!N21))</f>
        <v>0</v>
      </c>
      <c r="O21" s="161">
        <f>IF(ISNUMBER('Staff Hours'!O21)=FALSE,0,(HLOOKUP(Budgets!$C21,'Store Details'!$F$25:$AU$26,2)/'Staff Hours'!$AN21*'Staff Hours'!O21))</f>
        <v>0</v>
      </c>
      <c r="P21" s="161">
        <f>IF(ISNUMBER('Staff Hours'!P21)=FALSE,0,(HLOOKUP(Budgets!$C21,'Store Details'!$F$25:$AU$26,2)/'Staff Hours'!$AN21*'Staff Hours'!P21))</f>
        <v>0</v>
      </c>
      <c r="Q21" s="161">
        <f>IF(ISNUMBER('Staff Hours'!Q21)=FALSE,0,(HLOOKUP(Budgets!$C21,'Store Details'!$F$25:$AU$26,2)/'Staff Hours'!$AN21*'Staff Hours'!Q21))</f>
        <v>0</v>
      </c>
      <c r="R21" s="161">
        <f>IF(ISNUMBER('Staff Hours'!R21)=FALSE,0,(HLOOKUP(Budgets!$C21,'Store Details'!$F$25:$AU$26,2)/'Staff Hours'!$AN21*'Staff Hours'!R21))</f>
        <v>0</v>
      </c>
      <c r="S21" s="161">
        <f>IF(ISNUMBER('Staff Hours'!S21)=FALSE,0,(HLOOKUP(Budgets!$C21,'Store Details'!$F$25:$AU$26,2)/'Staff Hours'!$AN21*'Staff Hours'!S21))</f>
        <v>0</v>
      </c>
      <c r="T21" s="161">
        <f>IF(ISNUMBER('Staff Hours'!T21)=FALSE,0,(HLOOKUP(Budgets!$C21,'Store Details'!$F$25:$AU$26,2)/'Staff Hours'!$AN21*'Staff Hours'!T21))</f>
        <v>0</v>
      </c>
      <c r="U21" s="161">
        <f>IF(ISNUMBER('Staff Hours'!U21)=FALSE,0,(HLOOKUP(Budgets!$C21,'Store Details'!$F$25:$AU$26,2)/'Staff Hours'!$AN21*'Staff Hours'!U21))</f>
        <v>0</v>
      </c>
      <c r="V21" s="161">
        <f>IF(ISNUMBER('Staff Hours'!V21)=FALSE,0,(HLOOKUP(Budgets!$C21,'Store Details'!$F$25:$AU$26,2)/'Staff Hours'!$AN21*'Staff Hours'!V21))</f>
        <v>0</v>
      </c>
      <c r="W21" s="161">
        <f>IF(ISNUMBER('Staff Hours'!W21)=FALSE,0,(HLOOKUP(Budgets!$C21,'Store Details'!$F$25:$AU$26,2)/'Staff Hours'!$AN21*'Staff Hours'!W21))</f>
        <v>0</v>
      </c>
      <c r="X21" s="161">
        <f>IF(ISNUMBER('Staff Hours'!X21)=FALSE,0,(HLOOKUP(Budgets!$C21,'Store Details'!$F$25:$AU$26,2)/'Staff Hours'!$AN21*'Staff Hours'!X21))</f>
        <v>0</v>
      </c>
      <c r="Y21" s="10"/>
      <c r="Z21" s="10"/>
      <c r="AA21" s="10"/>
      <c r="AB21" s="10"/>
      <c r="AC21" s="10"/>
      <c r="AD21" s="10"/>
      <c r="AE21" s="10"/>
      <c r="AF21" s="10"/>
      <c r="AG21" s="161" t="s">
        <v>163</v>
      </c>
      <c r="AI21" s="162">
        <f t="shared" si="1"/>
        <v>0</v>
      </c>
      <c r="AJ21" s="162">
        <f t="shared" si="1"/>
        <v>0</v>
      </c>
      <c r="AK21" s="162">
        <f t="shared" si="1"/>
        <v>0</v>
      </c>
      <c r="AL21" s="162">
        <f t="shared" si="1"/>
        <v>0</v>
      </c>
      <c r="AM21" s="162">
        <f t="shared" si="1"/>
        <v>0</v>
      </c>
    </row>
    <row r="22" spans="2:39" s="25" customFormat="1" ht="14.25" customHeight="1">
      <c r="B22" s="154" t="s">
        <v>28</v>
      </c>
      <c r="C22" s="155">
        <f>'Daily &amp; Weekly Totals'!E27</f>
        <v>43936</v>
      </c>
      <c r="D22" s="160"/>
      <c r="E22" s="161">
        <f>IF(ISNUMBER('Staff Hours'!E22)=FALSE,0,(HLOOKUP(Budgets!$C22,'Store Details'!$F$25:$AU$26,2)/'Staff Hours'!$AN22*'Staff Hours'!E22))</f>
        <v>0</v>
      </c>
      <c r="F22" s="161">
        <f>IF(ISNUMBER('Staff Hours'!F22)=FALSE,0,(HLOOKUP(Budgets!$C22,'Store Details'!$F$25:$AU$26,2)/'Staff Hours'!$AN22*'Staff Hours'!F22))</f>
        <v>0</v>
      </c>
      <c r="G22" s="161">
        <f>IF(ISNUMBER('Staff Hours'!G22)=FALSE,0,(HLOOKUP(Budgets!$C22,'Store Details'!$F$25:$AU$26,2)/'Staff Hours'!$AN22*'Staff Hours'!G22))</f>
        <v>0</v>
      </c>
      <c r="H22" s="161">
        <f>IF(ISNUMBER('Staff Hours'!H22)=FALSE,0,(HLOOKUP(Budgets!$C22,'Store Details'!$F$25:$AU$26,2)/'Staff Hours'!$AN22*'Staff Hours'!H22))</f>
        <v>0</v>
      </c>
      <c r="I22" s="161">
        <f>IF(ISNUMBER('Staff Hours'!I22)=FALSE,0,(HLOOKUP(Budgets!$C22,'Store Details'!$F$25:$AU$26,2)/'Staff Hours'!$AN22*'Staff Hours'!I22))</f>
        <v>0</v>
      </c>
      <c r="J22" s="161">
        <f>IF(ISNUMBER('Staff Hours'!J22)=FALSE,0,(HLOOKUP(Budgets!$C22,'Store Details'!$F$25:$AU$26,2)/'Staff Hours'!$AN22*'Staff Hours'!J22))</f>
        <v>0</v>
      </c>
      <c r="K22" s="161">
        <f>IF(ISNUMBER('Staff Hours'!K22)=FALSE,0,(HLOOKUP(Budgets!$C22,'Store Details'!$F$25:$AU$26,2)/'Staff Hours'!$AN22*'Staff Hours'!K22))</f>
        <v>0</v>
      </c>
      <c r="L22" s="161">
        <f>IF(ISNUMBER('Staff Hours'!L22)=FALSE,0,(HLOOKUP(Budgets!$C22,'Store Details'!$F$25:$AU$26,2)/'Staff Hours'!$AN22*'Staff Hours'!L22))</f>
        <v>0</v>
      </c>
      <c r="M22" s="161">
        <f>IF(ISNUMBER('Staff Hours'!M22)=FALSE,0,(HLOOKUP(Budgets!$C22,'Store Details'!$F$25:$AU$26,2)/'Staff Hours'!$AN22*'Staff Hours'!M22))</f>
        <v>0</v>
      </c>
      <c r="N22" s="161">
        <f>IF(ISNUMBER('Staff Hours'!N22)=FALSE,0,(HLOOKUP(Budgets!$C22,'Store Details'!$F$25:$AU$26,2)/'Staff Hours'!$AN22*'Staff Hours'!N22))</f>
        <v>0</v>
      </c>
      <c r="O22" s="161">
        <f>IF(ISNUMBER('Staff Hours'!O22)=FALSE,0,(HLOOKUP(Budgets!$C22,'Store Details'!$F$25:$AU$26,2)/'Staff Hours'!$AN22*'Staff Hours'!O22))</f>
        <v>0</v>
      </c>
      <c r="P22" s="161">
        <f>IF(ISNUMBER('Staff Hours'!P22)=FALSE,0,(HLOOKUP(Budgets!$C22,'Store Details'!$F$25:$AU$26,2)/'Staff Hours'!$AN22*'Staff Hours'!P22))</f>
        <v>0</v>
      </c>
      <c r="Q22" s="161">
        <f>IF(ISNUMBER('Staff Hours'!Q22)=FALSE,0,(HLOOKUP(Budgets!$C22,'Store Details'!$F$25:$AU$26,2)/'Staff Hours'!$AN22*'Staff Hours'!Q22))</f>
        <v>0</v>
      </c>
      <c r="R22" s="161">
        <f>IF(ISNUMBER('Staff Hours'!R22)=FALSE,0,(HLOOKUP(Budgets!$C22,'Store Details'!$F$25:$AU$26,2)/'Staff Hours'!$AN22*'Staff Hours'!R22))</f>
        <v>0</v>
      </c>
      <c r="S22" s="161">
        <f>IF(ISNUMBER('Staff Hours'!S22)=FALSE,0,(HLOOKUP(Budgets!$C22,'Store Details'!$F$25:$AU$26,2)/'Staff Hours'!$AN22*'Staff Hours'!S22))</f>
        <v>0</v>
      </c>
      <c r="T22" s="161">
        <f>IF(ISNUMBER('Staff Hours'!T22)=FALSE,0,(HLOOKUP(Budgets!$C22,'Store Details'!$F$25:$AU$26,2)/'Staff Hours'!$AN22*'Staff Hours'!T22))</f>
        <v>0</v>
      </c>
      <c r="U22" s="161">
        <f>IF(ISNUMBER('Staff Hours'!U22)=FALSE,0,(HLOOKUP(Budgets!$C22,'Store Details'!$F$25:$AU$26,2)/'Staff Hours'!$AN22*'Staff Hours'!U22))</f>
        <v>0</v>
      </c>
      <c r="V22" s="161">
        <f>IF(ISNUMBER('Staff Hours'!V22)=FALSE,0,(HLOOKUP(Budgets!$C22,'Store Details'!$F$25:$AU$26,2)/'Staff Hours'!$AN22*'Staff Hours'!V22))</f>
        <v>0</v>
      </c>
      <c r="W22" s="161">
        <f>IF(ISNUMBER('Staff Hours'!W22)=FALSE,0,(HLOOKUP(Budgets!$C22,'Store Details'!$F$25:$AU$26,2)/'Staff Hours'!$AN22*'Staff Hours'!W22))</f>
        <v>0</v>
      </c>
      <c r="X22" s="161">
        <f>IF(ISNUMBER('Staff Hours'!X22)=FALSE,0,(HLOOKUP(Budgets!$C22,'Store Details'!$F$25:$AU$26,2)/'Staff Hours'!$AN22*'Staff Hours'!X22))</f>
        <v>0</v>
      </c>
      <c r="Y22" s="10"/>
      <c r="Z22" s="10"/>
      <c r="AA22" s="10"/>
      <c r="AB22" s="10"/>
      <c r="AC22" s="10"/>
      <c r="AD22" s="10"/>
      <c r="AE22" s="10"/>
      <c r="AF22" s="10"/>
      <c r="AG22" s="161" t="s">
        <v>163</v>
      </c>
      <c r="AI22" s="162">
        <f t="shared" ref="AI22:AM37" si="2">SUMIF($E$3:$AG$3,AI$3,$E22:$AG22)</f>
        <v>0</v>
      </c>
      <c r="AJ22" s="162">
        <f t="shared" si="2"/>
        <v>0</v>
      </c>
      <c r="AK22" s="162">
        <f t="shared" si="2"/>
        <v>0</v>
      </c>
      <c r="AL22" s="162">
        <f t="shared" si="2"/>
        <v>0</v>
      </c>
      <c r="AM22" s="162">
        <f t="shared" si="2"/>
        <v>0</v>
      </c>
    </row>
    <row r="23" spans="2:39" s="25" customFormat="1" ht="14.25" customHeight="1">
      <c r="B23" s="154" t="s">
        <v>29</v>
      </c>
      <c r="C23" s="155">
        <f>'Daily &amp; Weekly Totals'!E28</f>
        <v>43937</v>
      </c>
      <c r="D23" s="160"/>
      <c r="E23" s="161">
        <f>IF(ISNUMBER('Staff Hours'!E23)=FALSE,0,(HLOOKUP(Budgets!$C23,'Store Details'!$F$25:$AU$26,2)/'Staff Hours'!$AN23*'Staff Hours'!E23))</f>
        <v>0</v>
      </c>
      <c r="F23" s="161">
        <f>IF(ISNUMBER('Staff Hours'!F23)=FALSE,0,(HLOOKUP(Budgets!$C23,'Store Details'!$F$25:$AU$26,2)/'Staff Hours'!$AN23*'Staff Hours'!F23))</f>
        <v>0</v>
      </c>
      <c r="G23" s="161">
        <f>IF(ISNUMBER('Staff Hours'!G23)=FALSE,0,(HLOOKUP(Budgets!$C23,'Store Details'!$F$25:$AU$26,2)/'Staff Hours'!$AN23*'Staff Hours'!G23))</f>
        <v>0</v>
      </c>
      <c r="H23" s="161">
        <f>IF(ISNUMBER('Staff Hours'!H23)=FALSE,0,(HLOOKUP(Budgets!$C23,'Store Details'!$F$25:$AU$26,2)/'Staff Hours'!$AN23*'Staff Hours'!H23))</f>
        <v>0</v>
      </c>
      <c r="I23" s="161">
        <f>IF(ISNUMBER('Staff Hours'!I23)=FALSE,0,(HLOOKUP(Budgets!$C23,'Store Details'!$F$25:$AU$26,2)/'Staff Hours'!$AN23*'Staff Hours'!I23))</f>
        <v>0</v>
      </c>
      <c r="J23" s="161">
        <f>IF(ISNUMBER('Staff Hours'!J23)=FALSE,0,(HLOOKUP(Budgets!$C23,'Store Details'!$F$25:$AU$26,2)/'Staff Hours'!$AN23*'Staff Hours'!J23))</f>
        <v>0</v>
      </c>
      <c r="K23" s="161">
        <f>IF(ISNUMBER('Staff Hours'!K23)=FALSE,0,(HLOOKUP(Budgets!$C23,'Store Details'!$F$25:$AU$26,2)/'Staff Hours'!$AN23*'Staff Hours'!K23))</f>
        <v>0</v>
      </c>
      <c r="L23" s="161">
        <f>IF(ISNUMBER('Staff Hours'!L23)=FALSE,0,(HLOOKUP(Budgets!$C23,'Store Details'!$F$25:$AU$26,2)/'Staff Hours'!$AN23*'Staff Hours'!L23))</f>
        <v>0</v>
      </c>
      <c r="M23" s="161">
        <f>IF(ISNUMBER('Staff Hours'!M23)=FALSE,0,(HLOOKUP(Budgets!$C23,'Store Details'!$F$25:$AU$26,2)/'Staff Hours'!$AN23*'Staff Hours'!M23))</f>
        <v>0</v>
      </c>
      <c r="N23" s="161">
        <f>IF(ISNUMBER('Staff Hours'!N23)=FALSE,0,(HLOOKUP(Budgets!$C23,'Store Details'!$F$25:$AU$26,2)/'Staff Hours'!$AN23*'Staff Hours'!N23))</f>
        <v>0</v>
      </c>
      <c r="O23" s="161">
        <f>IF(ISNUMBER('Staff Hours'!O23)=FALSE,0,(HLOOKUP(Budgets!$C23,'Store Details'!$F$25:$AU$26,2)/'Staff Hours'!$AN23*'Staff Hours'!O23))</f>
        <v>0</v>
      </c>
      <c r="P23" s="161">
        <f>IF(ISNUMBER('Staff Hours'!P23)=FALSE,0,(HLOOKUP(Budgets!$C23,'Store Details'!$F$25:$AU$26,2)/'Staff Hours'!$AN23*'Staff Hours'!P23))</f>
        <v>0</v>
      </c>
      <c r="Q23" s="161">
        <f>IF(ISNUMBER('Staff Hours'!Q23)=FALSE,0,(HLOOKUP(Budgets!$C23,'Store Details'!$F$25:$AU$26,2)/'Staff Hours'!$AN23*'Staff Hours'!Q23))</f>
        <v>0</v>
      </c>
      <c r="R23" s="161">
        <f>IF(ISNUMBER('Staff Hours'!R23)=FALSE,0,(HLOOKUP(Budgets!$C23,'Store Details'!$F$25:$AU$26,2)/'Staff Hours'!$AN23*'Staff Hours'!R23))</f>
        <v>0</v>
      </c>
      <c r="S23" s="161">
        <f>IF(ISNUMBER('Staff Hours'!S23)=FALSE,0,(HLOOKUP(Budgets!$C23,'Store Details'!$F$25:$AU$26,2)/'Staff Hours'!$AN23*'Staff Hours'!S23))</f>
        <v>0</v>
      </c>
      <c r="T23" s="161">
        <f>IF(ISNUMBER('Staff Hours'!T23)=FALSE,0,(HLOOKUP(Budgets!$C23,'Store Details'!$F$25:$AU$26,2)/'Staff Hours'!$AN23*'Staff Hours'!T23))</f>
        <v>0</v>
      </c>
      <c r="U23" s="161">
        <f>IF(ISNUMBER('Staff Hours'!U23)=FALSE,0,(HLOOKUP(Budgets!$C23,'Store Details'!$F$25:$AU$26,2)/'Staff Hours'!$AN23*'Staff Hours'!U23))</f>
        <v>0</v>
      </c>
      <c r="V23" s="161">
        <f>IF(ISNUMBER('Staff Hours'!V23)=FALSE,0,(HLOOKUP(Budgets!$C23,'Store Details'!$F$25:$AU$26,2)/'Staff Hours'!$AN23*'Staff Hours'!V23))</f>
        <v>0</v>
      </c>
      <c r="W23" s="161">
        <f>IF(ISNUMBER('Staff Hours'!W23)=FALSE,0,(HLOOKUP(Budgets!$C23,'Store Details'!$F$25:$AU$26,2)/'Staff Hours'!$AN23*'Staff Hours'!W23))</f>
        <v>0</v>
      </c>
      <c r="X23" s="161">
        <f>IF(ISNUMBER('Staff Hours'!X23)=FALSE,0,(HLOOKUP(Budgets!$C23,'Store Details'!$F$25:$AU$26,2)/'Staff Hours'!$AN23*'Staff Hours'!X23))</f>
        <v>0</v>
      </c>
      <c r="Y23" s="10"/>
      <c r="Z23" s="10"/>
      <c r="AA23" s="10"/>
      <c r="AB23" s="10"/>
      <c r="AC23" s="10"/>
      <c r="AD23" s="10"/>
      <c r="AE23" s="10"/>
      <c r="AF23" s="10"/>
      <c r="AG23" s="161" t="s">
        <v>163</v>
      </c>
      <c r="AI23" s="162">
        <f t="shared" si="2"/>
        <v>0</v>
      </c>
      <c r="AJ23" s="162">
        <f t="shared" si="2"/>
        <v>0</v>
      </c>
      <c r="AK23" s="162">
        <f t="shared" si="2"/>
        <v>0</v>
      </c>
      <c r="AL23" s="162">
        <f t="shared" si="2"/>
        <v>0</v>
      </c>
      <c r="AM23" s="162">
        <f t="shared" si="2"/>
        <v>0</v>
      </c>
    </row>
    <row r="24" spans="2:39" s="25" customFormat="1" ht="14.25" customHeight="1">
      <c r="B24" s="154" t="s">
        <v>30</v>
      </c>
      <c r="C24" s="155">
        <f>'Daily &amp; Weekly Totals'!E29</f>
        <v>43938</v>
      </c>
      <c r="D24" s="160"/>
      <c r="E24" s="161">
        <f>IF(ISNUMBER('Staff Hours'!E24)=FALSE,0,(HLOOKUP(Budgets!$C24,'Store Details'!$F$25:$AU$26,2)/'Staff Hours'!$AN24*'Staff Hours'!E24))</f>
        <v>0</v>
      </c>
      <c r="F24" s="161">
        <f>IF(ISNUMBER('Staff Hours'!F24)=FALSE,0,(HLOOKUP(Budgets!$C24,'Store Details'!$F$25:$AU$26,2)/'Staff Hours'!$AN24*'Staff Hours'!F24))</f>
        <v>0</v>
      </c>
      <c r="G24" s="161">
        <f>IF(ISNUMBER('Staff Hours'!G24)=FALSE,0,(HLOOKUP(Budgets!$C24,'Store Details'!$F$25:$AU$26,2)/'Staff Hours'!$AN24*'Staff Hours'!G24))</f>
        <v>0</v>
      </c>
      <c r="H24" s="161">
        <f>IF(ISNUMBER('Staff Hours'!H24)=FALSE,0,(HLOOKUP(Budgets!$C24,'Store Details'!$F$25:$AU$26,2)/'Staff Hours'!$AN24*'Staff Hours'!H24))</f>
        <v>0</v>
      </c>
      <c r="I24" s="161">
        <f>IF(ISNUMBER('Staff Hours'!I24)=FALSE,0,(HLOOKUP(Budgets!$C24,'Store Details'!$F$25:$AU$26,2)/'Staff Hours'!$AN24*'Staff Hours'!I24))</f>
        <v>0</v>
      </c>
      <c r="J24" s="161">
        <f>IF(ISNUMBER('Staff Hours'!J24)=FALSE,0,(HLOOKUP(Budgets!$C24,'Store Details'!$F$25:$AU$26,2)/'Staff Hours'!$AN24*'Staff Hours'!J24))</f>
        <v>0</v>
      </c>
      <c r="K24" s="161">
        <f>IF(ISNUMBER('Staff Hours'!K24)=FALSE,0,(HLOOKUP(Budgets!$C24,'Store Details'!$F$25:$AU$26,2)/'Staff Hours'!$AN24*'Staff Hours'!K24))</f>
        <v>0</v>
      </c>
      <c r="L24" s="161">
        <f>IF(ISNUMBER('Staff Hours'!L24)=FALSE,0,(HLOOKUP(Budgets!$C24,'Store Details'!$F$25:$AU$26,2)/'Staff Hours'!$AN24*'Staff Hours'!L24))</f>
        <v>0</v>
      </c>
      <c r="M24" s="161">
        <f>IF(ISNUMBER('Staff Hours'!M24)=FALSE,0,(HLOOKUP(Budgets!$C24,'Store Details'!$F$25:$AU$26,2)/'Staff Hours'!$AN24*'Staff Hours'!M24))</f>
        <v>0</v>
      </c>
      <c r="N24" s="161">
        <f>IF(ISNUMBER('Staff Hours'!N24)=FALSE,0,(HLOOKUP(Budgets!$C24,'Store Details'!$F$25:$AU$26,2)/'Staff Hours'!$AN24*'Staff Hours'!N24))</f>
        <v>0</v>
      </c>
      <c r="O24" s="161">
        <f>IF(ISNUMBER('Staff Hours'!O24)=FALSE,0,(HLOOKUP(Budgets!$C24,'Store Details'!$F$25:$AU$26,2)/'Staff Hours'!$AN24*'Staff Hours'!O24))</f>
        <v>0</v>
      </c>
      <c r="P24" s="161">
        <f>IF(ISNUMBER('Staff Hours'!P24)=FALSE,0,(HLOOKUP(Budgets!$C24,'Store Details'!$F$25:$AU$26,2)/'Staff Hours'!$AN24*'Staff Hours'!P24))</f>
        <v>0</v>
      </c>
      <c r="Q24" s="161">
        <f>IF(ISNUMBER('Staff Hours'!Q24)=FALSE,0,(HLOOKUP(Budgets!$C24,'Store Details'!$F$25:$AU$26,2)/'Staff Hours'!$AN24*'Staff Hours'!Q24))</f>
        <v>0</v>
      </c>
      <c r="R24" s="161">
        <f>IF(ISNUMBER('Staff Hours'!R24)=FALSE,0,(HLOOKUP(Budgets!$C24,'Store Details'!$F$25:$AU$26,2)/'Staff Hours'!$AN24*'Staff Hours'!R24))</f>
        <v>0</v>
      </c>
      <c r="S24" s="161">
        <f>IF(ISNUMBER('Staff Hours'!S24)=FALSE,0,(HLOOKUP(Budgets!$C24,'Store Details'!$F$25:$AU$26,2)/'Staff Hours'!$AN24*'Staff Hours'!S24))</f>
        <v>0</v>
      </c>
      <c r="T24" s="161">
        <f>IF(ISNUMBER('Staff Hours'!T24)=FALSE,0,(HLOOKUP(Budgets!$C24,'Store Details'!$F$25:$AU$26,2)/'Staff Hours'!$AN24*'Staff Hours'!T24))</f>
        <v>0</v>
      </c>
      <c r="U24" s="161">
        <f>IF(ISNUMBER('Staff Hours'!U24)=FALSE,0,(HLOOKUP(Budgets!$C24,'Store Details'!$F$25:$AU$26,2)/'Staff Hours'!$AN24*'Staff Hours'!U24))</f>
        <v>0</v>
      </c>
      <c r="V24" s="161">
        <f>IF(ISNUMBER('Staff Hours'!V24)=FALSE,0,(HLOOKUP(Budgets!$C24,'Store Details'!$F$25:$AU$26,2)/'Staff Hours'!$AN24*'Staff Hours'!V24))</f>
        <v>0</v>
      </c>
      <c r="W24" s="161">
        <f>IF(ISNUMBER('Staff Hours'!W24)=FALSE,0,(HLOOKUP(Budgets!$C24,'Store Details'!$F$25:$AU$26,2)/'Staff Hours'!$AN24*'Staff Hours'!W24))</f>
        <v>0</v>
      </c>
      <c r="X24" s="161">
        <f>IF(ISNUMBER('Staff Hours'!X24)=FALSE,0,(HLOOKUP(Budgets!$C24,'Store Details'!$F$25:$AU$26,2)/'Staff Hours'!$AN24*'Staff Hours'!X24))</f>
        <v>0</v>
      </c>
      <c r="Y24" s="10"/>
      <c r="Z24" s="10"/>
      <c r="AA24" s="10"/>
      <c r="AB24" s="10"/>
      <c r="AC24" s="10"/>
      <c r="AD24" s="10"/>
      <c r="AE24" s="10"/>
      <c r="AF24" s="10"/>
      <c r="AG24" s="161" t="s">
        <v>163</v>
      </c>
      <c r="AI24" s="162">
        <f t="shared" si="2"/>
        <v>0</v>
      </c>
      <c r="AJ24" s="162">
        <f t="shared" si="2"/>
        <v>0</v>
      </c>
      <c r="AK24" s="162">
        <f t="shared" si="2"/>
        <v>0</v>
      </c>
      <c r="AL24" s="162">
        <f t="shared" si="2"/>
        <v>0</v>
      </c>
      <c r="AM24" s="162">
        <f t="shared" si="2"/>
        <v>0</v>
      </c>
    </row>
    <row r="25" spans="2:39" s="25" customFormat="1" ht="14.25" customHeight="1">
      <c r="B25" s="154" t="s">
        <v>31</v>
      </c>
      <c r="C25" s="155">
        <f>'Daily &amp; Weekly Totals'!E30</f>
        <v>43939</v>
      </c>
      <c r="D25" s="160"/>
      <c r="E25" s="161">
        <f>IF(ISNUMBER('Staff Hours'!E25)=FALSE,0,(HLOOKUP(Budgets!$C25,'Store Details'!$F$25:$AU$26,2)/'Staff Hours'!$AN25*'Staff Hours'!E25))</f>
        <v>0</v>
      </c>
      <c r="F25" s="161">
        <f>IF(ISNUMBER('Staff Hours'!F25)=FALSE,0,(HLOOKUP(Budgets!$C25,'Store Details'!$F$25:$AU$26,2)/'Staff Hours'!$AN25*'Staff Hours'!F25))</f>
        <v>0</v>
      </c>
      <c r="G25" s="161">
        <f>IF(ISNUMBER('Staff Hours'!G25)=FALSE,0,(HLOOKUP(Budgets!$C25,'Store Details'!$F$25:$AU$26,2)/'Staff Hours'!$AN25*'Staff Hours'!G25))</f>
        <v>0</v>
      </c>
      <c r="H25" s="161">
        <f>IF(ISNUMBER('Staff Hours'!H25)=FALSE,0,(HLOOKUP(Budgets!$C25,'Store Details'!$F$25:$AU$26,2)/'Staff Hours'!$AN25*'Staff Hours'!H25))</f>
        <v>0</v>
      </c>
      <c r="I25" s="161">
        <f>IF(ISNUMBER('Staff Hours'!I25)=FALSE,0,(HLOOKUP(Budgets!$C25,'Store Details'!$F$25:$AU$26,2)/'Staff Hours'!$AN25*'Staff Hours'!I25))</f>
        <v>0</v>
      </c>
      <c r="J25" s="161">
        <f>IF(ISNUMBER('Staff Hours'!J25)=FALSE,0,(HLOOKUP(Budgets!$C25,'Store Details'!$F$25:$AU$26,2)/'Staff Hours'!$AN25*'Staff Hours'!J25))</f>
        <v>0</v>
      </c>
      <c r="K25" s="161">
        <f>IF(ISNUMBER('Staff Hours'!K25)=FALSE,0,(HLOOKUP(Budgets!$C25,'Store Details'!$F$25:$AU$26,2)/'Staff Hours'!$AN25*'Staff Hours'!K25))</f>
        <v>0</v>
      </c>
      <c r="L25" s="161">
        <f>IF(ISNUMBER('Staff Hours'!L25)=FALSE,0,(HLOOKUP(Budgets!$C25,'Store Details'!$F$25:$AU$26,2)/'Staff Hours'!$AN25*'Staff Hours'!L25))</f>
        <v>0</v>
      </c>
      <c r="M25" s="161">
        <f>IF(ISNUMBER('Staff Hours'!M25)=FALSE,0,(HLOOKUP(Budgets!$C25,'Store Details'!$F$25:$AU$26,2)/'Staff Hours'!$AN25*'Staff Hours'!M25))</f>
        <v>0</v>
      </c>
      <c r="N25" s="161">
        <f>IF(ISNUMBER('Staff Hours'!N25)=FALSE,0,(HLOOKUP(Budgets!$C25,'Store Details'!$F$25:$AU$26,2)/'Staff Hours'!$AN25*'Staff Hours'!N25))</f>
        <v>0</v>
      </c>
      <c r="O25" s="161">
        <f>IF(ISNUMBER('Staff Hours'!O25)=FALSE,0,(HLOOKUP(Budgets!$C25,'Store Details'!$F$25:$AU$26,2)/'Staff Hours'!$AN25*'Staff Hours'!O25))</f>
        <v>0</v>
      </c>
      <c r="P25" s="161">
        <f>IF(ISNUMBER('Staff Hours'!P25)=FALSE,0,(HLOOKUP(Budgets!$C25,'Store Details'!$F$25:$AU$26,2)/'Staff Hours'!$AN25*'Staff Hours'!P25))</f>
        <v>0</v>
      </c>
      <c r="Q25" s="161">
        <f>IF(ISNUMBER('Staff Hours'!Q25)=FALSE,0,(HLOOKUP(Budgets!$C25,'Store Details'!$F$25:$AU$26,2)/'Staff Hours'!$AN25*'Staff Hours'!Q25))</f>
        <v>0</v>
      </c>
      <c r="R25" s="161">
        <f>IF(ISNUMBER('Staff Hours'!R25)=FALSE,0,(HLOOKUP(Budgets!$C25,'Store Details'!$F$25:$AU$26,2)/'Staff Hours'!$AN25*'Staff Hours'!R25))</f>
        <v>0</v>
      </c>
      <c r="S25" s="161">
        <f>IF(ISNUMBER('Staff Hours'!S25)=FALSE,0,(HLOOKUP(Budgets!$C25,'Store Details'!$F$25:$AU$26,2)/'Staff Hours'!$AN25*'Staff Hours'!S25))</f>
        <v>0</v>
      </c>
      <c r="T25" s="161">
        <f>IF(ISNUMBER('Staff Hours'!T25)=FALSE,0,(HLOOKUP(Budgets!$C25,'Store Details'!$F$25:$AU$26,2)/'Staff Hours'!$AN25*'Staff Hours'!T25))</f>
        <v>0</v>
      </c>
      <c r="U25" s="161">
        <f>IF(ISNUMBER('Staff Hours'!U25)=FALSE,0,(HLOOKUP(Budgets!$C25,'Store Details'!$F$25:$AU$26,2)/'Staff Hours'!$AN25*'Staff Hours'!U25))</f>
        <v>0</v>
      </c>
      <c r="V25" s="161">
        <f>IF(ISNUMBER('Staff Hours'!V25)=FALSE,0,(HLOOKUP(Budgets!$C25,'Store Details'!$F$25:$AU$26,2)/'Staff Hours'!$AN25*'Staff Hours'!V25))</f>
        <v>0</v>
      </c>
      <c r="W25" s="161">
        <f>IF(ISNUMBER('Staff Hours'!W25)=FALSE,0,(HLOOKUP(Budgets!$C25,'Store Details'!$F$25:$AU$26,2)/'Staff Hours'!$AN25*'Staff Hours'!W25))</f>
        <v>0</v>
      </c>
      <c r="X25" s="161">
        <f>IF(ISNUMBER('Staff Hours'!X25)=FALSE,0,(HLOOKUP(Budgets!$C25,'Store Details'!$F$25:$AU$26,2)/'Staff Hours'!$AN25*'Staff Hours'!X25))</f>
        <v>0</v>
      </c>
      <c r="Y25" s="10"/>
      <c r="Z25" s="10"/>
      <c r="AA25" s="10"/>
      <c r="AB25" s="10"/>
      <c r="AC25" s="10"/>
      <c r="AD25" s="10"/>
      <c r="AE25" s="10"/>
      <c r="AF25" s="10"/>
      <c r="AG25" s="161" t="s">
        <v>163</v>
      </c>
      <c r="AI25" s="162">
        <f t="shared" si="2"/>
        <v>0</v>
      </c>
      <c r="AJ25" s="162">
        <f t="shared" si="2"/>
        <v>0</v>
      </c>
      <c r="AK25" s="162">
        <f t="shared" si="2"/>
        <v>0</v>
      </c>
      <c r="AL25" s="162">
        <f t="shared" si="2"/>
        <v>0</v>
      </c>
      <c r="AM25" s="162">
        <f t="shared" si="2"/>
        <v>0</v>
      </c>
    </row>
    <row r="26" spans="2:39" s="25" customFormat="1" ht="14.25" customHeight="1">
      <c r="B26" s="154" t="s">
        <v>32</v>
      </c>
      <c r="C26" s="155">
        <f>'Daily &amp; Weekly Totals'!E31</f>
        <v>43940</v>
      </c>
      <c r="D26" s="160"/>
      <c r="E26" s="161">
        <f>IF(ISNUMBER('Staff Hours'!E26)=FALSE,0,(HLOOKUP(Budgets!$C26,'Store Details'!$F$25:$AU$26,2)/'Staff Hours'!$AN26*'Staff Hours'!E26))</f>
        <v>0</v>
      </c>
      <c r="F26" s="161">
        <f>IF(ISNUMBER('Staff Hours'!F26)=FALSE,0,(HLOOKUP(Budgets!$C26,'Store Details'!$F$25:$AU$26,2)/'Staff Hours'!$AN26*'Staff Hours'!F26))</f>
        <v>0</v>
      </c>
      <c r="G26" s="161">
        <f>IF(ISNUMBER('Staff Hours'!G26)=FALSE,0,(HLOOKUP(Budgets!$C26,'Store Details'!$F$25:$AU$26,2)/'Staff Hours'!$AN26*'Staff Hours'!G26))</f>
        <v>0</v>
      </c>
      <c r="H26" s="161">
        <f>IF(ISNUMBER('Staff Hours'!H26)=FALSE,0,(HLOOKUP(Budgets!$C26,'Store Details'!$F$25:$AU$26,2)/'Staff Hours'!$AN26*'Staff Hours'!H26))</f>
        <v>0</v>
      </c>
      <c r="I26" s="161">
        <f>IF(ISNUMBER('Staff Hours'!I26)=FALSE,0,(HLOOKUP(Budgets!$C26,'Store Details'!$F$25:$AU$26,2)/'Staff Hours'!$AN26*'Staff Hours'!I26))</f>
        <v>0</v>
      </c>
      <c r="J26" s="161">
        <f>IF(ISNUMBER('Staff Hours'!J26)=FALSE,0,(HLOOKUP(Budgets!$C26,'Store Details'!$F$25:$AU$26,2)/'Staff Hours'!$AN26*'Staff Hours'!J26))</f>
        <v>0</v>
      </c>
      <c r="K26" s="161">
        <f>IF(ISNUMBER('Staff Hours'!K26)=FALSE,0,(HLOOKUP(Budgets!$C26,'Store Details'!$F$25:$AU$26,2)/'Staff Hours'!$AN26*'Staff Hours'!K26))</f>
        <v>0</v>
      </c>
      <c r="L26" s="161">
        <f>IF(ISNUMBER('Staff Hours'!L26)=FALSE,0,(HLOOKUP(Budgets!$C26,'Store Details'!$F$25:$AU$26,2)/'Staff Hours'!$AN26*'Staff Hours'!L26))</f>
        <v>0</v>
      </c>
      <c r="M26" s="161">
        <f>IF(ISNUMBER('Staff Hours'!M26)=FALSE,0,(HLOOKUP(Budgets!$C26,'Store Details'!$F$25:$AU$26,2)/'Staff Hours'!$AN26*'Staff Hours'!M26))</f>
        <v>0</v>
      </c>
      <c r="N26" s="161">
        <f>IF(ISNUMBER('Staff Hours'!N26)=FALSE,0,(HLOOKUP(Budgets!$C26,'Store Details'!$F$25:$AU$26,2)/'Staff Hours'!$AN26*'Staff Hours'!N26))</f>
        <v>0</v>
      </c>
      <c r="O26" s="161">
        <f>IF(ISNUMBER('Staff Hours'!O26)=FALSE,0,(HLOOKUP(Budgets!$C26,'Store Details'!$F$25:$AU$26,2)/'Staff Hours'!$AN26*'Staff Hours'!O26))</f>
        <v>0</v>
      </c>
      <c r="P26" s="161">
        <f>IF(ISNUMBER('Staff Hours'!P26)=FALSE,0,(HLOOKUP(Budgets!$C26,'Store Details'!$F$25:$AU$26,2)/'Staff Hours'!$AN26*'Staff Hours'!P26))</f>
        <v>0</v>
      </c>
      <c r="Q26" s="161">
        <f>IF(ISNUMBER('Staff Hours'!Q26)=FALSE,0,(HLOOKUP(Budgets!$C26,'Store Details'!$F$25:$AU$26,2)/'Staff Hours'!$AN26*'Staff Hours'!Q26))</f>
        <v>0</v>
      </c>
      <c r="R26" s="161">
        <f>IF(ISNUMBER('Staff Hours'!R26)=FALSE,0,(HLOOKUP(Budgets!$C26,'Store Details'!$F$25:$AU$26,2)/'Staff Hours'!$AN26*'Staff Hours'!R26))</f>
        <v>0</v>
      </c>
      <c r="S26" s="161">
        <f>IF(ISNUMBER('Staff Hours'!S26)=FALSE,0,(HLOOKUP(Budgets!$C26,'Store Details'!$F$25:$AU$26,2)/'Staff Hours'!$AN26*'Staff Hours'!S26))</f>
        <v>0</v>
      </c>
      <c r="T26" s="161">
        <f>IF(ISNUMBER('Staff Hours'!T26)=FALSE,0,(HLOOKUP(Budgets!$C26,'Store Details'!$F$25:$AU$26,2)/'Staff Hours'!$AN26*'Staff Hours'!T26))</f>
        <v>0</v>
      </c>
      <c r="U26" s="161">
        <f>IF(ISNUMBER('Staff Hours'!U26)=FALSE,0,(HLOOKUP(Budgets!$C26,'Store Details'!$F$25:$AU$26,2)/'Staff Hours'!$AN26*'Staff Hours'!U26))</f>
        <v>0</v>
      </c>
      <c r="V26" s="161">
        <f>IF(ISNUMBER('Staff Hours'!V26)=FALSE,0,(HLOOKUP(Budgets!$C26,'Store Details'!$F$25:$AU$26,2)/'Staff Hours'!$AN26*'Staff Hours'!V26))</f>
        <v>0</v>
      </c>
      <c r="W26" s="161">
        <f>IF(ISNUMBER('Staff Hours'!W26)=FALSE,0,(HLOOKUP(Budgets!$C26,'Store Details'!$F$25:$AU$26,2)/'Staff Hours'!$AN26*'Staff Hours'!W26))</f>
        <v>0</v>
      </c>
      <c r="X26" s="161">
        <f>IF(ISNUMBER('Staff Hours'!X26)=FALSE,0,(HLOOKUP(Budgets!$C26,'Store Details'!$F$25:$AU$26,2)/'Staff Hours'!$AN26*'Staff Hours'!X26))</f>
        <v>0</v>
      </c>
      <c r="Y26" s="10"/>
      <c r="Z26" s="10"/>
      <c r="AA26" s="10"/>
      <c r="AB26" s="10"/>
      <c r="AC26" s="10"/>
      <c r="AD26" s="10"/>
      <c r="AE26" s="10"/>
      <c r="AF26" s="10"/>
      <c r="AG26" s="161" t="s">
        <v>163</v>
      </c>
      <c r="AI26" s="162">
        <f t="shared" si="2"/>
        <v>0</v>
      </c>
      <c r="AJ26" s="162">
        <f t="shared" si="2"/>
        <v>0</v>
      </c>
      <c r="AK26" s="162">
        <f t="shared" si="2"/>
        <v>0</v>
      </c>
      <c r="AL26" s="162">
        <f t="shared" si="2"/>
        <v>0</v>
      </c>
      <c r="AM26" s="162">
        <f t="shared" si="2"/>
        <v>0</v>
      </c>
    </row>
    <row r="27" spans="2:39" s="25" customFormat="1" ht="14.25" customHeight="1">
      <c r="B27" s="154" t="s">
        <v>26</v>
      </c>
      <c r="C27" s="155">
        <f>'Daily &amp; Weekly Totals'!E35</f>
        <v>43941</v>
      </c>
      <c r="D27" s="160"/>
      <c r="E27" s="161">
        <f>IF(ISNUMBER('Staff Hours'!E27)=FALSE,0,(HLOOKUP(Budgets!$C27,'Store Details'!$F$25:$AU$26,2)/'Staff Hours'!$AN27*'Staff Hours'!E27))</f>
        <v>0</v>
      </c>
      <c r="F27" s="161">
        <f>IF(ISNUMBER('Staff Hours'!F27)=FALSE,0,(HLOOKUP(Budgets!$C27,'Store Details'!$F$25:$AU$26,2)/'Staff Hours'!$AN27*'Staff Hours'!F27))</f>
        <v>0</v>
      </c>
      <c r="G27" s="161">
        <f>IF(ISNUMBER('Staff Hours'!G27)=FALSE,0,(HLOOKUP(Budgets!$C27,'Store Details'!$F$25:$AU$26,2)/'Staff Hours'!$AN27*'Staff Hours'!G27))</f>
        <v>0</v>
      </c>
      <c r="H27" s="161">
        <f>IF(ISNUMBER('Staff Hours'!H27)=FALSE,0,(HLOOKUP(Budgets!$C27,'Store Details'!$F$25:$AU$26,2)/'Staff Hours'!$AN27*'Staff Hours'!H27))</f>
        <v>0</v>
      </c>
      <c r="I27" s="161">
        <f>IF(ISNUMBER('Staff Hours'!I27)=FALSE,0,(HLOOKUP(Budgets!$C27,'Store Details'!$F$25:$AU$26,2)/'Staff Hours'!$AN27*'Staff Hours'!I27))</f>
        <v>0</v>
      </c>
      <c r="J27" s="161">
        <f>IF(ISNUMBER('Staff Hours'!J27)=FALSE,0,(HLOOKUP(Budgets!$C27,'Store Details'!$F$25:$AU$26,2)/'Staff Hours'!$AN27*'Staff Hours'!J27))</f>
        <v>0</v>
      </c>
      <c r="K27" s="161">
        <f>IF(ISNUMBER('Staff Hours'!K27)=FALSE,0,(HLOOKUP(Budgets!$C27,'Store Details'!$F$25:$AU$26,2)/'Staff Hours'!$AN27*'Staff Hours'!K27))</f>
        <v>0</v>
      </c>
      <c r="L27" s="161">
        <f>IF(ISNUMBER('Staff Hours'!L27)=FALSE,0,(HLOOKUP(Budgets!$C27,'Store Details'!$F$25:$AU$26,2)/'Staff Hours'!$AN27*'Staff Hours'!L27))</f>
        <v>0</v>
      </c>
      <c r="M27" s="161">
        <f>IF(ISNUMBER('Staff Hours'!M27)=FALSE,0,(HLOOKUP(Budgets!$C27,'Store Details'!$F$25:$AU$26,2)/'Staff Hours'!$AN27*'Staff Hours'!M27))</f>
        <v>0</v>
      </c>
      <c r="N27" s="161">
        <f>IF(ISNUMBER('Staff Hours'!N27)=FALSE,0,(HLOOKUP(Budgets!$C27,'Store Details'!$F$25:$AU$26,2)/'Staff Hours'!$AN27*'Staff Hours'!N27))</f>
        <v>0</v>
      </c>
      <c r="O27" s="161">
        <f>IF(ISNUMBER('Staff Hours'!O27)=FALSE,0,(HLOOKUP(Budgets!$C27,'Store Details'!$F$25:$AU$26,2)/'Staff Hours'!$AN27*'Staff Hours'!O27))</f>
        <v>0</v>
      </c>
      <c r="P27" s="161">
        <f>IF(ISNUMBER('Staff Hours'!P27)=FALSE,0,(HLOOKUP(Budgets!$C27,'Store Details'!$F$25:$AU$26,2)/'Staff Hours'!$AN27*'Staff Hours'!P27))</f>
        <v>0</v>
      </c>
      <c r="Q27" s="161">
        <f>IF(ISNUMBER('Staff Hours'!Q27)=FALSE,0,(HLOOKUP(Budgets!$C27,'Store Details'!$F$25:$AU$26,2)/'Staff Hours'!$AN27*'Staff Hours'!Q27))</f>
        <v>0</v>
      </c>
      <c r="R27" s="161">
        <f>IF(ISNUMBER('Staff Hours'!R27)=FALSE,0,(HLOOKUP(Budgets!$C27,'Store Details'!$F$25:$AU$26,2)/'Staff Hours'!$AN27*'Staff Hours'!R27))</f>
        <v>0</v>
      </c>
      <c r="S27" s="161">
        <f>IF(ISNUMBER('Staff Hours'!S27)=FALSE,0,(HLOOKUP(Budgets!$C27,'Store Details'!$F$25:$AU$26,2)/'Staff Hours'!$AN27*'Staff Hours'!S27))</f>
        <v>0</v>
      </c>
      <c r="T27" s="161">
        <f>IF(ISNUMBER('Staff Hours'!T27)=FALSE,0,(HLOOKUP(Budgets!$C27,'Store Details'!$F$25:$AU$26,2)/'Staff Hours'!$AN27*'Staff Hours'!T27))</f>
        <v>0</v>
      </c>
      <c r="U27" s="161">
        <f>IF(ISNUMBER('Staff Hours'!U27)=FALSE,0,(HLOOKUP(Budgets!$C27,'Store Details'!$F$25:$AU$26,2)/'Staff Hours'!$AN27*'Staff Hours'!U27))</f>
        <v>0</v>
      </c>
      <c r="V27" s="161">
        <f>IF(ISNUMBER('Staff Hours'!V27)=FALSE,0,(HLOOKUP(Budgets!$C27,'Store Details'!$F$25:$AU$26,2)/'Staff Hours'!$AN27*'Staff Hours'!V27))</f>
        <v>0</v>
      </c>
      <c r="W27" s="161">
        <f>IF(ISNUMBER('Staff Hours'!W27)=FALSE,0,(HLOOKUP(Budgets!$C27,'Store Details'!$F$25:$AU$26,2)/'Staff Hours'!$AN27*'Staff Hours'!W27))</f>
        <v>0</v>
      </c>
      <c r="X27" s="161">
        <f>IF(ISNUMBER('Staff Hours'!X27)=FALSE,0,(HLOOKUP(Budgets!$C27,'Store Details'!$F$25:$AU$26,2)/'Staff Hours'!$AN27*'Staff Hours'!X27))</f>
        <v>0</v>
      </c>
      <c r="Y27" s="10"/>
      <c r="Z27" s="10"/>
      <c r="AA27" s="10"/>
      <c r="AB27" s="10"/>
      <c r="AC27" s="10"/>
      <c r="AD27" s="10"/>
      <c r="AE27" s="10"/>
      <c r="AF27" s="10"/>
      <c r="AG27" s="161" t="s">
        <v>163</v>
      </c>
      <c r="AI27" s="162">
        <f t="shared" si="2"/>
        <v>0</v>
      </c>
      <c r="AJ27" s="162">
        <f t="shared" si="2"/>
        <v>0</v>
      </c>
      <c r="AK27" s="162">
        <f t="shared" si="2"/>
        <v>0</v>
      </c>
      <c r="AL27" s="162">
        <f t="shared" si="2"/>
        <v>0</v>
      </c>
      <c r="AM27" s="162">
        <f t="shared" si="2"/>
        <v>0</v>
      </c>
    </row>
    <row r="28" spans="2:39" s="25" customFormat="1" ht="14.25" customHeight="1">
      <c r="B28" s="154" t="s">
        <v>27</v>
      </c>
      <c r="C28" s="155">
        <f>'Daily &amp; Weekly Totals'!E36</f>
        <v>43942</v>
      </c>
      <c r="D28" s="160"/>
      <c r="E28" s="161">
        <f>IF(ISNUMBER('Staff Hours'!E28)=FALSE,0,(HLOOKUP(Budgets!$C28,'Store Details'!$F$25:$AU$26,2)/'Staff Hours'!$AN28*'Staff Hours'!E28))</f>
        <v>0</v>
      </c>
      <c r="F28" s="161">
        <f>IF(ISNUMBER('Staff Hours'!F28)=FALSE,0,(HLOOKUP(Budgets!$C28,'Store Details'!$F$25:$AU$26,2)/'Staff Hours'!$AN28*'Staff Hours'!F28))</f>
        <v>0</v>
      </c>
      <c r="G28" s="161">
        <f>IF(ISNUMBER('Staff Hours'!G28)=FALSE,0,(HLOOKUP(Budgets!$C28,'Store Details'!$F$25:$AU$26,2)/'Staff Hours'!$AN28*'Staff Hours'!G28))</f>
        <v>0</v>
      </c>
      <c r="H28" s="161">
        <f>IF(ISNUMBER('Staff Hours'!H28)=FALSE,0,(HLOOKUP(Budgets!$C28,'Store Details'!$F$25:$AU$26,2)/'Staff Hours'!$AN28*'Staff Hours'!H28))</f>
        <v>0</v>
      </c>
      <c r="I28" s="161">
        <f>IF(ISNUMBER('Staff Hours'!I28)=FALSE,0,(HLOOKUP(Budgets!$C28,'Store Details'!$F$25:$AU$26,2)/'Staff Hours'!$AN28*'Staff Hours'!I28))</f>
        <v>0</v>
      </c>
      <c r="J28" s="161">
        <f>IF(ISNUMBER('Staff Hours'!J28)=FALSE,0,(HLOOKUP(Budgets!$C28,'Store Details'!$F$25:$AU$26,2)/'Staff Hours'!$AN28*'Staff Hours'!J28))</f>
        <v>0</v>
      </c>
      <c r="K28" s="161">
        <f>IF(ISNUMBER('Staff Hours'!K28)=FALSE,0,(HLOOKUP(Budgets!$C28,'Store Details'!$F$25:$AU$26,2)/'Staff Hours'!$AN28*'Staff Hours'!K28))</f>
        <v>0</v>
      </c>
      <c r="L28" s="161">
        <f>IF(ISNUMBER('Staff Hours'!L28)=FALSE,0,(HLOOKUP(Budgets!$C28,'Store Details'!$F$25:$AU$26,2)/'Staff Hours'!$AN28*'Staff Hours'!L28))</f>
        <v>0</v>
      </c>
      <c r="M28" s="161">
        <f>IF(ISNUMBER('Staff Hours'!M28)=FALSE,0,(HLOOKUP(Budgets!$C28,'Store Details'!$F$25:$AU$26,2)/'Staff Hours'!$AN28*'Staff Hours'!M28))</f>
        <v>0</v>
      </c>
      <c r="N28" s="161">
        <f>IF(ISNUMBER('Staff Hours'!N28)=FALSE,0,(HLOOKUP(Budgets!$C28,'Store Details'!$F$25:$AU$26,2)/'Staff Hours'!$AN28*'Staff Hours'!N28))</f>
        <v>0</v>
      </c>
      <c r="O28" s="161">
        <f>IF(ISNUMBER('Staff Hours'!O28)=FALSE,0,(HLOOKUP(Budgets!$C28,'Store Details'!$F$25:$AU$26,2)/'Staff Hours'!$AN28*'Staff Hours'!O28))</f>
        <v>0</v>
      </c>
      <c r="P28" s="161">
        <f>IF(ISNUMBER('Staff Hours'!P28)=FALSE,0,(HLOOKUP(Budgets!$C28,'Store Details'!$F$25:$AU$26,2)/'Staff Hours'!$AN28*'Staff Hours'!P28))</f>
        <v>0</v>
      </c>
      <c r="Q28" s="161">
        <f>IF(ISNUMBER('Staff Hours'!Q28)=FALSE,0,(HLOOKUP(Budgets!$C28,'Store Details'!$F$25:$AU$26,2)/'Staff Hours'!$AN28*'Staff Hours'!Q28))</f>
        <v>0</v>
      </c>
      <c r="R28" s="161">
        <f>IF(ISNUMBER('Staff Hours'!R28)=FALSE,0,(HLOOKUP(Budgets!$C28,'Store Details'!$F$25:$AU$26,2)/'Staff Hours'!$AN28*'Staff Hours'!R28))</f>
        <v>0</v>
      </c>
      <c r="S28" s="161">
        <f>IF(ISNUMBER('Staff Hours'!S28)=FALSE,0,(HLOOKUP(Budgets!$C28,'Store Details'!$F$25:$AU$26,2)/'Staff Hours'!$AN28*'Staff Hours'!S28))</f>
        <v>0</v>
      </c>
      <c r="T28" s="161">
        <f>IF(ISNUMBER('Staff Hours'!T28)=FALSE,0,(HLOOKUP(Budgets!$C28,'Store Details'!$F$25:$AU$26,2)/'Staff Hours'!$AN28*'Staff Hours'!T28))</f>
        <v>0</v>
      </c>
      <c r="U28" s="161">
        <f>IF(ISNUMBER('Staff Hours'!U28)=FALSE,0,(HLOOKUP(Budgets!$C28,'Store Details'!$F$25:$AU$26,2)/'Staff Hours'!$AN28*'Staff Hours'!U28))</f>
        <v>0</v>
      </c>
      <c r="V28" s="161">
        <f>IF(ISNUMBER('Staff Hours'!V28)=FALSE,0,(HLOOKUP(Budgets!$C28,'Store Details'!$F$25:$AU$26,2)/'Staff Hours'!$AN28*'Staff Hours'!V28))</f>
        <v>0</v>
      </c>
      <c r="W28" s="161">
        <f>IF(ISNUMBER('Staff Hours'!W28)=FALSE,0,(HLOOKUP(Budgets!$C28,'Store Details'!$F$25:$AU$26,2)/'Staff Hours'!$AN28*'Staff Hours'!W28))</f>
        <v>0</v>
      </c>
      <c r="X28" s="161">
        <f>IF(ISNUMBER('Staff Hours'!X28)=FALSE,0,(HLOOKUP(Budgets!$C28,'Store Details'!$F$25:$AU$26,2)/'Staff Hours'!$AN28*'Staff Hours'!X28))</f>
        <v>0</v>
      </c>
      <c r="Y28" s="10"/>
      <c r="Z28" s="10"/>
      <c r="AA28" s="10"/>
      <c r="AB28" s="10"/>
      <c r="AC28" s="10"/>
      <c r="AD28" s="10"/>
      <c r="AE28" s="10"/>
      <c r="AF28" s="10"/>
      <c r="AG28" s="161" t="s">
        <v>163</v>
      </c>
      <c r="AI28" s="162">
        <f t="shared" si="2"/>
        <v>0</v>
      </c>
      <c r="AJ28" s="162">
        <f t="shared" si="2"/>
        <v>0</v>
      </c>
      <c r="AK28" s="162">
        <f t="shared" si="2"/>
        <v>0</v>
      </c>
      <c r="AL28" s="162">
        <f t="shared" si="2"/>
        <v>0</v>
      </c>
      <c r="AM28" s="162">
        <f t="shared" si="2"/>
        <v>0</v>
      </c>
    </row>
    <row r="29" spans="2:39" s="25" customFormat="1" ht="14.25" customHeight="1">
      <c r="B29" s="154" t="s">
        <v>28</v>
      </c>
      <c r="C29" s="155">
        <f>'Daily &amp; Weekly Totals'!E37</f>
        <v>43943</v>
      </c>
      <c r="D29" s="160"/>
      <c r="E29" s="161">
        <f>IF(ISNUMBER('Staff Hours'!E29)=FALSE,0,(HLOOKUP(Budgets!$C29,'Store Details'!$F$25:$AU$26,2)/'Staff Hours'!$AN29*'Staff Hours'!E29))</f>
        <v>0</v>
      </c>
      <c r="F29" s="161">
        <f>IF(ISNUMBER('Staff Hours'!F29)=FALSE,0,(HLOOKUP(Budgets!$C29,'Store Details'!$F$25:$AU$26,2)/'Staff Hours'!$AN29*'Staff Hours'!F29))</f>
        <v>0</v>
      </c>
      <c r="G29" s="161">
        <f>IF(ISNUMBER('Staff Hours'!G29)=FALSE,0,(HLOOKUP(Budgets!$C29,'Store Details'!$F$25:$AU$26,2)/'Staff Hours'!$AN29*'Staff Hours'!G29))</f>
        <v>0</v>
      </c>
      <c r="H29" s="161">
        <f>IF(ISNUMBER('Staff Hours'!H29)=FALSE,0,(HLOOKUP(Budgets!$C29,'Store Details'!$F$25:$AU$26,2)/'Staff Hours'!$AN29*'Staff Hours'!H29))</f>
        <v>0</v>
      </c>
      <c r="I29" s="161">
        <f>IF(ISNUMBER('Staff Hours'!I29)=FALSE,0,(HLOOKUP(Budgets!$C29,'Store Details'!$F$25:$AU$26,2)/'Staff Hours'!$AN29*'Staff Hours'!I29))</f>
        <v>0</v>
      </c>
      <c r="J29" s="161">
        <f>IF(ISNUMBER('Staff Hours'!J29)=FALSE,0,(HLOOKUP(Budgets!$C29,'Store Details'!$F$25:$AU$26,2)/'Staff Hours'!$AN29*'Staff Hours'!J29))</f>
        <v>0</v>
      </c>
      <c r="K29" s="161">
        <f>IF(ISNUMBER('Staff Hours'!K29)=FALSE,0,(HLOOKUP(Budgets!$C29,'Store Details'!$F$25:$AU$26,2)/'Staff Hours'!$AN29*'Staff Hours'!K29))</f>
        <v>0</v>
      </c>
      <c r="L29" s="161">
        <f>IF(ISNUMBER('Staff Hours'!L29)=FALSE,0,(HLOOKUP(Budgets!$C29,'Store Details'!$F$25:$AU$26,2)/'Staff Hours'!$AN29*'Staff Hours'!L29))</f>
        <v>0</v>
      </c>
      <c r="M29" s="161">
        <f>IF(ISNUMBER('Staff Hours'!M29)=FALSE,0,(HLOOKUP(Budgets!$C29,'Store Details'!$F$25:$AU$26,2)/'Staff Hours'!$AN29*'Staff Hours'!M29))</f>
        <v>0</v>
      </c>
      <c r="N29" s="161">
        <f>IF(ISNUMBER('Staff Hours'!N29)=FALSE,0,(HLOOKUP(Budgets!$C29,'Store Details'!$F$25:$AU$26,2)/'Staff Hours'!$AN29*'Staff Hours'!N29))</f>
        <v>0</v>
      </c>
      <c r="O29" s="161">
        <f>IF(ISNUMBER('Staff Hours'!O29)=FALSE,0,(HLOOKUP(Budgets!$C29,'Store Details'!$F$25:$AU$26,2)/'Staff Hours'!$AN29*'Staff Hours'!O29))</f>
        <v>0</v>
      </c>
      <c r="P29" s="161">
        <f>IF(ISNUMBER('Staff Hours'!P29)=FALSE,0,(HLOOKUP(Budgets!$C29,'Store Details'!$F$25:$AU$26,2)/'Staff Hours'!$AN29*'Staff Hours'!P29))</f>
        <v>0</v>
      </c>
      <c r="Q29" s="161">
        <f>IF(ISNUMBER('Staff Hours'!Q29)=FALSE,0,(HLOOKUP(Budgets!$C29,'Store Details'!$F$25:$AU$26,2)/'Staff Hours'!$AN29*'Staff Hours'!Q29))</f>
        <v>0</v>
      </c>
      <c r="R29" s="161">
        <f>IF(ISNUMBER('Staff Hours'!R29)=FALSE,0,(HLOOKUP(Budgets!$C29,'Store Details'!$F$25:$AU$26,2)/'Staff Hours'!$AN29*'Staff Hours'!R29))</f>
        <v>0</v>
      </c>
      <c r="S29" s="161">
        <f>IF(ISNUMBER('Staff Hours'!S29)=FALSE,0,(HLOOKUP(Budgets!$C29,'Store Details'!$F$25:$AU$26,2)/'Staff Hours'!$AN29*'Staff Hours'!S29))</f>
        <v>0</v>
      </c>
      <c r="T29" s="161">
        <f>IF(ISNUMBER('Staff Hours'!T29)=FALSE,0,(HLOOKUP(Budgets!$C29,'Store Details'!$F$25:$AU$26,2)/'Staff Hours'!$AN29*'Staff Hours'!T29))</f>
        <v>0</v>
      </c>
      <c r="U29" s="161">
        <f>IF(ISNUMBER('Staff Hours'!U29)=FALSE,0,(HLOOKUP(Budgets!$C29,'Store Details'!$F$25:$AU$26,2)/'Staff Hours'!$AN29*'Staff Hours'!U29))</f>
        <v>0</v>
      </c>
      <c r="V29" s="161">
        <f>IF(ISNUMBER('Staff Hours'!V29)=FALSE,0,(HLOOKUP(Budgets!$C29,'Store Details'!$F$25:$AU$26,2)/'Staff Hours'!$AN29*'Staff Hours'!V29))</f>
        <v>0</v>
      </c>
      <c r="W29" s="161">
        <f>IF(ISNUMBER('Staff Hours'!W29)=FALSE,0,(HLOOKUP(Budgets!$C29,'Store Details'!$F$25:$AU$26,2)/'Staff Hours'!$AN29*'Staff Hours'!W29))</f>
        <v>0</v>
      </c>
      <c r="X29" s="161">
        <f>IF(ISNUMBER('Staff Hours'!X29)=FALSE,0,(HLOOKUP(Budgets!$C29,'Store Details'!$F$25:$AU$26,2)/'Staff Hours'!$AN29*'Staff Hours'!X29))</f>
        <v>0</v>
      </c>
      <c r="Y29" s="10"/>
      <c r="Z29" s="10"/>
      <c r="AA29" s="10"/>
      <c r="AB29" s="10"/>
      <c r="AC29" s="10"/>
      <c r="AD29" s="10"/>
      <c r="AE29" s="10"/>
      <c r="AF29" s="10"/>
      <c r="AG29" s="161" t="s">
        <v>163</v>
      </c>
      <c r="AI29" s="162">
        <f t="shared" si="2"/>
        <v>0</v>
      </c>
      <c r="AJ29" s="162">
        <f t="shared" si="2"/>
        <v>0</v>
      </c>
      <c r="AK29" s="162">
        <f t="shared" si="2"/>
        <v>0</v>
      </c>
      <c r="AL29" s="162">
        <f t="shared" si="2"/>
        <v>0</v>
      </c>
      <c r="AM29" s="162">
        <f t="shared" si="2"/>
        <v>0</v>
      </c>
    </row>
    <row r="30" spans="2:39" s="25" customFormat="1" ht="14.25" customHeight="1">
      <c r="B30" s="154" t="s">
        <v>29</v>
      </c>
      <c r="C30" s="155">
        <f>'Daily &amp; Weekly Totals'!E38</f>
        <v>43944</v>
      </c>
      <c r="D30" s="160"/>
      <c r="E30" s="161">
        <f>IF(ISNUMBER('Staff Hours'!E30)=FALSE,0,(HLOOKUP(Budgets!$C30,'Store Details'!$F$25:$AU$26,2)/'Staff Hours'!$AN30*'Staff Hours'!E30))</f>
        <v>0</v>
      </c>
      <c r="F30" s="161">
        <f>IF(ISNUMBER('Staff Hours'!F30)=FALSE,0,(HLOOKUP(Budgets!$C30,'Store Details'!$F$25:$AU$26,2)/'Staff Hours'!$AN30*'Staff Hours'!F30))</f>
        <v>0</v>
      </c>
      <c r="G30" s="161">
        <f>IF(ISNUMBER('Staff Hours'!G30)=FALSE,0,(HLOOKUP(Budgets!$C30,'Store Details'!$F$25:$AU$26,2)/'Staff Hours'!$AN30*'Staff Hours'!G30))</f>
        <v>0</v>
      </c>
      <c r="H30" s="161">
        <f>IF(ISNUMBER('Staff Hours'!H30)=FALSE,0,(HLOOKUP(Budgets!$C30,'Store Details'!$F$25:$AU$26,2)/'Staff Hours'!$AN30*'Staff Hours'!H30))</f>
        <v>0</v>
      </c>
      <c r="I30" s="161">
        <f>IF(ISNUMBER('Staff Hours'!I30)=FALSE,0,(HLOOKUP(Budgets!$C30,'Store Details'!$F$25:$AU$26,2)/'Staff Hours'!$AN30*'Staff Hours'!I30))</f>
        <v>0</v>
      </c>
      <c r="J30" s="161">
        <f>IF(ISNUMBER('Staff Hours'!J30)=FALSE,0,(HLOOKUP(Budgets!$C30,'Store Details'!$F$25:$AU$26,2)/'Staff Hours'!$AN30*'Staff Hours'!J30))</f>
        <v>0</v>
      </c>
      <c r="K30" s="161">
        <f>IF(ISNUMBER('Staff Hours'!K30)=FALSE,0,(HLOOKUP(Budgets!$C30,'Store Details'!$F$25:$AU$26,2)/'Staff Hours'!$AN30*'Staff Hours'!K30))</f>
        <v>0</v>
      </c>
      <c r="L30" s="161">
        <f>IF(ISNUMBER('Staff Hours'!L30)=FALSE,0,(HLOOKUP(Budgets!$C30,'Store Details'!$F$25:$AU$26,2)/'Staff Hours'!$AN30*'Staff Hours'!L30))</f>
        <v>0</v>
      </c>
      <c r="M30" s="161">
        <f>IF(ISNUMBER('Staff Hours'!M30)=FALSE,0,(HLOOKUP(Budgets!$C30,'Store Details'!$F$25:$AU$26,2)/'Staff Hours'!$AN30*'Staff Hours'!M30))</f>
        <v>0</v>
      </c>
      <c r="N30" s="161">
        <f>IF(ISNUMBER('Staff Hours'!N30)=FALSE,0,(HLOOKUP(Budgets!$C30,'Store Details'!$F$25:$AU$26,2)/'Staff Hours'!$AN30*'Staff Hours'!N30))</f>
        <v>0</v>
      </c>
      <c r="O30" s="161">
        <f>IF(ISNUMBER('Staff Hours'!O30)=FALSE,0,(HLOOKUP(Budgets!$C30,'Store Details'!$F$25:$AU$26,2)/'Staff Hours'!$AN30*'Staff Hours'!O30))</f>
        <v>0</v>
      </c>
      <c r="P30" s="161">
        <f>IF(ISNUMBER('Staff Hours'!P30)=FALSE,0,(HLOOKUP(Budgets!$C30,'Store Details'!$F$25:$AU$26,2)/'Staff Hours'!$AN30*'Staff Hours'!P30))</f>
        <v>0</v>
      </c>
      <c r="Q30" s="161">
        <f>IF(ISNUMBER('Staff Hours'!Q30)=FALSE,0,(HLOOKUP(Budgets!$C30,'Store Details'!$F$25:$AU$26,2)/'Staff Hours'!$AN30*'Staff Hours'!Q30))</f>
        <v>0</v>
      </c>
      <c r="R30" s="161">
        <f>IF(ISNUMBER('Staff Hours'!R30)=FALSE,0,(HLOOKUP(Budgets!$C30,'Store Details'!$F$25:$AU$26,2)/'Staff Hours'!$AN30*'Staff Hours'!R30))</f>
        <v>0</v>
      </c>
      <c r="S30" s="161">
        <f>IF(ISNUMBER('Staff Hours'!S30)=FALSE,0,(HLOOKUP(Budgets!$C30,'Store Details'!$F$25:$AU$26,2)/'Staff Hours'!$AN30*'Staff Hours'!S30))</f>
        <v>0</v>
      </c>
      <c r="T30" s="161">
        <f>IF(ISNUMBER('Staff Hours'!T30)=FALSE,0,(HLOOKUP(Budgets!$C30,'Store Details'!$F$25:$AU$26,2)/'Staff Hours'!$AN30*'Staff Hours'!T30))</f>
        <v>0</v>
      </c>
      <c r="U30" s="161">
        <f>IF(ISNUMBER('Staff Hours'!U30)=FALSE,0,(HLOOKUP(Budgets!$C30,'Store Details'!$F$25:$AU$26,2)/'Staff Hours'!$AN30*'Staff Hours'!U30))</f>
        <v>0</v>
      </c>
      <c r="V30" s="161">
        <f>IF(ISNUMBER('Staff Hours'!V30)=FALSE,0,(HLOOKUP(Budgets!$C30,'Store Details'!$F$25:$AU$26,2)/'Staff Hours'!$AN30*'Staff Hours'!V30))</f>
        <v>0</v>
      </c>
      <c r="W30" s="161">
        <f>IF(ISNUMBER('Staff Hours'!W30)=FALSE,0,(HLOOKUP(Budgets!$C30,'Store Details'!$F$25:$AU$26,2)/'Staff Hours'!$AN30*'Staff Hours'!W30))</f>
        <v>0</v>
      </c>
      <c r="X30" s="161">
        <f>IF(ISNUMBER('Staff Hours'!X30)=FALSE,0,(HLOOKUP(Budgets!$C30,'Store Details'!$F$25:$AU$26,2)/'Staff Hours'!$AN30*'Staff Hours'!X30))</f>
        <v>0</v>
      </c>
      <c r="Y30" s="10"/>
      <c r="Z30" s="10"/>
      <c r="AA30" s="10"/>
      <c r="AB30" s="10"/>
      <c r="AC30" s="10"/>
      <c r="AD30" s="10"/>
      <c r="AE30" s="10"/>
      <c r="AF30" s="10"/>
      <c r="AG30" s="161" t="s">
        <v>163</v>
      </c>
      <c r="AI30" s="162">
        <f t="shared" si="2"/>
        <v>0</v>
      </c>
      <c r="AJ30" s="162">
        <f t="shared" si="2"/>
        <v>0</v>
      </c>
      <c r="AK30" s="162">
        <f t="shared" si="2"/>
        <v>0</v>
      </c>
      <c r="AL30" s="162">
        <f t="shared" si="2"/>
        <v>0</v>
      </c>
      <c r="AM30" s="162">
        <f t="shared" si="2"/>
        <v>0</v>
      </c>
    </row>
    <row r="31" spans="2:39" s="25" customFormat="1" ht="14.25" customHeight="1">
      <c r="B31" s="154" t="s">
        <v>30</v>
      </c>
      <c r="C31" s="155">
        <f>'Daily &amp; Weekly Totals'!E39</f>
        <v>43945</v>
      </c>
      <c r="D31" s="160"/>
      <c r="E31" s="161">
        <f>IF(ISNUMBER('Staff Hours'!E31)=FALSE,0,(HLOOKUP(Budgets!$C31,'Store Details'!$F$25:$AU$26,2)/'Staff Hours'!$AN31*'Staff Hours'!E31))</f>
        <v>0</v>
      </c>
      <c r="F31" s="161">
        <f>IF(ISNUMBER('Staff Hours'!F31)=FALSE,0,(HLOOKUP(Budgets!$C31,'Store Details'!$F$25:$AU$26,2)/'Staff Hours'!$AN31*'Staff Hours'!F31))</f>
        <v>0</v>
      </c>
      <c r="G31" s="161">
        <f>IF(ISNUMBER('Staff Hours'!G31)=FALSE,0,(HLOOKUP(Budgets!$C31,'Store Details'!$F$25:$AU$26,2)/'Staff Hours'!$AN31*'Staff Hours'!G31))</f>
        <v>0</v>
      </c>
      <c r="H31" s="161">
        <f>IF(ISNUMBER('Staff Hours'!H31)=FALSE,0,(HLOOKUP(Budgets!$C31,'Store Details'!$F$25:$AU$26,2)/'Staff Hours'!$AN31*'Staff Hours'!H31))</f>
        <v>0</v>
      </c>
      <c r="I31" s="161">
        <f>IF(ISNUMBER('Staff Hours'!I31)=FALSE,0,(HLOOKUP(Budgets!$C31,'Store Details'!$F$25:$AU$26,2)/'Staff Hours'!$AN31*'Staff Hours'!I31))</f>
        <v>0</v>
      </c>
      <c r="J31" s="161">
        <f>IF(ISNUMBER('Staff Hours'!J31)=FALSE,0,(HLOOKUP(Budgets!$C31,'Store Details'!$F$25:$AU$26,2)/'Staff Hours'!$AN31*'Staff Hours'!J31))</f>
        <v>0</v>
      </c>
      <c r="K31" s="161">
        <f>IF(ISNUMBER('Staff Hours'!K31)=FALSE,0,(HLOOKUP(Budgets!$C31,'Store Details'!$F$25:$AU$26,2)/'Staff Hours'!$AN31*'Staff Hours'!K31))</f>
        <v>0</v>
      </c>
      <c r="L31" s="161">
        <f>IF(ISNUMBER('Staff Hours'!L31)=FALSE,0,(HLOOKUP(Budgets!$C31,'Store Details'!$F$25:$AU$26,2)/'Staff Hours'!$AN31*'Staff Hours'!L31))</f>
        <v>0</v>
      </c>
      <c r="M31" s="161">
        <f>IF(ISNUMBER('Staff Hours'!M31)=FALSE,0,(HLOOKUP(Budgets!$C31,'Store Details'!$F$25:$AU$26,2)/'Staff Hours'!$AN31*'Staff Hours'!M31))</f>
        <v>0</v>
      </c>
      <c r="N31" s="161">
        <f>IF(ISNUMBER('Staff Hours'!N31)=FALSE,0,(HLOOKUP(Budgets!$C31,'Store Details'!$F$25:$AU$26,2)/'Staff Hours'!$AN31*'Staff Hours'!N31))</f>
        <v>0</v>
      </c>
      <c r="O31" s="161">
        <f>IF(ISNUMBER('Staff Hours'!O31)=FALSE,0,(HLOOKUP(Budgets!$C31,'Store Details'!$F$25:$AU$26,2)/'Staff Hours'!$AN31*'Staff Hours'!O31))</f>
        <v>0</v>
      </c>
      <c r="P31" s="161">
        <f>IF(ISNUMBER('Staff Hours'!P31)=FALSE,0,(HLOOKUP(Budgets!$C31,'Store Details'!$F$25:$AU$26,2)/'Staff Hours'!$AN31*'Staff Hours'!P31))</f>
        <v>0</v>
      </c>
      <c r="Q31" s="161">
        <f>IF(ISNUMBER('Staff Hours'!Q31)=FALSE,0,(HLOOKUP(Budgets!$C31,'Store Details'!$F$25:$AU$26,2)/'Staff Hours'!$AN31*'Staff Hours'!Q31))</f>
        <v>0</v>
      </c>
      <c r="R31" s="161">
        <f>IF(ISNUMBER('Staff Hours'!R31)=FALSE,0,(HLOOKUP(Budgets!$C31,'Store Details'!$F$25:$AU$26,2)/'Staff Hours'!$AN31*'Staff Hours'!R31))</f>
        <v>0</v>
      </c>
      <c r="S31" s="161">
        <f>IF(ISNUMBER('Staff Hours'!S31)=FALSE,0,(HLOOKUP(Budgets!$C31,'Store Details'!$F$25:$AU$26,2)/'Staff Hours'!$AN31*'Staff Hours'!S31))</f>
        <v>0</v>
      </c>
      <c r="T31" s="161">
        <f>IF(ISNUMBER('Staff Hours'!T31)=FALSE,0,(HLOOKUP(Budgets!$C31,'Store Details'!$F$25:$AU$26,2)/'Staff Hours'!$AN31*'Staff Hours'!T31))</f>
        <v>0</v>
      </c>
      <c r="U31" s="161">
        <f>IF(ISNUMBER('Staff Hours'!U31)=FALSE,0,(HLOOKUP(Budgets!$C31,'Store Details'!$F$25:$AU$26,2)/'Staff Hours'!$AN31*'Staff Hours'!U31))</f>
        <v>0</v>
      </c>
      <c r="V31" s="161">
        <f>IF(ISNUMBER('Staff Hours'!V31)=FALSE,0,(HLOOKUP(Budgets!$C31,'Store Details'!$F$25:$AU$26,2)/'Staff Hours'!$AN31*'Staff Hours'!V31))</f>
        <v>0</v>
      </c>
      <c r="W31" s="161">
        <f>IF(ISNUMBER('Staff Hours'!W31)=FALSE,0,(HLOOKUP(Budgets!$C31,'Store Details'!$F$25:$AU$26,2)/'Staff Hours'!$AN31*'Staff Hours'!W31))</f>
        <v>0</v>
      </c>
      <c r="X31" s="161">
        <f>IF(ISNUMBER('Staff Hours'!X31)=FALSE,0,(HLOOKUP(Budgets!$C31,'Store Details'!$F$25:$AU$26,2)/'Staff Hours'!$AN31*'Staff Hours'!X31))</f>
        <v>0</v>
      </c>
      <c r="Y31" s="10"/>
      <c r="Z31" s="10"/>
      <c r="AA31" s="10"/>
      <c r="AB31" s="10"/>
      <c r="AC31" s="10"/>
      <c r="AD31" s="10"/>
      <c r="AE31" s="10"/>
      <c r="AF31" s="10"/>
      <c r="AG31" s="161" t="s">
        <v>163</v>
      </c>
      <c r="AI31" s="162">
        <f t="shared" si="2"/>
        <v>0</v>
      </c>
      <c r="AJ31" s="162">
        <f t="shared" si="2"/>
        <v>0</v>
      </c>
      <c r="AK31" s="162">
        <f t="shared" si="2"/>
        <v>0</v>
      </c>
      <c r="AL31" s="162">
        <f t="shared" si="2"/>
        <v>0</v>
      </c>
      <c r="AM31" s="162">
        <f t="shared" si="2"/>
        <v>0</v>
      </c>
    </row>
    <row r="32" spans="2:39" s="25" customFormat="1" ht="14.25" customHeight="1">
      <c r="B32" s="154" t="s">
        <v>31</v>
      </c>
      <c r="C32" s="155">
        <f>'Daily &amp; Weekly Totals'!E40</f>
        <v>43946</v>
      </c>
      <c r="D32" s="160"/>
      <c r="E32" s="161">
        <f>IF(ISNUMBER('Staff Hours'!E32)=FALSE,0,(HLOOKUP(Budgets!$C32,'Store Details'!$F$25:$AU$26,2)/'Staff Hours'!$AN32*'Staff Hours'!E32))</f>
        <v>0</v>
      </c>
      <c r="F32" s="161">
        <f>IF(ISNUMBER('Staff Hours'!F32)=FALSE,0,(HLOOKUP(Budgets!$C32,'Store Details'!$F$25:$AU$26,2)/'Staff Hours'!$AN32*'Staff Hours'!F32))</f>
        <v>0</v>
      </c>
      <c r="G32" s="161">
        <f>IF(ISNUMBER('Staff Hours'!G32)=FALSE,0,(HLOOKUP(Budgets!$C32,'Store Details'!$F$25:$AU$26,2)/'Staff Hours'!$AN32*'Staff Hours'!G32))</f>
        <v>0</v>
      </c>
      <c r="H32" s="161">
        <f>IF(ISNUMBER('Staff Hours'!H32)=FALSE,0,(HLOOKUP(Budgets!$C32,'Store Details'!$F$25:$AU$26,2)/'Staff Hours'!$AN32*'Staff Hours'!H32))</f>
        <v>0</v>
      </c>
      <c r="I32" s="161">
        <f>IF(ISNUMBER('Staff Hours'!I32)=FALSE,0,(HLOOKUP(Budgets!$C32,'Store Details'!$F$25:$AU$26,2)/'Staff Hours'!$AN32*'Staff Hours'!I32))</f>
        <v>0</v>
      </c>
      <c r="J32" s="161">
        <f>IF(ISNUMBER('Staff Hours'!J32)=FALSE,0,(HLOOKUP(Budgets!$C32,'Store Details'!$F$25:$AU$26,2)/'Staff Hours'!$AN32*'Staff Hours'!J32))</f>
        <v>0</v>
      </c>
      <c r="K32" s="161">
        <f>IF(ISNUMBER('Staff Hours'!K32)=FALSE,0,(HLOOKUP(Budgets!$C32,'Store Details'!$F$25:$AU$26,2)/'Staff Hours'!$AN32*'Staff Hours'!K32))</f>
        <v>0</v>
      </c>
      <c r="L32" s="161">
        <f>IF(ISNUMBER('Staff Hours'!L32)=FALSE,0,(HLOOKUP(Budgets!$C32,'Store Details'!$F$25:$AU$26,2)/'Staff Hours'!$AN32*'Staff Hours'!L32))</f>
        <v>0</v>
      </c>
      <c r="M32" s="161">
        <f>IF(ISNUMBER('Staff Hours'!M32)=FALSE,0,(HLOOKUP(Budgets!$C32,'Store Details'!$F$25:$AU$26,2)/'Staff Hours'!$AN32*'Staff Hours'!M32))</f>
        <v>0</v>
      </c>
      <c r="N32" s="161">
        <f>IF(ISNUMBER('Staff Hours'!N32)=FALSE,0,(HLOOKUP(Budgets!$C32,'Store Details'!$F$25:$AU$26,2)/'Staff Hours'!$AN32*'Staff Hours'!N32))</f>
        <v>0</v>
      </c>
      <c r="O32" s="161">
        <f>IF(ISNUMBER('Staff Hours'!O32)=FALSE,0,(HLOOKUP(Budgets!$C32,'Store Details'!$F$25:$AU$26,2)/'Staff Hours'!$AN32*'Staff Hours'!O32))</f>
        <v>0</v>
      </c>
      <c r="P32" s="161">
        <f>IF(ISNUMBER('Staff Hours'!P32)=FALSE,0,(HLOOKUP(Budgets!$C32,'Store Details'!$F$25:$AU$26,2)/'Staff Hours'!$AN32*'Staff Hours'!P32))</f>
        <v>0</v>
      </c>
      <c r="Q32" s="161">
        <f>IF(ISNUMBER('Staff Hours'!Q32)=FALSE,0,(HLOOKUP(Budgets!$C32,'Store Details'!$F$25:$AU$26,2)/'Staff Hours'!$AN32*'Staff Hours'!Q32))</f>
        <v>0</v>
      </c>
      <c r="R32" s="161">
        <f>IF(ISNUMBER('Staff Hours'!R32)=FALSE,0,(HLOOKUP(Budgets!$C32,'Store Details'!$F$25:$AU$26,2)/'Staff Hours'!$AN32*'Staff Hours'!R32))</f>
        <v>0</v>
      </c>
      <c r="S32" s="161">
        <f>IF(ISNUMBER('Staff Hours'!S32)=FALSE,0,(HLOOKUP(Budgets!$C32,'Store Details'!$F$25:$AU$26,2)/'Staff Hours'!$AN32*'Staff Hours'!S32))</f>
        <v>0</v>
      </c>
      <c r="T32" s="161">
        <f>IF(ISNUMBER('Staff Hours'!T32)=FALSE,0,(HLOOKUP(Budgets!$C32,'Store Details'!$F$25:$AU$26,2)/'Staff Hours'!$AN32*'Staff Hours'!T32))</f>
        <v>0</v>
      </c>
      <c r="U32" s="161">
        <f>IF(ISNUMBER('Staff Hours'!U32)=FALSE,0,(HLOOKUP(Budgets!$C32,'Store Details'!$F$25:$AU$26,2)/'Staff Hours'!$AN32*'Staff Hours'!U32))</f>
        <v>0</v>
      </c>
      <c r="V32" s="161">
        <f>IF(ISNUMBER('Staff Hours'!V32)=FALSE,0,(HLOOKUP(Budgets!$C32,'Store Details'!$F$25:$AU$26,2)/'Staff Hours'!$AN32*'Staff Hours'!V32))</f>
        <v>0</v>
      </c>
      <c r="W32" s="161">
        <f>IF(ISNUMBER('Staff Hours'!W32)=FALSE,0,(HLOOKUP(Budgets!$C32,'Store Details'!$F$25:$AU$26,2)/'Staff Hours'!$AN32*'Staff Hours'!W32))</f>
        <v>0</v>
      </c>
      <c r="X32" s="161">
        <f>IF(ISNUMBER('Staff Hours'!X32)=FALSE,0,(HLOOKUP(Budgets!$C32,'Store Details'!$F$25:$AU$26,2)/'Staff Hours'!$AN32*'Staff Hours'!X32))</f>
        <v>0</v>
      </c>
      <c r="Y32" s="10"/>
      <c r="Z32" s="10"/>
      <c r="AA32" s="10"/>
      <c r="AB32" s="10"/>
      <c r="AC32" s="10"/>
      <c r="AD32" s="10"/>
      <c r="AE32" s="10"/>
      <c r="AF32" s="10"/>
      <c r="AG32" s="161" t="s">
        <v>163</v>
      </c>
      <c r="AI32" s="162">
        <f t="shared" si="2"/>
        <v>0</v>
      </c>
      <c r="AJ32" s="162">
        <f t="shared" si="2"/>
        <v>0</v>
      </c>
      <c r="AK32" s="162">
        <f t="shared" si="2"/>
        <v>0</v>
      </c>
      <c r="AL32" s="162">
        <f t="shared" si="2"/>
        <v>0</v>
      </c>
      <c r="AM32" s="162">
        <f t="shared" si="2"/>
        <v>0</v>
      </c>
    </row>
    <row r="33" spans="2:39" s="25" customFormat="1" ht="14.25" customHeight="1">
      <c r="B33" s="154" t="s">
        <v>32</v>
      </c>
      <c r="C33" s="155">
        <f>'Daily &amp; Weekly Totals'!E41</f>
        <v>43947</v>
      </c>
      <c r="D33" s="160"/>
      <c r="E33" s="161">
        <f>IF(ISNUMBER('Staff Hours'!E33)=FALSE,0,(HLOOKUP(Budgets!$C33,'Store Details'!$F$25:$AU$26,2)/'Staff Hours'!$AN33*'Staff Hours'!E33))</f>
        <v>0</v>
      </c>
      <c r="F33" s="161">
        <f>IF(ISNUMBER('Staff Hours'!F33)=FALSE,0,(HLOOKUP(Budgets!$C33,'Store Details'!$F$25:$AU$26,2)/'Staff Hours'!$AN33*'Staff Hours'!F33))</f>
        <v>0</v>
      </c>
      <c r="G33" s="161">
        <f>IF(ISNUMBER('Staff Hours'!G33)=FALSE,0,(HLOOKUP(Budgets!$C33,'Store Details'!$F$25:$AU$26,2)/'Staff Hours'!$AN33*'Staff Hours'!G33))</f>
        <v>0</v>
      </c>
      <c r="H33" s="161">
        <f>IF(ISNUMBER('Staff Hours'!H33)=FALSE,0,(HLOOKUP(Budgets!$C33,'Store Details'!$F$25:$AU$26,2)/'Staff Hours'!$AN33*'Staff Hours'!H33))</f>
        <v>0</v>
      </c>
      <c r="I33" s="161">
        <f>IF(ISNUMBER('Staff Hours'!I33)=FALSE,0,(HLOOKUP(Budgets!$C33,'Store Details'!$F$25:$AU$26,2)/'Staff Hours'!$AN33*'Staff Hours'!I33))</f>
        <v>0</v>
      </c>
      <c r="J33" s="161">
        <f>IF(ISNUMBER('Staff Hours'!J33)=FALSE,0,(HLOOKUP(Budgets!$C33,'Store Details'!$F$25:$AU$26,2)/'Staff Hours'!$AN33*'Staff Hours'!J33))</f>
        <v>0</v>
      </c>
      <c r="K33" s="161">
        <f>IF(ISNUMBER('Staff Hours'!K33)=FALSE,0,(HLOOKUP(Budgets!$C33,'Store Details'!$F$25:$AU$26,2)/'Staff Hours'!$AN33*'Staff Hours'!K33))</f>
        <v>0</v>
      </c>
      <c r="L33" s="161">
        <f>IF(ISNUMBER('Staff Hours'!L33)=FALSE,0,(HLOOKUP(Budgets!$C33,'Store Details'!$F$25:$AU$26,2)/'Staff Hours'!$AN33*'Staff Hours'!L33))</f>
        <v>0</v>
      </c>
      <c r="M33" s="161">
        <f>IF(ISNUMBER('Staff Hours'!M33)=FALSE,0,(HLOOKUP(Budgets!$C33,'Store Details'!$F$25:$AU$26,2)/'Staff Hours'!$AN33*'Staff Hours'!M33))</f>
        <v>0</v>
      </c>
      <c r="N33" s="161">
        <f>IF(ISNUMBER('Staff Hours'!N33)=FALSE,0,(HLOOKUP(Budgets!$C33,'Store Details'!$F$25:$AU$26,2)/'Staff Hours'!$AN33*'Staff Hours'!N33))</f>
        <v>0</v>
      </c>
      <c r="O33" s="161">
        <f>IF(ISNUMBER('Staff Hours'!O33)=FALSE,0,(HLOOKUP(Budgets!$C33,'Store Details'!$F$25:$AU$26,2)/'Staff Hours'!$AN33*'Staff Hours'!O33))</f>
        <v>0</v>
      </c>
      <c r="P33" s="161">
        <f>IF(ISNUMBER('Staff Hours'!P33)=FALSE,0,(HLOOKUP(Budgets!$C33,'Store Details'!$F$25:$AU$26,2)/'Staff Hours'!$AN33*'Staff Hours'!P33))</f>
        <v>0</v>
      </c>
      <c r="Q33" s="161">
        <f>IF(ISNUMBER('Staff Hours'!Q33)=FALSE,0,(HLOOKUP(Budgets!$C33,'Store Details'!$F$25:$AU$26,2)/'Staff Hours'!$AN33*'Staff Hours'!Q33))</f>
        <v>0</v>
      </c>
      <c r="R33" s="161">
        <f>IF(ISNUMBER('Staff Hours'!R33)=FALSE,0,(HLOOKUP(Budgets!$C33,'Store Details'!$F$25:$AU$26,2)/'Staff Hours'!$AN33*'Staff Hours'!R33))</f>
        <v>0</v>
      </c>
      <c r="S33" s="161">
        <f>IF(ISNUMBER('Staff Hours'!S33)=FALSE,0,(HLOOKUP(Budgets!$C33,'Store Details'!$F$25:$AU$26,2)/'Staff Hours'!$AN33*'Staff Hours'!S33))</f>
        <v>0</v>
      </c>
      <c r="T33" s="161">
        <f>IF(ISNUMBER('Staff Hours'!T33)=FALSE,0,(HLOOKUP(Budgets!$C33,'Store Details'!$F$25:$AU$26,2)/'Staff Hours'!$AN33*'Staff Hours'!T33))</f>
        <v>0</v>
      </c>
      <c r="U33" s="161">
        <f>IF(ISNUMBER('Staff Hours'!U33)=FALSE,0,(HLOOKUP(Budgets!$C33,'Store Details'!$F$25:$AU$26,2)/'Staff Hours'!$AN33*'Staff Hours'!U33))</f>
        <v>0</v>
      </c>
      <c r="V33" s="161">
        <f>IF(ISNUMBER('Staff Hours'!V33)=FALSE,0,(HLOOKUP(Budgets!$C33,'Store Details'!$F$25:$AU$26,2)/'Staff Hours'!$AN33*'Staff Hours'!V33))</f>
        <v>0</v>
      </c>
      <c r="W33" s="161">
        <f>IF(ISNUMBER('Staff Hours'!W33)=FALSE,0,(HLOOKUP(Budgets!$C33,'Store Details'!$F$25:$AU$26,2)/'Staff Hours'!$AN33*'Staff Hours'!W33))</f>
        <v>0</v>
      </c>
      <c r="X33" s="161">
        <f>IF(ISNUMBER('Staff Hours'!X33)=FALSE,0,(HLOOKUP(Budgets!$C33,'Store Details'!$F$25:$AU$26,2)/'Staff Hours'!$AN33*'Staff Hours'!X33))</f>
        <v>0</v>
      </c>
      <c r="Y33" s="10"/>
      <c r="Z33" s="10"/>
      <c r="AA33" s="10"/>
      <c r="AB33" s="10"/>
      <c r="AC33" s="10"/>
      <c r="AD33" s="10"/>
      <c r="AE33" s="10"/>
      <c r="AF33" s="10"/>
      <c r="AG33" s="161" t="s">
        <v>163</v>
      </c>
      <c r="AI33" s="162">
        <f t="shared" si="2"/>
        <v>0</v>
      </c>
      <c r="AJ33" s="162">
        <f t="shared" si="2"/>
        <v>0</v>
      </c>
      <c r="AK33" s="162">
        <f t="shared" si="2"/>
        <v>0</v>
      </c>
      <c r="AL33" s="162">
        <f t="shared" si="2"/>
        <v>0</v>
      </c>
      <c r="AM33" s="162">
        <f t="shared" si="2"/>
        <v>0</v>
      </c>
    </row>
    <row r="34" spans="2:39" s="25" customFormat="1" ht="14.25" customHeight="1">
      <c r="B34" s="154" t="s">
        <v>26</v>
      </c>
      <c r="C34" s="155">
        <f>'Daily &amp; Weekly Totals'!E45</f>
        <v>43948</v>
      </c>
      <c r="D34" s="160"/>
      <c r="E34" s="161">
        <f>IF(ISNUMBER('Staff Hours'!E34)=FALSE,0,(HLOOKUP(Budgets!$C34,'Store Details'!$F$25:$AU$26,2)/'Staff Hours'!$AN34*'Staff Hours'!E34))</f>
        <v>0</v>
      </c>
      <c r="F34" s="161">
        <f>IF(ISNUMBER('Staff Hours'!F34)=FALSE,0,(HLOOKUP(Budgets!$C34,'Store Details'!$F$25:$AU$26,2)/'Staff Hours'!$AN34*'Staff Hours'!F34))</f>
        <v>0</v>
      </c>
      <c r="G34" s="161">
        <f>IF(ISNUMBER('Staff Hours'!G34)=FALSE,0,(HLOOKUP(Budgets!$C34,'Store Details'!$F$25:$AU$26,2)/'Staff Hours'!$AN34*'Staff Hours'!G34))</f>
        <v>0</v>
      </c>
      <c r="H34" s="161">
        <f>IF(ISNUMBER('Staff Hours'!H34)=FALSE,0,(HLOOKUP(Budgets!$C34,'Store Details'!$F$25:$AU$26,2)/'Staff Hours'!$AN34*'Staff Hours'!H34))</f>
        <v>0</v>
      </c>
      <c r="I34" s="161">
        <f>IF(ISNUMBER('Staff Hours'!I34)=FALSE,0,(HLOOKUP(Budgets!$C34,'Store Details'!$F$25:$AU$26,2)/'Staff Hours'!$AN34*'Staff Hours'!I34))</f>
        <v>0</v>
      </c>
      <c r="J34" s="161">
        <f>IF(ISNUMBER('Staff Hours'!J34)=FALSE,0,(HLOOKUP(Budgets!$C34,'Store Details'!$F$25:$AU$26,2)/'Staff Hours'!$AN34*'Staff Hours'!J34))</f>
        <v>0</v>
      </c>
      <c r="K34" s="161">
        <f>IF(ISNUMBER('Staff Hours'!K34)=FALSE,0,(HLOOKUP(Budgets!$C34,'Store Details'!$F$25:$AU$26,2)/'Staff Hours'!$AN34*'Staff Hours'!K34))</f>
        <v>0</v>
      </c>
      <c r="L34" s="161">
        <f>IF(ISNUMBER('Staff Hours'!L34)=FALSE,0,(HLOOKUP(Budgets!$C34,'Store Details'!$F$25:$AU$26,2)/'Staff Hours'!$AN34*'Staff Hours'!L34))</f>
        <v>0</v>
      </c>
      <c r="M34" s="161">
        <f>IF(ISNUMBER('Staff Hours'!M34)=FALSE,0,(HLOOKUP(Budgets!$C34,'Store Details'!$F$25:$AU$26,2)/'Staff Hours'!$AN34*'Staff Hours'!M34))</f>
        <v>0</v>
      </c>
      <c r="N34" s="161">
        <f>IF(ISNUMBER('Staff Hours'!N34)=FALSE,0,(HLOOKUP(Budgets!$C34,'Store Details'!$F$25:$AU$26,2)/'Staff Hours'!$AN34*'Staff Hours'!N34))</f>
        <v>0</v>
      </c>
      <c r="O34" s="161">
        <f>IF(ISNUMBER('Staff Hours'!O34)=FALSE,0,(HLOOKUP(Budgets!$C34,'Store Details'!$F$25:$AU$26,2)/'Staff Hours'!$AN34*'Staff Hours'!O34))</f>
        <v>0</v>
      </c>
      <c r="P34" s="161">
        <f>IF(ISNUMBER('Staff Hours'!P34)=FALSE,0,(HLOOKUP(Budgets!$C34,'Store Details'!$F$25:$AU$26,2)/'Staff Hours'!$AN34*'Staff Hours'!P34))</f>
        <v>0</v>
      </c>
      <c r="Q34" s="161">
        <f>IF(ISNUMBER('Staff Hours'!Q34)=FALSE,0,(HLOOKUP(Budgets!$C34,'Store Details'!$F$25:$AU$26,2)/'Staff Hours'!$AN34*'Staff Hours'!Q34))</f>
        <v>0</v>
      </c>
      <c r="R34" s="161">
        <f>IF(ISNUMBER('Staff Hours'!R34)=FALSE,0,(HLOOKUP(Budgets!$C34,'Store Details'!$F$25:$AU$26,2)/'Staff Hours'!$AN34*'Staff Hours'!R34))</f>
        <v>0</v>
      </c>
      <c r="S34" s="161">
        <f>IF(ISNUMBER('Staff Hours'!S34)=FALSE,0,(HLOOKUP(Budgets!$C34,'Store Details'!$F$25:$AU$26,2)/'Staff Hours'!$AN34*'Staff Hours'!S34))</f>
        <v>0</v>
      </c>
      <c r="T34" s="161">
        <f>IF(ISNUMBER('Staff Hours'!T34)=FALSE,0,(HLOOKUP(Budgets!$C34,'Store Details'!$F$25:$AU$26,2)/'Staff Hours'!$AN34*'Staff Hours'!T34))</f>
        <v>0</v>
      </c>
      <c r="U34" s="161">
        <f>IF(ISNUMBER('Staff Hours'!U34)=FALSE,0,(HLOOKUP(Budgets!$C34,'Store Details'!$F$25:$AU$26,2)/'Staff Hours'!$AN34*'Staff Hours'!U34))</f>
        <v>0</v>
      </c>
      <c r="V34" s="161">
        <f>IF(ISNUMBER('Staff Hours'!V34)=FALSE,0,(HLOOKUP(Budgets!$C34,'Store Details'!$F$25:$AU$26,2)/'Staff Hours'!$AN34*'Staff Hours'!V34))</f>
        <v>0</v>
      </c>
      <c r="W34" s="161">
        <f>IF(ISNUMBER('Staff Hours'!W34)=FALSE,0,(HLOOKUP(Budgets!$C34,'Store Details'!$F$25:$AU$26,2)/'Staff Hours'!$AN34*'Staff Hours'!W34))</f>
        <v>0</v>
      </c>
      <c r="X34" s="161">
        <f>IF(ISNUMBER('Staff Hours'!X34)=FALSE,0,(HLOOKUP(Budgets!$C34,'Store Details'!$F$25:$AU$26,2)/'Staff Hours'!$AN34*'Staff Hours'!X34))</f>
        <v>0</v>
      </c>
      <c r="Y34" s="10"/>
      <c r="Z34" s="10"/>
      <c r="AA34" s="10"/>
      <c r="AB34" s="10"/>
      <c r="AC34" s="10"/>
      <c r="AD34" s="10"/>
      <c r="AE34" s="10"/>
      <c r="AF34" s="10"/>
      <c r="AG34" s="161" t="s">
        <v>163</v>
      </c>
      <c r="AI34" s="162">
        <f t="shared" si="2"/>
        <v>0</v>
      </c>
      <c r="AJ34" s="162">
        <f t="shared" si="2"/>
        <v>0</v>
      </c>
      <c r="AK34" s="162">
        <f t="shared" si="2"/>
        <v>0</v>
      </c>
      <c r="AL34" s="162">
        <f t="shared" si="2"/>
        <v>0</v>
      </c>
      <c r="AM34" s="162">
        <f t="shared" si="2"/>
        <v>0</v>
      </c>
    </row>
    <row r="35" spans="2:39" s="25" customFormat="1" ht="14.25" customHeight="1">
      <c r="B35" s="154" t="s">
        <v>27</v>
      </c>
      <c r="C35" s="155">
        <f>'Daily &amp; Weekly Totals'!E46</f>
        <v>43949</v>
      </c>
      <c r="D35" s="160"/>
      <c r="E35" s="161">
        <f>IF(ISNUMBER('Staff Hours'!E35)=FALSE,0,(HLOOKUP(Budgets!$C35,'Store Details'!$F$25:$AU$26,2)/'Staff Hours'!$AN35*'Staff Hours'!E35))</f>
        <v>0</v>
      </c>
      <c r="F35" s="161">
        <f>IF(ISNUMBER('Staff Hours'!F35)=FALSE,0,(HLOOKUP(Budgets!$C35,'Store Details'!$F$25:$AU$26,2)/'Staff Hours'!$AN35*'Staff Hours'!F35))</f>
        <v>0</v>
      </c>
      <c r="G35" s="161">
        <f>IF(ISNUMBER('Staff Hours'!G35)=FALSE,0,(HLOOKUP(Budgets!$C35,'Store Details'!$F$25:$AU$26,2)/'Staff Hours'!$AN35*'Staff Hours'!G35))</f>
        <v>0</v>
      </c>
      <c r="H35" s="161">
        <f>IF(ISNUMBER('Staff Hours'!H35)=FALSE,0,(HLOOKUP(Budgets!$C35,'Store Details'!$F$25:$AU$26,2)/'Staff Hours'!$AN35*'Staff Hours'!H35))</f>
        <v>0</v>
      </c>
      <c r="I35" s="161">
        <f>IF(ISNUMBER('Staff Hours'!I35)=FALSE,0,(HLOOKUP(Budgets!$C35,'Store Details'!$F$25:$AU$26,2)/'Staff Hours'!$AN35*'Staff Hours'!I35))</f>
        <v>0</v>
      </c>
      <c r="J35" s="161">
        <f>IF(ISNUMBER('Staff Hours'!J35)=FALSE,0,(HLOOKUP(Budgets!$C35,'Store Details'!$F$25:$AU$26,2)/'Staff Hours'!$AN35*'Staff Hours'!J35))</f>
        <v>0</v>
      </c>
      <c r="K35" s="161">
        <f>IF(ISNUMBER('Staff Hours'!K35)=FALSE,0,(HLOOKUP(Budgets!$C35,'Store Details'!$F$25:$AU$26,2)/'Staff Hours'!$AN35*'Staff Hours'!K35))</f>
        <v>0</v>
      </c>
      <c r="L35" s="161">
        <f>IF(ISNUMBER('Staff Hours'!L35)=FALSE,0,(HLOOKUP(Budgets!$C35,'Store Details'!$F$25:$AU$26,2)/'Staff Hours'!$AN35*'Staff Hours'!L35))</f>
        <v>0</v>
      </c>
      <c r="M35" s="161">
        <f>IF(ISNUMBER('Staff Hours'!M35)=FALSE,0,(HLOOKUP(Budgets!$C35,'Store Details'!$F$25:$AU$26,2)/'Staff Hours'!$AN35*'Staff Hours'!M35))</f>
        <v>0</v>
      </c>
      <c r="N35" s="161">
        <f>IF(ISNUMBER('Staff Hours'!N35)=FALSE,0,(HLOOKUP(Budgets!$C35,'Store Details'!$F$25:$AU$26,2)/'Staff Hours'!$AN35*'Staff Hours'!N35))</f>
        <v>0</v>
      </c>
      <c r="O35" s="161">
        <f>IF(ISNUMBER('Staff Hours'!O35)=FALSE,0,(HLOOKUP(Budgets!$C35,'Store Details'!$F$25:$AU$26,2)/'Staff Hours'!$AN35*'Staff Hours'!O35))</f>
        <v>0</v>
      </c>
      <c r="P35" s="161">
        <f>IF(ISNUMBER('Staff Hours'!P35)=FALSE,0,(HLOOKUP(Budgets!$C35,'Store Details'!$F$25:$AU$26,2)/'Staff Hours'!$AN35*'Staff Hours'!P35))</f>
        <v>0</v>
      </c>
      <c r="Q35" s="161">
        <f>IF(ISNUMBER('Staff Hours'!Q35)=FALSE,0,(HLOOKUP(Budgets!$C35,'Store Details'!$F$25:$AU$26,2)/'Staff Hours'!$AN35*'Staff Hours'!Q35))</f>
        <v>0</v>
      </c>
      <c r="R35" s="161">
        <f>IF(ISNUMBER('Staff Hours'!R35)=FALSE,0,(HLOOKUP(Budgets!$C35,'Store Details'!$F$25:$AU$26,2)/'Staff Hours'!$AN35*'Staff Hours'!R35))</f>
        <v>0</v>
      </c>
      <c r="S35" s="161">
        <f>IF(ISNUMBER('Staff Hours'!S35)=FALSE,0,(HLOOKUP(Budgets!$C35,'Store Details'!$F$25:$AU$26,2)/'Staff Hours'!$AN35*'Staff Hours'!S35))</f>
        <v>0</v>
      </c>
      <c r="T35" s="161">
        <f>IF(ISNUMBER('Staff Hours'!T35)=FALSE,0,(HLOOKUP(Budgets!$C35,'Store Details'!$F$25:$AU$26,2)/'Staff Hours'!$AN35*'Staff Hours'!T35))</f>
        <v>0</v>
      </c>
      <c r="U35" s="161">
        <f>IF(ISNUMBER('Staff Hours'!U35)=FALSE,0,(HLOOKUP(Budgets!$C35,'Store Details'!$F$25:$AU$26,2)/'Staff Hours'!$AN35*'Staff Hours'!U35))</f>
        <v>0</v>
      </c>
      <c r="V35" s="161">
        <f>IF(ISNUMBER('Staff Hours'!V35)=FALSE,0,(HLOOKUP(Budgets!$C35,'Store Details'!$F$25:$AU$26,2)/'Staff Hours'!$AN35*'Staff Hours'!V35))</f>
        <v>0</v>
      </c>
      <c r="W35" s="161">
        <f>IF(ISNUMBER('Staff Hours'!W35)=FALSE,0,(HLOOKUP(Budgets!$C35,'Store Details'!$F$25:$AU$26,2)/'Staff Hours'!$AN35*'Staff Hours'!W35))</f>
        <v>0</v>
      </c>
      <c r="X35" s="161">
        <f>IF(ISNUMBER('Staff Hours'!X35)=FALSE,0,(HLOOKUP(Budgets!$C35,'Store Details'!$F$25:$AU$26,2)/'Staff Hours'!$AN35*'Staff Hours'!X35))</f>
        <v>0</v>
      </c>
      <c r="Y35" s="10"/>
      <c r="Z35" s="10"/>
      <c r="AA35" s="10"/>
      <c r="AB35" s="10"/>
      <c r="AC35" s="10"/>
      <c r="AD35" s="10"/>
      <c r="AE35" s="10"/>
      <c r="AF35" s="10"/>
      <c r="AG35" s="161" t="s">
        <v>163</v>
      </c>
      <c r="AI35" s="162">
        <f t="shared" si="2"/>
        <v>0</v>
      </c>
      <c r="AJ35" s="162">
        <f t="shared" si="2"/>
        <v>0</v>
      </c>
      <c r="AK35" s="162">
        <f t="shared" si="2"/>
        <v>0</v>
      </c>
      <c r="AL35" s="162">
        <f t="shared" si="2"/>
        <v>0</v>
      </c>
      <c r="AM35" s="162">
        <f t="shared" si="2"/>
        <v>0</v>
      </c>
    </row>
    <row r="36" spans="2:39" s="25" customFormat="1" ht="14.25" customHeight="1">
      <c r="B36" s="154" t="s">
        <v>28</v>
      </c>
      <c r="C36" s="155">
        <f>'Daily &amp; Weekly Totals'!E47</f>
        <v>43950</v>
      </c>
      <c r="D36" s="160"/>
      <c r="E36" s="161">
        <f>IF(ISNUMBER('Staff Hours'!E36)=FALSE,0,(HLOOKUP(Budgets!$C36,'Store Details'!$F$25:$AU$26,2)/'Staff Hours'!$AN36*'Staff Hours'!E36))</f>
        <v>0</v>
      </c>
      <c r="F36" s="161">
        <f>IF(ISNUMBER('Staff Hours'!F36)=FALSE,0,(HLOOKUP(Budgets!$C36,'Store Details'!$F$25:$AU$26,2)/'Staff Hours'!$AN36*'Staff Hours'!F36))</f>
        <v>0</v>
      </c>
      <c r="G36" s="161">
        <f>IF(ISNUMBER('Staff Hours'!G36)=FALSE,0,(HLOOKUP(Budgets!$C36,'Store Details'!$F$25:$AU$26,2)/'Staff Hours'!$AN36*'Staff Hours'!G36))</f>
        <v>0</v>
      </c>
      <c r="H36" s="161">
        <f>IF(ISNUMBER('Staff Hours'!H36)=FALSE,0,(HLOOKUP(Budgets!$C36,'Store Details'!$F$25:$AU$26,2)/'Staff Hours'!$AN36*'Staff Hours'!H36))</f>
        <v>0</v>
      </c>
      <c r="I36" s="161">
        <f>IF(ISNUMBER('Staff Hours'!I36)=FALSE,0,(HLOOKUP(Budgets!$C36,'Store Details'!$F$25:$AU$26,2)/'Staff Hours'!$AN36*'Staff Hours'!I36))</f>
        <v>0</v>
      </c>
      <c r="J36" s="161">
        <f>IF(ISNUMBER('Staff Hours'!J36)=FALSE,0,(HLOOKUP(Budgets!$C36,'Store Details'!$F$25:$AU$26,2)/'Staff Hours'!$AN36*'Staff Hours'!J36))</f>
        <v>0</v>
      </c>
      <c r="K36" s="161">
        <f>IF(ISNUMBER('Staff Hours'!K36)=FALSE,0,(HLOOKUP(Budgets!$C36,'Store Details'!$F$25:$AU$26,2)/'Staff Hours'!$AN36*'Staff Hours'!K36))</f>
        <v>0</v>
      </c>
      <c r="L36" s="161">
        <f>IF(ISNUMBER('Staff Hours'!L36)=FALSE,0,(HLOOKUP(Budgets!$C36,'Store Details'!$F$25:$AU$26,2)/'Staff Hours'!$AN36*'Staff Hours'!L36))</f>
        <v>0</v>
      </c>
      <c r="M36" s="161">
        <f>IF(ISNUMBER('Staff Hours'!M36)=FALSE,0,(HLOOKUP(Budgets!$C36,'Store Details'!$F$25:$AU$26,2)/'Staff Hours'!$AN36*'Staff Hours'!M36))</f>
        <v>0</v>
      </c>
      <c r="N36" s="161">
        <f>IF(ISNUMBER('Staff Hours'!N36)=FALSE,0,(HLOOKUP(Budgets!$C36,'Store Details'!$F$25:$AU$26,2)/'Staff Hours'!$AN36*'Staff Hours'!N36))</f>
        <v>0</v>
      </c>
      <c r="O36" s="161">
        <f>IF(ISNUMBER('Staff Hours'!O36)=FALSE,0,(HLOOKUP(Budgets!$C36,'Store Details'!$F$25:$AU$26,2)/'Staff Hours'!$AN36*'Staff Hours'!O36))</f>
        <v>0</v>
      </c>
      <c r="P36" s="161">
        <f>IF(ISNUMBER('Staff Hours'!P36)=FALSE,0,(HLOOKUP(Budgets!$C36,'Store Details'!$F$25:$AU$26,2)/'Staff Hours'!$AN36*'Staff Hours'!P36))</f>
        <v>0</v>
      </c>
      <c r="Q36" s="161">
        <f>IF(ISNUMBER('Staff Hours'!Q36)=FALSE,0,(HLOOKUP(Budgets!$C36,'Store Details'!$F$25:$AU$26,2)/'Staff Hours'!$AN36*'Staff Hours'!Q36))</f>
        <v>0</v>
      </c>
      <c r="R36" s="161">
        <f>IF(ISNUMBER('Staff Hours'!R36)=FALSE,0,(HLOOKUP(Budgets!$C36,'Store Details'!$F$25:$AU$26,2)/'Staff Hours'!$AN36*'Staff Hours'!R36))</f>
        <v>0</v>
      </c>
      <c r="S36" s="161">
        <f>IF(ISNUMBER('Staff Hours'!S36)=FALSE,0,(HLOOKUP(Budgets!$C36,'Store Details'!$F$25:$AU$26,2)/'Staff Hours'!$AN36*'Staff Hours'!S36))</f>
        <v>0</v>
      </c>
      <c r="T36" s="161">
        <f>IF(ISNUMBER('Staff Hours'!T36)=FALSE,0,(HLOOKUP(Budgets!$C36,'Store Details'!$F$25:$AU$26,2)/'Staff Hours'!$AN36*'Staff Hours'!T36))</f>
        <v>0</v>
      </c>
      <c r="U36" s="161">
        <f>IF(ISNUMBER('Staff Hours'!U36)=FALSE,0,(HLOOKUP(Budgets!$C36,'Store Details'!$F$25:$AU$26,2)/'Staff Hours'!$AN36*'Staff Hours'!U36))</f>
        <v>0</v>
      </c>
      <c r="V36" s="161">
        <f>IF(ISNUMBER('Staff Hours'!V36)=FALSE,0,(HLOOKUP(Budgets!$C36,'Store Details'!$F$25:$AU$26,2)/'Staff Hours'!$AN36*'Staff Hours'!V36))</f>
        <v>0</v>
      </c>
      <c r="W36" s="161">
        <f>IF(ISNUMBER('Staff Hours'!W36)=FALSE,0,(HLOOKUP(Budgets!$C36,'Store Details'!$F$25:$AU$26,2)/'Staff Hours'!$AN36*'Staff Hours'!W36))</f>
        <v>0</v>
      </c>
      <c r="X36" s="161">
        <f>IF(ISNUMBER('Staff Hours'!X36)=FALSE,0,(HLOOKUP(Budgets!$C36,'Store Details'!$F$25:$AU$26,2)/'Staff Hours'!$AN36*'Staff Hours'!X36))</f>
        <v>0</v>
      </c>
      <c r="Y36" s="10"/>
      <c r="Z36" s="10"/>
      <c r="AA36" s="10"/>
      <c r="AB36" s="10"/>
      <c r="AC36" s="10"/>
      <c r="AD36" s="10"/>
      <c r="AE36" s="10"/>
      <c r="AF36" s="10"/>
      <c r="AG36" s="161" t="s">
        <v>163</v>
      </c>
      <c r="AI36" s="162">
        <f t="shared" si="2"/>
        <v>0</v>
      </c>
      <c r="AJ36" s="162">
        <f t="shared" si="2"/>
        <v>0</v>
      </c>
      <c r="AK36" s="162">
        <f t="shared" si="2"/>
        <v>0</v>
      </c>
      <c r="AL36" s="162">
        <f t="shared" si="2"/>
        <v>0</v>
      </c>
      <c r="AM36" s="162">
        <f t="shared" si="2"/>
        <v>0</v>
      </c>
    </row>
    <row r="37" spans="2:39" s="25" customFormat="1" ht="14.25" customHeight="1">
      <c r="B37" s="154" t="s">
        <v>29</v>
      </c>
      <c r="C37" s="155">
        <f>'Daily &amp; Weekly Totals'!E48</f>
        <v>43951</v>
      </c>
      <c r="D37" s="160"/>
      <c r="E37" s="161">
        <f>IF(ISNUMBER('Staff Hours'!E37)=FALSE,0,(HLOOKUP(Budgets!$C37,'Store Details'!$F$25:$AU$26,2)/'Staff Hours'!$AN37*'Staff Hours'!E37))</f>
        <v>0</v>
      </c>
      <c r="F37" s="161">
        <f>IF(ISNUMBER('Staff Hours'!F37)=FALSE,0,(HLOOKUP(Budgets!$C37,'Store Details'!$F$25:$AU$26,2)/'Staff Hours'!$AN37*'Staff Hours'!F37))</f>
        <v>0</v>
      </c>
      <c r="G37" s="161">
        <f>IF(ISNUMBER('Staff Hours'!G37)=FALSE,0,(HLOOKUP(Budgets!$C37,'Store Details'!$F$25:$AU$26,2)/'Staff Hours'!$AN37*'Staff Hours'!G37))</f>
        <v>0</v>
      </c>
      <c r="H37" s="161">
        <f>IF(ISNUMBER('Staff Hours'!H37)=FALSE,0,(HLOOKUP(Budgets!$C37,'Store Details'!$F$25:$AU$26,2)/'Staff Hours'!$AN37*'Staff Hours'!H37))</f>
        <v>0</v>
      </c>
      <c r="I37" s="161">
        <f>IF(ISNUMBER('Staff Hours'!I37)=FALSE,0,(HLOOKUP(Budgets!$C37,'Store Details'!$F$25:$AU$26,2)/'Staff Hours'!$AN37*'Staff Hours'!I37))</f>
        <v>0</v>
      </c>
      <c r="J37" s="161">
        <f>IF(ISNUMBER('Staff Hours'!J37)=FALSE,0,(HLOOKUP(Budgets!$C37,'Store Details'!$F$25:$AU$26,2)/'Staff Hours'!$AN37*'Staff Hours'!J37))</f>
        <v>0</v>
      </c>
      <c r="K37" s="161">
        <f>IF(ISNUMBER('Staff Hours'!K37)=FALSE,0,(HLOOKUP(Budgets!$C37,'Store Details'!$F$25:$AU$26,2)/'Staff Hours'!$AN37*'Staff Hours'!K37))</f>
        <v>0</v>
      </c>
      <c r="L37" s="161">
        <f>IF(ISNUMBER('Staff Hours'!L37)=FALSE,0,(HLOOKUP(Budgets!$C37,'Store Details'!$F$25:$AU$26,2)/'Staff Hours'!$AN37*'Staff Hours'!L37))</f>
        <v>0</v>
      </c>
      <c r="M37" s="161">
        <f>IF(ISNUMBER('Staff Hours'!M37)=FALSE,0,(HLOOKUP(Budgets!$C37,'Store Details'!$F$25:$AU$26,2)/'Staff Hours'!$AN37*'Staff Hours'!M37))</f>
        <v>0</v>
      </c>
      <c r="N37" s="161">
        <f>IF(ISNUMBER('Staff Hours'!N37)=FALSE,0,(HLOOKUP(Budgets!$C37,'Store Details'!$F$25:$AU$26,2)/'Staff Hours'!$AN37*'Staff Hours'!N37))</f>
        <v>0</v>
      </c>
      <c r="O37" s="161">
        <f>IF(ISNUMBER('Staff Hours'!O37)=FALSE,0,(HLOOKUP(Budgets!$C37,'Store Details'!$F$25:$AU$26,2)/'Staff Hours'!$AN37*'Staff Hours'!O37))</f>
        <v>0</v>
      </c>
      <c r="P37" s="161">
        <f>IF(ISNUMBER('Staff Hours'!P37)=FALSE,0,(HLOOKUP(Budgets!$C37,'Store Details'!$F$25:$AU$26,2)/'Staff Hours'!$AN37*'Staff Hours'!P37))</f>
        <v>0</v>
      </c>
      <c r="Q37" s="161">
        <f>IF(ISNUMBER('Staff Hours'!Q37)=FALSE,0,(HLOOKUP(Budgets!$C37,'Store Details'!$F$25:$AU$26,2)/'Staff Hours'!$AN37*'Staff Hours'!Q37))</f>
        <v>0</v>
      </c>
      <c r="R37" s="161">
        <f>IF(ISNUMBER('Staff Hours'!R37)=FALSE,0,(HLOOKUP(Budgets!$C37,'Store Details'!$F$25:$AU$26,2)/'Staff Hours'!$AN37*'Staff Hours'!R37))</f>
        <v>0</v>
      </c>
      <c r="S37" s="161">
        <f>IF(ISNUMBER('Staff Hours'!S37)=FALSE,0,(HLOOKUP(Budgets!$C37,'Store Details'!$F$25:$AU$26,2)/'Staff Hours'!$AN37*'Staff Hours'!S37))</f>
        <v>0</v>
      </c>
      <c r="T37" s="161">
        <f>IF(ISNUMBER('Staff Hours'!T37)=FALSE,0,(HLOOKUP(Budgets!$C37,'Store Details'!$F$25:$AU$26,2)/'Staff Hours'!$AN37*'Staff Hours'!T37))</f>
        <v>0</v>
      </c>
      <c r="U37" s="161">
        <f>IF(ISNUMBER('Staff Hours'!U37)=FALSE,0,(HLOOKUP(Budgets!$C37,'Store Details'!$F$25:$AU$26,2)/'Staff Hours'!$AN37*'Staff Hours'!U37))</f>
        <v>0</v>
      </c>
      <c r="V37" s="161">
        <f>IF(ISNUMBER('Staff Hours'!V37)=FALSE,0,(HLOOKUP(Budgets!$C37,'Store Details'!$F$25:$AU$26,2)/'Staff Hours'!$AN37*'Staff Hours'!V37))</f>
        <v>0</v>
      </c>
      <c r="W37" s="161">
        <f>IF(ISNUMBER('Staff Hours'!W37)=FALSE,0,(HLOOKUP(Budgets!$C37,'Store Details'!$F$25:$AU$26,2)/'Staff Hours'!$AN37*'Staff Hours'!W37))</f>
        <v>0</v>
      </c>
      <c r="X37" s="161">
        <f>IF(ISNUMBER('Staff Hours'!X37)=FALSE,0,(HLOOKUP(Budgets!$C37,'Store Details'!$F$25:$AU$26,2)/'Staff Hours'!$AN37*'Staff Hours'!X37))</f>
        <v>0</v>
      </c>
      <c r="Y37" s="10"/>
      <c r="Z37" s="10"/>
      <c r="AA37" s="10"/>
      <c r="AB37" s="10"/>
      <c r="AC37" s="10"/>
      <c r="AD37" s="10"/>
      <c r="AE37" s="10"/>
      <c r="AF37" s="10"/>
      <c r="AG37" s="161" t="s">
        <v>163</v>
      </c>
      <c r="AI37" s="162">
        <f t="shared" si="2"/>
        <v>0</v>
      </c>
      <c r="AJ37" s="162">
        <f t="shared" si="2"/>
        <v>0</v>
      </c>
      <c r="AK37" s="162">
        <f t="shared" si="2"/>
        <v>0</v>
      </c>
      <c r="AL37" s="162">
        <f t="shared" si="2"/>
        <v>0</v>
      </c>
      <c r="AM37" s="162">
        <f t="shared" si="2"/>
        <v>0</v>
      </c>
    </row>
    <row r="38" spans="2:39" s="25" customFormat="1" ht="14.25" customHeight="1">
      <c r="B38" s="154" t="s">
        <v>30</v>
      </c>
      <c r="C38" s="155">
        <f>'Daily &amp; Weekly Totals'!E49</f>
        <v>43952</v>
      </c>
      <c r="D38" s="160"/>
      <c r="E38" s="161">
        <f>IF(ISNUMBER('Staff Hours'!E38)=FALSE,0,(HLOOKUP(Budgets!$C38,'Store Details'!$F$25:$AU$26,2)/'Staff Hours'!$AN38*'Staff Hours'!E38))</f>
        <v>0</v>
      </c>
      <c r="F38" s="161">
        <f>IF(ISNUMBER('Staff Hours'!F38)=FALSE,0,(HLOOKUP(Budgets!$C38,'Store Details'!$F$25:$AU$26,2)/'Staff Hours'!$AN38*'Staff Hours'!F38))</f>
        <v>0</v>
      </c>
      <c r="G38" s="161">
        <f>IF(ISNUMBER('Staff Hours'!G38)=FALSE,0,(HLOOKUP(Budgets!$C38,'Store Details'!$F$25:$AU$26,2)/'Staff Hours'!$AN38*'Staff Hours'!G38))</f>
        <v>0</v>
      </c>
      <c r="H38" s="161">
        <f>IF(ISNUMBER('Staff Hours'!H38)=FALSE,0,(HLOOKUP(Budgets!$C38,'Store Details'!$F$25:$AU$26,2)/'Staff Hours'!$AN38*'Staff Hours'!H38))</f>
        <v>0</v>
      </c>
      <c r="I38" s="161">
        <f>IF(ISNUMBER('Staff Hours'!I38)=FALSE,0,(HLOOKUP(Budgets!$C38,'Store Details'!$F$25:$AU$26,2)/'Staff Hours'!$AN38*'Staff Hours'!I38))</f>
        <v>0</v>
      </c>
      <c r="J38" s="161">
        <f>IF(ISNUMBER('Staff Hours'!J38)=FALSE,0,(HLOOKUP(Budgets!$C38,'Store Details'!$F$25:$AU$26,2)/'Staff Hours'!$AN38*'Staff Hours'!J38))</f>
        <v>0</v>
      </c>
      <c r="K38" s="161">
        <f>IF(ISNUMBER('Staff Hours'!K38)=FALSE,0,(HLOOKUP(Budgets!$C38,'Store Details'!$F$25:$AU$26,2)/'Staff Hours'!$AN38*'Staff Hours'!K38))</f>
        <v>0</v>
      </c>
      <c r="L38" s="161">
        <f>IF(ISNUMBER('Staff Hours'!L38)=FALSE,0,(HLOOKUP(Budgets!$C38,'Store Details'!$F$25:$AU$26,2)/'Staff Hours'!$AN38*'Staff Hours'!L38))</f>
        <v>0</v>
      </c>
      <c r="M38" s="161">
        <f>IF(ISNUMBER('Staff Hours'!M38)=FALSE,0,(HLOOKUP(Budgets!$C38,'Store Details'!$F$25:$AU$26,2)/'Staff Hours'!$AN38*'Staff Hours'!M38))</f>
        <v>0</v>
      </c>
      <c r="N38" s="161">
        <f>IF(ISNUMBER('Staff Hours'!N38)=FALSE,0,(HLOOKUP(Budgets!$C38,'Store Details'!$F$25:$AU$26,2)/'Staff Hours'!$AN38*'Staff Hours'!N38))</f>
        <v>0</v>
      </c>
      <c r="O38" s="161">
        <f>IF(ISNUMBER('Staff Hours'!O38)=FALSE,0,(HLOOKUP(Budgets!$C38,'Store Details'!$F$25:$AU$26,2)/'Staff Hours'!$AN38*'Staff Hours'!O38))</f>
        <v>0</v>
      </c>
      <c r="P38" s="161">
        <f>IF(ISNUMBER('Staff Hours'!P38)=FALSE,0,(HLOOKUP(Budgets!$C38,'Store Details'!$F$25:$AU$26,2)/'Staff Hours'!$AN38*'Staff Hours'!P38))</f>
        <v>0</v>
      </c>
      <c r="Q38" s="161">
        <f>IF(ISNUMBER('Staff Hours'!Q38)=FALSE,0,(HLOOKUP(Budgets!$C38,'Store Details'!$F$25:$AU$26,2)/'Staff Hours'!$AN38*'Staff Hours'!Q38))</f>
        <v>0</v>
      </c>
      <c r="R38" s="161">
        <f>IF(ISNUMBER('Staff Hours'!R38)=FALSE,0,(HLOOKUP(Budgets!$C38,'Store Details'!$F$25:$AU$26,2)/'Staff Hours'!$AN38*'Staff Hours'!R38))</f>
        <v>0</v>
      </c>
      <c r="S38" s="161">
        <f>IF(ISNUMBER('Staff Hours'!S38)=FALSE,0,(HLOOKUP(Budgets!$C38,'Store Details'!$F$25:$AU$26,2)/'Staff Hours'!$AN38*'Staff Hours'!S38))</f>
        <v>0</v>
      </c>
      <c r="T38" s="161">
        <f>IF(ISNUMBER('Staff Hours'!T38)=FALSE,0,(HLOOKUP(Budgets!$C38,'Store Details'!$F$25:$AU$26,2)/'Staff Hours'!$AN38*'Staff Hours'!T38))</f>
        <v>0</v>
      </c>
      <c r="U38" s="161">
        <f>IF(ISNUMBER('Staff Hours'!U38)=FALSE,0,(HLOOKUP(Budgets!$C38,'Store Details'!$F$25:$AU$26,2)/'Staff Hours'!$AN38*'Staff Hours'!U38))</f>
        <v>0</v>
      </c>
      <c r="V38" s="161">
        <f>IF(ISNUMBER('Staff Hours'!V38)=FALSE,0,(HLOOKUP(Budgets!$C38,'Store Details'!$F$25:$AU$26,2)/'Staff Hours'!$AN38*'Staff Hours'!V38))</f>
        <v>0</v>
      </c>
      <c r="W38" s="161">
        <f>IF(ISNUMBER('Staff Hours'!W38)=FALSE,0,(HLOOKUP(Budgets!$C38,'Store Details'!$F$25:$AU$26,2)/'Staff Hours'!$AN38*'Staff Hours'!W38))</f>
        <v>0</v>
      </c>
      <c r="X38" s="161">
        <f>IF(ISNUMBER('Staff Hours'!X38)=FALSE,0,(HLOOKUP(Budgets!$C38,'Store Details'!$F$25:$AU$26,2)/'Staff Hours'!$AN38*'Staff Hours'!X38))</f>
        <v>0</v>
      </c>
      <c r="Y38" s="10"/>
      <c r="Z38" s="10"/>
      <c r="AA38" s="10"/>
      <c r="AB38" s="10"/>
      <c r="AC38" s="10"/>
      <c r="AD38" s="10"/>
      <c r="AE38" s="10"/>
      <c r="AF38" s="10"/>
      <c r="AG38" s="161" t="s">
        <v>163</v>
      </c>
      <c r="AI38" s="162">
        <f t="shared" ref="AI38:AM47" si="3">SUMIF($E$3:$AG$3,AI$3,$E38:$AG38)</f>
        <v>0</v>
      </c>
      <c r="AJ38" s="162">
        <f t="shared" si="3"/>
        <v>0</v>
      </c>
      <c r="AK38" s="162">
        <f t="shared" si="3"/>
        <v>0</v>
      </c>
      <c r="AL38" s="162">
        <f t="shared" si="3"/>
        <v>0</v>
      </c>
      <c r="AM38" s="162">
        <f t="shared" si="3"/>
        <v>0</v>
      </c>
    </row>
    <row r="39" spans="2:39" s="25" customFormat="1" ht="14.25" customHeight="1">
      <c r="B39" s="154" t="s">
        <v>31</v>
      </c>
      <c r="C39" s="155">
        <f>'Daily &amp; Weekly Totals'!E50</f>
        <v>43953</v>
      </c>
      <c r="D39" s="160"/>
      <c r="E39" s="161">
        <f>IF(ISNUMBER('Staff Hours'!E39)=FALSE,0,(HLOOKUP(Budgets!$C39,'Store Details'!$F$25:$AU$26,2)/'Staff Hours'!$AN39*'Staff Hours'!E39))</f>
        <v>0</v>
      </c>
      <c r="F39" s="161">
        <f>IF(ISNUMBER('Staff Hours'!F39)=FALSE,0,(HLOOKUP(Budgets!$C39,'Store Details'!$F$25:$AU$26,2)/'Staff Hours'!$AN39*'Staff Hours'!F39))</f>
        <v>0</v>
      </c>
      <c r="G39" s="161">
        <f>IF(ISNUMBER('Staff Hours'!G39)=FALSE,0,(HLOOKUP(Budgets!$C39,'Store Details'!$F$25:$AU$26,2)/'Staff Hours'!$AN39*'Staff Hours'!G39))</f>
        <v>0</v>
      </c>
      <c r="H39" s="161">
        <f>IF(ISNUMBER('Staff Hours'!H39)=FALSE,0,(HLOOKUP(Budgets!$C39,'Store Details'!$F$25:$AU$26,2)/'Staff Hours'!$AN39*'Staff Hours'!H39))</f>
        <v>0</v>
      </c>
      <c r="I39" s="161">
        <f>IF(ISNUMBER('Staff Hours'!I39)=FALSE,0,(HLOOKUP(Budgets!$C39,'Store Details'!$F$25:$AU$26,2)/'Staff Hours'!$AN39*'Staff Hours'!I39))</f>
        <v>0</v>
      </c>
      <c r="J39" s="161">
        <f>IF(ISNUMBER('Staff Hours'!J39)=FALSE,0,(HLOOKUP(Budgets!$C39,'Store Details'!$F$25:$AU$26,2)/'Staff Hours'!$AN39*'Staff Hours'!J39))</f>
        <v>0</v>
      </c>
      <c r="K39" s="161">
        <f>IF(ISNUMBER('Staff Hours'!K39)=FALSE,0,(HLOOKUP(Budgets!$C39,'Store Details'!$F$25:$AU$26,2)/'Staff Hours'!$AN39*'Staff Hours'!K39))</f>
        <v>0</v>
      </c>
      <c r="L39" s="161">
        <f>IF(ISNUMBER('Staff Hours'!L39)=FALSE,0,(HLOOKUP(Budgets!$C39,'Store Details'!$F$25:$AU$26,2)/'Staff Hours'!$AN39*'Staff Hours'!L39))</f>
        <v>0</v>
      </c>
      <c r="M39" s="161">
        <f>IF(ISNUMBER('Staff Hours'!M39)=FALSE,0,(HLOOKUP(Budgets!$C39,'Store Details'!$F$25:$AU$26,2)/'Staff Hours'!$AN39*'Staff Hours'!M39))</f>
        <v>0</v>
      </c>
      <c r="N39" s="161">
        <f>IF(ISNUMBER('Staff Hours'!N39)=FALSE,0,(HLOOKUP(Budgets!$C39,'Store Details'!$F$25:$AU$26,2)/'Staff Hours'!$AN39*'Staff Hours'!N39))</f>
        <v>0</v>
      </c>
      <c r="O39" s="161">
        <f>IF(ISNUMBER('Staff Hours'!O39)=FALSE,0,(HLOOKUP(Budgets!$C39,'Store Details'!$F$25:$AU$26,2)/'Staff Hours'!$AN39*'Staff Hours'!O39))</f>
        <v>0</v>
      </c>
      <c r="P39" s="161">
        <f>IF(ISNUMBER('Staff Hours'!P39)=FALSE,0,(HLOOKUP(Budgets!$C39,'Store Details'!$F$25:$AU$26,2)/'Staff Hours'!$AN39*'Staff Hours'!P39))</f>
        <v>0</v>
      </c>
      <c r="Q39" s="161">
        <f>IF(ISNUMBER('Staff Hours'!Q39)=FALSE,0,(HLOOKUP(Budgets!$C39,'Store Details'!$F$25:$AU$26,2)/'Staff Hours'!$AN39*'Staff Hours'!Q39))</f>
        <v>0</v>
      </c>
      <c r="R39" s="161">
        <f>IF(ISNUMBER('Staff Hours'!R39)=FALSE,0,(HLOOKUP(Budgets!$C39,'Store Details'!$F$25:$AU$26,2)/'Staff Hours'!$AN39*'Staff Hours'!R39))</f>
        <v>0</v>
      </c>
      <c r="S39" s="161">
        <f>IF(ISNUMBER('Staff Hours'!S39)=FALSE,0,(HLOOKUP(Budgets!$C39,'Store Details'!$F$25:$AU$26,2)/'Staff Hours'!$AN39*'Staff Hours'!S39))</f>
        <v>0</v>
      </c>
      <c r="T39" s="161">
        <f>IF(ISNUMBER('Staff Hours'!T39)=FALSE,0,(HLOOKUP(Budgets!$C39,'Store Details'!$F$25:$AU$26,2)/'Staff Hours'!$AN39*'Staff Hours'!T39))</f>
        <v>0</v>
      </c>
      <c r="U39" s="161">
        <f>IF(ISNUMBER('Staff Hours'!U39)=FALSE,0,(HLOOKUP(Budgets!$C39,'Store Details'!$F$25:$AU$26,2)/'Staff Hours'!$AN39*'Staff Hours'!U39))</f>
        <v>0</v>
      </c>
      <c r="V39" s="161">
        <f>IF(ISNUMBER('Staff Hours'!V39)=FALSE,0,(HLOOKUP(Budgets!$C39,'Store Details'!$F$25:$AU$26,2)/'Staff Hours'!$AN39*'Staff Hours'!V39))</f>
        <v>0</v>
      </c>
      <c r="W39" s="161">
        <f>IF(ISNUMBER('Staff Hours'!W39)=FALSE,0,(HLOOKUP(Budgets!$C39,'Store Details'!$F$25:$AU$26,2)/'Staff Hours'!$AN39*'Staff Hours'!W39))</f>
        <v>0</v>
      </c>
      <c r="X39" s="161">
        <f>IF(ISNUMBER('Staff Hours'!X39)=FALSE,0,(HLOOKUP(Budgets!$C39,'Store Details'!$F$25:$AU$26,2)/'Staff Hours'!$AN39*'Staff Hours'!X39))</f>
        <v>0</v>
      </c>
      <c r="Y39" s="10"/>
      <c r="Z39" s="10"/>
      <c r="AA39" s="10"/>
      <c r="AB39" s="10"/>
      <c r="AC39" s="10"/>
      <c r="AD39" s="10"/>
      <c r="AE39" s="10"/>
      <c r="AF39" s="10"/>
      <c r="AG39" s="161" t="s">
        <v>163</v>
      </c>
      <c r="AI39" s="162">
        <f t="shared" si="3"/>
        <v>0</v>
      </c>
      <c r="AJ39" s="162">
        <f t="shared" si="3"/>
        <v>0</v>
      </c>
      <c r="AK39" s="162">
        <f t="shared" si="3"/>
        <v>0</v>
      </c>
      <c r="AL39" s="162">
        <f t="shared" si="3"/>
        <v>0</v>
      </c>
      <c r="AM39" s="162">
        <f t="shared" si="3"/>
        <v>0</v>
      </c>
    </row>
    <row r="40" spans="2:39" s="25" customFormat="1" ht="14.25" customHeight="1">
      <c r="B40" s="154" t="s">
        <v>32</v>
      </c>
      <c r="C40" s="155">
        <f>'Daily &amp; Weekly Totals'!E51</f>
        <v>43954</v>
      </c>
      <c r="D40" s="160"/>
      <c r="E40" s="161">
        <f>IF(ISNUMBER('Staff Hours'!E40)=FALSE,0,(HLOOKUP(Budgets!$C40,'Store Details'!$F$25:$AU$26,2)/'Staff Hours'!$AN40*'Staff Hours'!E40))</f>
        <v>0</v>
      </c>
      <c r="F40" s="161">
        <f>IF(ISNUMBER('Staff Hours'!F40)=FALSE,0,(HLOOKUP(Budgets!$C40,'Store Details'!$F$25:$AU$26,2)/'Staff Hours'!$AN40*'Staff Hours'!F40))</f>
        <v>0</v>
      </c>
      <c r="G40" s="161">
        <f>IF(ISNUMBER('Staff Hours'!G40)=FALSE,0,(HLOOKUP(Budgets!$C40,'Store Details'!$F$25:$AU$26,2)/'Staff Hours'!$AN40*'Staff Hours'!G40))</f>
        <v>0</v>
      </c>
      <c r="H40" s="161">
        <f>IF(ISNUMBER('Staff Hours'!H40)=FALSE,0,(HLOOKUP(Budgets!$C40,'Store Details'!$F$25:$AU$26,2)/'Staff Hours'!$AN40*'Staff Hours'!H40))</f>
        <v>0</v>
      </c>
      <c r="I40" s="161">
        <f>IF(ISNUMBER('Staff Hours'!I40)=FALSE,0,(HLOOKUP(Budgets!$C40,'Store Details'!$F$25:$AU$26,2)/'Staff Hours'!$AN40*'Staff Hours'!I40))</f>
        <v>0</v>
      </c>
      <c r="J40" s="161">
        <f>IF(ISNUMBER('Staff Hours'!J40)=FALSE,0,(HLOOKUP(Budgets!$C40,'Store Details'!$F$25:$AU$26,2)/'Staff Hours'!$AN40*'Staff Hours'!J40))</f>
        <v>0</v>
      </c>
      <c r="K40" s="161">
        <f>IF(ISNUMBER('Staff Hours'!K40)=FALSE,0,(HLOOKUP(Budgets!$C40,'Store Details'!$F$25:$AU$26,2)/'Staff Hours'!$AN40*'Staff Hours'!K40))</f>
        <v>0</v>
      </c>
      <c r="L40" s="161">
        <f>IF(ISNUMBER('Staff Hours'!L40)=FALSE,0,(HLOOKUP(Budgets!$C40,'Store Details'!$F$25:$AU$26,2)/'Staff Hours'!$AN40*'Staff Hours'!L40))</f>
        <v>0</v>
      </c>
      <c r="M40" s="161">
        <f>IF(ISNUMBER('Staff Hours'!M40)=FALSE,0,(HLOOKUP(Budgets!$C40,'Store Details'!$F$25:$AU$26,2)/'Staff Hours'!$AN40*'Staff Hours'!M40))</f>
        <v>0</v>
      </c>
      <c r="N40" s="161">
        <f>IF(ISNUMBER('Staff Hours'!N40)=FALSE,0,(HLOOKUP(Budgets!$C40,'Store Details'!$F$25:$AU$26,2)/'Staff Hours'!$AN40*'Staff Hours'!N40))</f>
        <v>0</v>
      </c>
      <c r="O40" s="161">
        <f>IF(ISNUMBER('Staff Hours'!O40)=FALSE,0,(HLOOKUP(Budgets!$C40,'Store Details'!$F$25:$AU$26,2)/'Staff Hours'!$AN40*'Staff Hours'!O40))</f>
        <v>0</v>
      </c>
      <c r="P40" s="161">
        <f>IF(ISNUMBER('Staff Hours'!P40)=FALSE,0,(HLOOKUP(Budgets!$C40,'Store Details'!$F$25:$AU$26,2)/'Staff Hours'!$AN40*'Staff Hours'!P40))</f>
        <v>0</v>
      </c>
      <c r="Q40" s="161">
        <f>IF(ISNUMBER('Staff Hours'!Q40)=FALSE,0,(HLOOKUP(Budgets!$C40,'Store Details'!$F$25:$AU$26,2)/'Staff Hours'!$AN40*'Staff Hours'!Q40))</f>
        <v>0</v>
      </c>
      <c r="R40" s="161">
        <f>IF(ISNUMBER('Staff Hours'!R40)=FALSE,0,(HLOOKUP(Budgets!$C40,'Store Details'!$F$25:$AU$26,2)/'Staff Hours'!$AN40*'Staff Hours'!R40))</f>
        <v>0</v>
      </c>
      <c r="S40" s="161">
        <f>IF(ISNUMBER('Staff Hours'!S40)=FALSE,0,(HLOOKUP(Budgets!$C40,'Store Details'!$F$25:$AU$26,2)/'Staff Hours'!$AN40*'Staff Hours'!S40))</f>
        <v>0</v>
      </c>
      <c r="T40" s="161">
        <f>IF(ISNUMBER('Staff Hours'!T40)=FALSE,0,(HLOOKUP(Budgets!$C40,'Store Details'!$F$25:$AU$26,2)/'Staff Hours'!$AN40*'Staff Hours'!T40))</f>
        <v>0</v>
      </c>
      <c r="U40" s="161">
        <f>IF(ISNUMBER('Staff Hours'!U40)=FALSE,0,(HLOOKUP(Budgets!$C40,'Store Details'!$F$25:$AU$26,2)/'Staff Hours'!$AN40*'Staff Hours'!U40))</f>
        <v>0</v>
      </c>
      <c r="V40" s="161">
        <f>IF(ISNUMBER('Staff Hours'!V40)=FALSE,0,(HLOOKUP(Budgets!$C40,'Store Details'!$F$25:$AU$26,2)/'Staff Hours'!$AN40*'Staff Hours'!V40))</f>
        <v>0</v>
      </c>
      <c r="W40" s="161">
        <f>IF(ISNUMBER('Staff Hours'!W40)=FALSE,0,(HLOOKUP(Budgets!$C40,'Store Details'!$F$25:$AU$26,2)/'Staff Hours'!$AN40*'Staff Hours'!W40))</f>
        <v>0</v>
      </c>
      <c r="X40" s="161">
        <f>IF(ISNUMBER('Staff Hours'!X40)=FALSE,0,(HLOOKUP(Budgets!$C40,'Store Details'!$F$25:$AU$26,2)/'Staff Hours'!$AN40*'Staff Hours'!X40))</f>
        <v>0</v>
      </c>
      <c r="Y40" s="10"/>
      <c r="Z40" s="10"/>
      <c r="AA40" s="10"/>
      <c r="AB40" s="10"/>
      <c r="AC40" s="10"/>
      <c r="AD40" s="10"/>
      <c r="AE40" s="10"/>
      <c r="AF40" s="10"/>
      <c r="AG40" s="161" t="s">
        <v>163</v>
      </c>
      <c r="AI40" s="162">
        <f t="shared" si="3"/>
        <v>0</v>
      </c>
      <c r="AJ40" s="162">
        <f t="shared" si="3"/>
        <v>0</v>
      </c>
      <c r="AK40" s="162">
        <f t="shared" si="3"/>
        <v>0</v>
      </c>
      <c r="AL40" s="162">
        <f t="shared" si="3"/>
        <v>0</v>
      </c>
      <c r="AM40" s="162">
        <f t="shared" si="3"/>
        <v>0</v>
      </c>
    </row>
    <row r="41" spans="2:39" s="25" customFormat="1" ht="14.25" customHeight="1">
      <c r="B41" s="154" t="s">
        <v>26</v>
      </c>
      <c r="C41" s="155">
        <f>'Daily &amp; Weekly Totals'!E55</f>
        <v>43955</v>
      </c>
      <c r="D41" s="160"/>
      <c r="E41" s="161">
        <f>IF(ISNUMBER('Staff Hours'!E41)=FALSE,0,(HLOOKUP(Budgets!$C41,'Store Details'!$F$25:$AU$26,2)/'Staff Hours'!$AN41*'Staff Hours'!E41))</f>
        <v>0</v>
      </c>
      <c r="F41" s="161">
        <f>IF(ISNUMBER('Staff Hours'!F41)=FALSE,0,(HLOOKUP(Budgets!$C41,'Store Details'!$F$25:$AU$26,2)/'Staff Hours'!$AN41*'Staff Hours'!F41))</f>
        <v>0</v>
      </c>
      <c r="G41" s="161">
        <f>IF(ISNUMBER('Staff Hours'!G41)=FALSE,0,(HLOOKUP(Budgets!$C41,'Store Details'!$F$25:$AU$26,2)/'Staff Hours'!$AN41*'Staff Hours'!G41))</f>
        <v>0</v>
      </c>
      <c r="H41" s="161">
        <f>IF(ISNUMBER('Staff Hours'!H41)=FALSE,0,(HLOOKUP(Budgets!$C41,'Store Details'!$F$25:$AU$26,2)/'Staff Hours'!$AN41*'Staff Hours'!H41))</f>
        <v>0</v>
      </c>
      <c r="I41" s="161">
        <f>IF(ISNUMBER('Staff Hours'!I41)=FALSE,0,(HLOOKUP(Budgets!$C41,'Store Details'!$F$25:$AU$26,2)/'Staff Hours'!$AN41*'Staff Hours'!I41))</f>
        <v>0</v>
      </c>
      <c r="J41" s="161">
        <f>IF(ISNUMBER('Staff Hours'!J41)=FALSE,0,(HLOOKUP(Budgets!$C41,'Store Details'!$F$25:$AU$26,2)/'Staff Hours'!$AN41*'Staff Hours'!J41))</f>
        <v>0</v>
      </c>
      <c r="K41" s="161">
        <f>IF(ISNUMBER('Staff Hours'!K41)=FALSE,0,(HLOOKUP(Budgets!$C41,'Store Details'!$F$25:$AU$26,2)/'Staff Hours'!$AN41*'Staff Hours'!K41))</f>
        <v>0</v>
      </c>
      <c r="L41" s="161">
        <f>IF(ISNUMBER('Staff Hours'!L41)=FALSE,0,(HLOOKUP(Budgets!$C41,'Store Details'!$F$25:$AU$26,2)/'Staff Hours'!$AN41*'Staff Hours'!L41))</f>
        <v>0</v>
      </c>
      <c r="M41" s="161">
        <f>IF(ISNUMBER('Staff Hours'!M41)=FALSE,0,(HLOOKUP(Budgets!$C41,'Store Details'!$F$25:$AU$26,2)/'Staff Hours'!$AN41*'Staff Hours'!M41))</f>
        <v>0</v>
      </c>
      <c r="N41" s="161">
        <f>IF(ISNUMBER('Staff Hours'!N41)=FALSE,0,(HLOOKUP(Budgets!$C41,'Store Details'!$F$25:$AU$26,2)/'Staff Hours'!$AN41*'Staff Hours'!N41))</f>
        <v>0</v>
      </c>
      <c r="O41" s="161">
        <f>IF(ISNUMBER('Staff Hours'!O41)=FALSE,0,(HLOOKUP(Budgets!$C41,'Store Details'!$F$25:$AU$26,2)/'Staff Hours'!$AN41*'Staff Hours'!O41))</f>
        <v>0</v>
      </c>
      <c r="P41" s="161">
        <f>IF(ISNUMBER('Staff Hours'!P41)=FALSE,0,(HLOOKUP(Budgets!$C41,'Store Details'!$F$25:$AU$26,2)/'Staff Hours'!$AN41*'Staff Hours'!P41))</f>
        <v>0</v>
      </c>
      <c r="Q41" s="161">
        <f>IF(ISNUMBER('Staff Hours'!Q41)=FALSE,0,(HLOOKUP(Budgets!$C41,'Store Details'!$F$25:$AU$26,2)/'Staff Hours'!$AN41*'Staff Hours'!Q41))</f>
        <v>0</v>
      </c>
      <c r="R41" s="161">
        <f>IF(ISNUMBER('Staff Hours'!R41)=FALSE,0,(HLOOKUP(Budgets!$C41,'Store Details'!$F$25:$AU$26,2)/'Staff Hours'!$AN41*'Staff Hours'!R41))</f>
        <v>0</v>
      </c>
      <c r="S41" s="161">
        <f>IF(ISNUMBER('Staff Hours'!S41)=FALSE,0,(HLOOKUP(Budgets!$C41,'Store Details'!$F$25:$AU$26,2)/'Staff Hours'!$AN41*'Staff Hours'!S41))</f>
        <v>0</v>
      </c>
      <c r="T41" s="161">
        <f>IF(ISNUMBER('Staff Hours'!T41)=FALSE,0,(HLOOKUP(Budgets!$C41,'Store Details'!$F$25:$AU$26,2)/'Staff Hours'!$AN41*'Staff Hours'!T41))</f>
        <v>0</v>
      </c>
      <c r="U41" s="161">
        <f>IF(ISNUMBER('Staff Hours'!U41)=FALSE,0,(HLOOKUP(Budgets!$C41,'Store Details'!$F$25:$AU$26,2)/'Staff Hours'!$AN41*'Staff Hours'!U41))</f>
        <v>0</v>
      </c>
      <c r="V41" s="161">
        <f>IF(ISNUMBER('Staff Hours'!V41)=FALSE,0,(HLOOKUP(Budgets!$C41,'Store Details'!$F$25:$AU$26,2)/'Staff Hours'!$AN41*'Staff Hours'!V41))</f>
        <v>0</v>
      </c>
      <c r="W41" s="161">
        <f>IF(ISNUMBER('Staff Hours'!W41)=FALSE,0,(HLOOKUP(Budgets!$C41,'Store Details'!$F$25:$AU$26,2)/'Staff Hours'!$AN41*'Staff Hours'!W41))</f>
        <v>0</v>
      </c>
      <c r="X41" s="161">
        <f>IF(ISNUMBER('Staff Hours'!X41)=FALSE,0,(HLOOKUP(Budgets!$C41,'Store Details'!$F$25:$AU$26,2)/'Staff Hours'!$AN41*'Staff Hours'!X41))</f>
        <v>0</v>
      </c>
      <c r="Y41" s="10"/>
      <c r="Z41" s="10"/>
      <c r="AA41" s="10"/>
      <c r="AB41" s="10"/>
      <c r="AC41" s="10"/>
      <c r="AD41" s="10"/>
      <c r="AE41" s="10"/>
      <c r="AF41" s="10"/>
      <c r="AG41" s="161" t="s">
        <v>163</v>
      </c>
      <c r="AI41" s="162">
        <f t="shared" si="3"/>
        <v>0</v>
      </c>
      <c r="AJ41" s="162">
        <f t="shared" si="3"/>
        <v>0</v>
      </c>
      <c r="AK41" s="162">
        <f t="shared" si="3"/>
        <v>0</v>
      </c>
      <c r="AL41" s="162">
        <f t="shared" si="3"/>
        <v>0</v>
      </c>
      <c r="AM41" s="162">
        <f t="shared" si="3"/>
        <v>0</v>
      </c>
    </row>
    <row r="42" spans="2:39" s="25" customFormat="1" ht="14.25" customHeight="1">
      <c r="B42" s="154" t="s">
        <v>27</v>
      </c>
      <c r="C42" s="155">
        <f>'Daily &amp; Weekly Totals'!E56</f>
        <v>43956</v>
      </c>
      <c r="D42" s="160"/>
      <c r="E42" s="161">
        <f>IF(ISNUMBER('Staff Hours'!E42)=FALSE,0,(HLOOKUP(Budgets!$C42,'Store Details'!$F$25:$AU$26,2)/'Staff Hours'!$AN42*'Staff Hours'!E42))</f>
        <v>0</v>
      </c>
      <c r="F42" s="161">
        <f>IF(ISNUMBER('Staff Hours'!F42)=FALSE,0,(HLOOKUP(Budgets!$C42,'Store Details'!$F$25:$AU$26,2)/'Staff Hours'!$AN42*'Staff Hours'!F42))</f>
        <v>0</v>
      </c>
      <c r="G42" s="161">
        <f>IF(ISNUMBER('Staff Hours'!G42)=FALSE,0,(HLOOKUP(Budgets!$C42,'Store Details'!$F$25:$AU$26,2)/'Staff Hours'!$AN42*'Staff Hours'!G42))</f>
        <v>0</v>
      </c>
      <c r="H42" s="161">
        <f>IF(ISNUMBER('Staff Hours'!H42)=FALSE,0,(HLOOKUP(Budgets!$C42,'Store Details'!$F$25:$AU$26,2)/'Staff Hours'!$AN42*'Staff Hours'!H42))</f>
        <v>0</v>
      </c>
      <c r="I42" s="161">
        <f>IF(ISNUMBER('Staff Hours'!I42)=FALSE,0,(HLOOKUP(Budgets!$C42,'Store Details'!$F$25:$AU$26,2)/'Staff Hours'!$AN42*'Staff Hours'!I42))</f>
        <v>0</v>
      </c>
      <c r="J42" s="161">
        <f>IF(ISNUMBER('Staff Hours'!J42)=FALSE,0,(HLOOKUP(Budgets!$C42,'Store Details'!$F$25:$AU$26,2)/'Staff Hours'!$AN42*'Staff Hours'!J42))</f>
        <v>0</v>
      </c>
      <c r="K42" s="161">
        <f>IF(ISNUMBER('Staff Hours'!K42)=FALSE,0,(HLOOKUP(Budgets!$C42,'Store Details'!$F$25:$AU$26,2)/'Staff Hours'!$AN42*'Staff Hours'!K42))</f>
        <v>0</v>
      </c>
      <c r="L42" s="161">
        <f>IF(ISNUMBER('Staff Hours'!L42)=FALSE,0,(HLOOKUP(Budgets!$C42,'Store Details'!$F$25:$AU$26,2)/'Staff Hours'!$AN42*'Staff Hours'!L42))</f>
        <v>0</v>
      </c>
      <c r="M42" s="161">
        <f>IF(ISNUMBER('Staff Hours'!M42)=FALSE,0,(HLOOKUP(Budgets!$C42,'Store Details'!$F$25:$AU$26,2)/'Staff Hours'!$AN42*'Staff Hours'!M42))</f>
        <v>0</v>
      </c>
      <c r="N42" s="161">
        <f>IF(ISNUMBER('Staff Hours'!N42)=FALSE,0,(HLOOKUP(Budgets!$C42,'Store Details'!$F$25:$AU$26,2)/'Staff Hours'!$AN42*'Staff Hours'!N42))</f>
        <v>0</v>
      </c>
      <c r="O42" s="161">
        <f>IF(ISNUMBER('Staff Hours'!O42)=FALSE,0,(HLOOKUP(Budgets!$C42,'Store Details'!$F$25:$AU$26,2)/'Staff Hours'!$AN42*'Staff Hours'!O42))</f>
        <v>0</v>
      </c>
      <c r="P42" s="161">
        <f>IF(ISNUMBER('Staff Hours'!P42)=FALSE,0,(HLOOKUP(Budgets!$C42,'Store Details'!$F$25:$AU$26,2)/'Staff Hours'!$AN42*'Staff Hours'!P42))</f>
        <v>0</v>
      </c>
      <c r="Q42" s="161">
        <f>IF(ISNUMBER('Staff Hours'!Q42)=FALSE,0,(HLOOKUP(Budgets!$C42,'Store Details'!$F$25:$AU$26,2)/'Staff Hours'!$AN42*'Staff Hours'!Q42))</f>
        <v>0</v>
      </c>
      <c r="R42" s="161">
        <f>IF(ISNUMBER('Staff Hours'!R42)=FALSE,0,(HLOOKUP(Budgets!$C42,'Store Details'!$F$25:$AU$26,2)/'Staff Hours'!$AN42*'Staff Hours'!R42))</f>
        <v>0</v>
      </c>
      <c r="S42" s="161">
        <f>IF(ISNUMBER('Staff Hours'!S42)=FALSE,0,(HLOOKUP(Budgets!$C42,'Store Details'!$F$25:$AU$26,2)/'Staff Hours'!$AN42*'Staff Hours'!S42))</f>
        <v>0</v>
      </c>
      <c r="T42" s="161">
        <f>IF(ISNUMBER('Staff Hours'!T42)=FALSE,0,(HLOOKUP(Budgets!$C42,'Store Details'!$F$25:$AU$26,2)/'Staff Hours'!$AN42*'Staff Hours'!T42))</f>
        <v>0</v>
      </c>
      <c r="U42" s="161">
        <f>IF(ISNUMBER('Staff Hours'!U42)=FALSE,0,(HLOOKUP(Budgets!$C42,'Store Details'!$F$25:$AU$26,2)/'Staff Hours'!$AN42*'Staff Hours'!U42))</f>
        <v>0</v>
      </c>
      <c r="V42" s="161">
        <f>IF(ISNUMBER('Staff Hours'!V42)=FALSE,0,(HLOOKUP(Budgets!$C42,'Store Details'!$F$25:$AU$26,2)/'Staff Hours'!$AN42*'Staff Hours'!V42))</f>
        <v>0</v>
      </c>
      <c r="W42" s="161">
        <f>IF(ISNUMBER('Staff Hours'!W42)=FALSE,0,(HLOOKUP(Budgets!$C42,'Store Details'!$F$25:$AU$26,2)/'Staff Hours'!$AN42*'Staff Hours'!W42))</f>
        <v>0</v>
      </c>
      <c r="X42" s="161">
        <f>IF(ISNUMBER('Staff Hours'!X42)=FALSE,0,(HLOOKUP(Budgets!$C42,'Store Details'!$F$25:$AU$26,2)/'Staff Hours'!$AN42*'Staff Hours'!X42))</f>
        <v>0</v>
      </c>
      <c r="Y42" s="10"/>
      <c r="Z42" s="10"/>
      <c r="AA42" s="10"/>
      <c r="AB42" s="10"/>
      <c r="AC42" s="10"/>
      <c r="AD42" s="10"/>
      <c r="AE42" s="10"/>
      <c r="AF42" s="10"/>
      <c r="AG42" s="161" t="s">
        <v>163</v>
      </c>
      <c r="AI42" s="162">
        <f t="shared" si="3"/>
        <v>0</v>
      </c>
      <c r="AJ42" s="162">
        <f t="shared" si="3"/>
        <v>0</v>
      </c>
      <c r="AK42" s="162">
        <f t="shared" si="3"/>
        <v>0</v>
      </c>
      <c r="AL42" s="162">
        <f t="shared" si="3"/>
        <v>0</v>
      </c>
      <c r="AM42" s="162">
        <f t="shared" si="3"/>
        <v>0</v>
      </c>
    </row>
    <row r="43" spans="2:39" s="25" customFormat="1" ht="14.25" customHeight="1">
      <c r="B43" s="154" t="s">
        <v>28</v>
      </c>
      <c r="C43" s="155">
        <f>'Daily &amp; Weekly Totals'!E57</f>
        <v>43957</v>
      </c>
      <c r="D43" s="160"/>
      <c r="E43" s="161">
        <f>IF(ISNUMBER('Staff Hours'!E43)=FALSE,0,(HLOOKUP(Budgets!$C43,'Store Details'!$F$25:$AU$26,2)/'Staff Hours'!$AN43*'Staff Hours'!E43))</f>
        <v>0</v>
      </c>
      <c r="F43" s="161">
        <f>IF(ISNUMBER('Staff Hours'!F43)=FALSE,0,(HLOOKUP(Budgets!$C43,'Store Details'!$F$25:$AU$26,2)/'Staff Hours'!$AN43*'Staff Hours'!F43))</f>
        <v>0</v>
      </c>
      <c r="G43" s="161">
        <f>IF(ISNUMBER('Staff Hours'!G43)=FALSE,0,(HLOOKUP(Budgets!$C43,'Store Details'!$F$25:$AU$26,2)/'Staff Hours'!$AN43*'Staff Hours'!G43))</f>
        <v>0</v>
      </c>
      <c r="H43" s="161">
        <f>IF(ISNUMBER('Staff Hours'!H43)=FALSE,0,(HLOOKUP(Budgets!$C43,'Store Details'!$F$25:$AU$26,2)/'Staff Hours'!$AN43*'Staff Hours'!H43))</f>
        <v>0</v>
      </c>
      <c r="I43" s="161">
        <f>IF(ISNUMBER('Staff Hours'!I43)=FALSE,0,(HLOOKUP(Budgets!$C43,'Store Details'!$F$25:$AU$26,2)/'Staff Hours'!$AN43*'Staff Hours'!I43))</f>
        <v>0</v>
      </c>
      <c r="J43" s="161">
        <f>IF(ISNUMBER('Staff Hours'!J43)=FALSE,0,(HLOOKUP(Budgets!$C43,'Store Details'!$F$25:$AU$26,2)/'Staff Hours'!$AN43*'Staff Hours'!J43))</f>
        <v>0</v>
      </c>
      <c r="K43" s="161">
        <f>IF(ISNUMBER('Staff Hours'!K43)=FALSE,0,(HLOOKUP(Budgets!$C43,'Store Details'!$F$25:$AU$26,2)/'Staff Hours'!$AN43*'Staff Hours'!K43))</f>
        <v>0</v>
      </c>
      <c r="L43" s="161">
        <f>IF(ISNUMBER('Staff Hours'!L43)=FALSE,0,(HLOOKUP(Budgets!$C43,'Store Details'!$F$25:$AU$26,2)/'Staff Hours'!$AN43*'Staff Hours'!L43))</f>
        <v>0</v>
      </c>
      <c r="M43" s="161">
        <f>IF(ISNUMBER('Staff Hours'!M43)=FALSE,0,(HLOOKUP(Budgets!$C43,'Store Details'!$F$25:$AU$26,2)/'Staff Hours'!$AN43*'Staff Hours'!M43))</f>
        <v>0</v>
      </c>
      <c r="N43" s="161">
        <f>IF(ISNUMBER('Staff Hours'!N43)=FALSE,0,(HLOOKUP(Budgets!$C43,'Store Details'!$F$25:$AU$26,2)/'Staff Hours'!$AN43*'Staff Hours'!N43))</f>
        <v>0</v>
      </c>
      <c r="O43" s="161">
        <f>IF(ISNUMBER('Staff Hours'!O43)=FALSE,0,(HLOOKUP(Budgets!$C43,'Store Details'!$F$25:$AU$26,2)/'Staff Hours'!$AN43*'Staff Hours'!O43))</f>
        <v>0</v>
      </c>
      <c r="P43" s="161">
        <f>IF(ISNUMBER('Staff Hours'!P43)=FALSE,0,(HLOOKUP(Budgets!$C43,'Store Details'!$F$25:$AU$26,2)/'Staff Hours'!$AN43*'Staff Hours'!P43))</f>
        <v>0</v>
      </c>
      <c r="Q43" s="161">
        <f>IF(ISNUMBER('Staff Hours'!Q43)=FALSE,0,(HLOOKUP(Budgets!$C43,'Store Details'!$F$25:$AU$26,2)/'Staff Hours'!$AN43*'Staff Hours'!Q43))</f>
        <v>0</v>
      </c>
      <c r="R43" s="161">
        <f>IF(ISNUMBER('Staff Hours'!R43)=FALSE,0,(HLOOKUP(Budgets!$C43,'Store Details'!$F$25:$AU$26,2)/'Staff Hours'!$AN43*'Staff Hours'!R43))</f>
        <v>0</v>
      </c>
      <c r="S43" s="161">
        <f>IF(ISNUMBER('Staff Hours'!S43)=FALSE,0,(HLOOKUP(Budgets!$C43,'Store Details'!$F$25:$AU$26,2)/'Staff Hours'!$AN43*'Staff Hours'!S43))</f>
        <v>0</v>
      </c>
      <c r="T43" s="161">
        <f>IF(ISNUMBER('Staff Hours'!T43)=FALSE,0,(HLOOKUP(Budgets!$C43,'Store Details'!$F$25:$AU$26,2)/'Staff Hours'!$AN43*'Staff Hours'!T43))</f>
        <v>0</v>
      </c>
      <c r="U43" s="161">
        <f>IF(ISNUMBER('Staff Hours'!U43)=FALSE,0,(HLOOKUP(Budgets!$C43,'Store Details'!$F$25:$AU$26,2)/'Staff Hours'!$AN43*'Staff Hours'!U43))</f>
        <v>0</v>
      </c>
      <c r="V43" s="161">
        <f>IF(ISNUMBER('Staff Hours'!V43)=FALSE,0,(HLOOKUP(Budgets!$C43,'Store Details'!$F$25:$AU$26,2)/'Staff Hours'!$AN43*'Staff Hours'!V43))</f>
        <v>0</v>
      </c>
      <c r="W43" s="161">
        <f>IF(ISNUMBER('Staff Hours'!W43)=FALSE,0,(HLOOKUP(Budgets!$C43,'Store Details'!$F$25:$AU$26,2)/'Staff Hours'!$AN43*'Staff Hours'!W43))</f>
        <v>0</v>
      </c>
      <c r="X43" s="161">
        <f>IF(ISNUMBER('Staff Hours'!X43)=FALSE,0,(HLOOKUP(Budgets!$C43,'Store Details'!$F$25:$AU$26,2)/'Staff Hours'!$AN43*'Staff Hours'!X43))</f>
        <v>0</v>
      </c>
      <c r="Y43" s="10"/>
      <c r="Z43" s="10"/>
      <c r="AA43" s="10"/>
      <c r="AB43" s="10"/>
      <c r="AC43" s="10"/>
      <c r="AD43" s="10"/>
      <c r="AE43" s="10"/>
      <c r="AF43" s="10"/>
      <c r="AG43" s="161" t="s">
        <v>163</v>
      </c>
      <c r="AI43" s="162">
        <f t="shared" si="3"/>
        <v>0</v>
      </c>
      <c r="AJ43" s="162">
        <f t="shared" si="3"/>
        <v>0</v>
      </c>
      <c r="AK43" s="162">
        <f t="shared" si="3"/>
        <v>0</v>
      </c>
      <c r="AL43" s="162">
        <f t="shared" si="3"/>
        <v>0</v>
      </c>
      <c r="AM43" s="162">
        <f t="shared" si="3"/>
        <v>0</v>
      </c>
    </row>
    <row r="44" spans="2:39" s="25" customFormat="1" ht="14.25" customHeight="1">
      <c r="B44" s="154" t="s">
        <v>29</v>
      </c>
      <c r="C44" s="155">
        <f>'Daily &amp; Weekly Totals'!E58</f>
        <v>43958</v>
      </c>
      <c r="D44" s="160"/>
      <c r="E44" s="161">
        <f>IF(ISNUMBER('Staff Hours'!E44)=FALSE,0,(HLOOKUP(Budgets!$C44,'Store Details'!$F$25:$AU$26,2)/'Staff Hours'!$AN44*'Staff Hours'!E44))</f>
        <v>0</v>
      </c>
      <c r="F44" s="161">
        <f>IF(ISNUMBER('Staff Hours'!F44)=FALSE,0,(HLOOKUP(Budgets!$C44,'Store Details'!$F$25:$AU$26,2)/'Staff Hours'!$AN44*'Staff Hours'!F44))</f>
        <v>0</v>
      </c>
      <c r="G44" s="161">
        <f>IF(ISNUMBER('Staff Hours'!G44)=FALSE,0,(HLOOKUP(Budgets!$C44,'Store Details'!$F$25:$AU$26,2)/'Staff Hours'!$AN44*'Staff Hours'!G44))</f>
        <v>0</v>
      </c>
      <c r="H44" s="161">
        <f>IF(ISNUMBER('Staff Hours'!H44)=FALSE,0,(HLOOKUP(Budgets!$C44,'Store Details'!$F$25:$AU$26,2)/'Staff Hours'!$AN44*'Staff Hours'!H44))</f>
        <v>0</v>
      </c>
      <c r="I44" s="161">
        <f>IF(ISNUMBER('Staff Hours'!I44)=FALSE,0,(HLOOKUP(Budgets!$C44,'Store Details'!$F$25:$AU$26,2)/'Staff Hours'!$AN44*'Staff Hours'!I44))</f>
        <v>0</v>
      </c>
      <c r="J44" s="161">
        <f>IF(ISNUMBER('Staff Hours'!J44)=FALSE,0,(HLOOKUP(Budgets!$C44,'Store Details'!$F$25:$AU$26,2)/'Staff Hours'!$AN44*'Staff Hours'!J44))</f>
        <v>0</v>
      </c>
      <c r="K44" s="161">
        <f>IF(ISNUMBER('Staff Hours'!K44)=FALSE,0,(HLOOKUP(Budgets!$C44,'Store Details'!$F$25:$AU$26,2)/'Staff Hours'!$AN44*'Staff Hours'!K44))</f>
        <v>0</v>
      </c>
      <c r="L44" s="161">
        <f>IF(ISNUMBER('Staff Hours'!L44)=FALSE,0,(HLOOKUP(Budgets!$C44,'Store Details'!$F$25:$AU$26,2)/'Staff Hours'!$AN44*'Staff Hours'!L44))</f>
        <v>0</v>
      </c>
      <c r="M44" s="161">
        <f>IF(ISNUMBER('Staff Hours'!M44)=FALSE,0,(HLOOKUP(Budgets!$C44,'Store Details'!$F$25:$AU$26,2)/'Staff Hours'!$AN44*'Staff Hours'!M44))</f>
        <v>0</v>
      </c>
      <c r="N44" s="161">
        <f>IF(ISNUMBER('Staff Hours'!N44)=FALSE,0,(HLOOKUP(Budgets!$C44,'Store Details'!$F$25:$AU$26,2)/'Staff Hours'!$AN44*'Staff Hours'!N44))</f>
        <v>0</v>
      </c>
      <c r="O44" s="161">
        <f>IF(ISNUMBER('Staff Hours'!O44)=FALSE,0,(HLOOKUP(Budgets!$C44,'Store Details'!$F$25:$AU$26,2)/'Staff Hours'!$AN44*'Staff Hours'!O44))</f>
        <v>0</v>
      </c>
      <c r="P44" s="161">
        <f>IF(ISNUMBER('Staff Hours'!P44)=FALSE,0,(HLOOKUP(Budgets!$C44,'Store Details'!$F$25:$AU$26,2)/'Staff Hours'!$AN44*'Staff Hours'!P44))</f>
        <v>0</v>
      </c>
      <c r="Q44" s="161">
        <f>IF(ISNUMBER('Staff Hours'!Q44)=FALSE,0,(HLOOKUP(Budgets!$C44,'Store Details'!$F$25:$AU$26,2)/'Staff Hours'!$AN44*'Staff Hours'!Q44))</f>
        <v>0</v>
      </c>
      <c r="R44" s="161">
        <f>IF(ISNUMBER('Staff Hours'!R44)=FALSE,0,(HLOOKUP(Budgets!$C44,'Store Details'!$F$25:$AU$26,2)/'Staff Hours'!$AN44*'Staff Hours'!R44))</f>
        <v>0</v>
      </c>
      <c r="S44" s="161">
        <f>IF(ISNUMBER('Staff Hours'!S44)=FALSE,0,(HLOOKUP(Budgets!$C44,'Store Details'!$F$25:$AU$26,2)/'Staff Hours'!$AN44*'Staff Hours'!S44))</f>
        <v>0</v>
      </c>
      <c r="T44" s="161">
        <f>IF(ISNUMBER('Staff Hours'!T44)=FALSE,0,(HLOOKUP(Budgets!$C44,'Store Details'!$F$25:$AU$26,2)/'Staff Hours'!$AN44*'Staff Hours'!T44))</f>
        <v>0</v>
      </c>
      <c r="U44" s="161">
        <f>IF(ISNUMBER('Staff Hours'!U44)=FALSE,0,(HLOOKUP(Budgets!$C44,'Store Details'!$F$25:$AU$26,2)/'Staff Hours'!$AN44*'Staff Hours'!U44))</f>
        <v>0</v>
      </c>
      <c r="V44" s="161">
        <f>IF(ISNUMBER('Staff Hours'!V44)=FALSE,0,(HLOOKUP(Budgets!$C44,'Store Details'!$F$25:$AU$26,2)/'Staff Hours'!$AN44*'Staff Hours'!V44))</f>
        <v>0</v>
      </c>
      <c r="W44" s="161">
        <f>IF(ISNUMBER('Staff Hours'!W44)=FALSE,0,(HLOOKUP(Budgets!$C44,'Store Details'!$F$25:$AU$26,2)/'Staff Hours'!$AN44*'Staff Hours'!W44))</f>
        <v>0</v>
      </c>
      <c r="X44" s="161">
        <f>IF(ISNUMBER('Staff Hours'!X44)=FALSE,0,(HLOOKUP(Budgets!$C44,'Store Details'!$F$25:$AU$26,2)/'Staff Hours'!$AN44*'Staff Hours'!X44))</f>
        <v>0</v>
      </c>
      <c r="Y44" s="10"/>
      <c r="Z44" s="10"/>
      <c r="AA44" s="10"/>
      <c r="AB44" s="10"/>
      <c r="AC44" s="10"/>
      <c r="AD44" s="10"/>
      <c r="AE44" s="10"/>
      <c r="AF44" s="10"/>
      <c r="AG44" s="161" t="s">
        <v>163</v>
      </c>
      <c r="AI44" s="162">
        <f t="shared" si="3"/>
        <v>0</v>
      </c>
      <c r="AJ44" s="162">
        <f t="shared" si="3"/>
        <v>0</v>
      </c>
      <c r="AK44" s="162">
        <f t="shared" si="3"/>
        <v>0</v>
      </c>
      <c r="AL44" s="162">
        <f t="shared" si="3"/>
        <v>0</v>
      </c>
      <c r="AM44" s="162">
        <f t="shared" si="3"/>
        <v>0</v>
      </c>
    </row>
    <row r="45" spans="2:39" s="25" customFormat="1" ht="14.25" customHeight="1">
      <c r="B45" s="154" t="s">
        <v>30</v>
      </c>
      <c r="C45" s="155">
        <f>'Daily &amp; Weekly Totals'!E59</f>
        <v>43959</v>
      </c>
      <c r="D45" s="160"/>
      <c r="E45" s="161">
        <f>IF(ISNUMBER('Staff Hours'!E45)=FALSE,0,(HLOOKUP(Budgets!$C45,'Store Details'!$F$25:$AU$26,2)/'Staff Hours'!$AN45*'Staff Hours'!E45))</f>
        <v>0</v>
      </c>
      <c r="F45" s="161">
        <f>IF(ISNUMBER('Staff Hours'!F45)=FALSE,0,(HLOOKUP(Budgets!$C45,'Store Details'!$F$25:$AU$26,2)/'Staff Hours'!$AN45*'Staff Hours'!F45))</f>
        <v>0</v>
      </c>
      <c r="G45" s="161">
        <f>IF(ISNUMBER('Staff Hours'!G45)=FALSE,0,(HLOOKUP(Budgets!$C45,'Store Details'!$F$25:$AU$26,2)/'Staff Hours'!$AN45*'Staff Hours'!G45))</f>
        <v>0</v>
      </c>
      <c r="H45" s="161">
        <f>IF(ISNUMBER('Staff Hours'!H45)=FALSE,0,(HLOOKUP(Budgets!$C45,'Store Details'!$F$25:$AU$26,2)/'Staff Hours'!$AN45*'Staff Hours'!H45))</f>
        <v>0</v>
      </c>
      <c r="I45" s="161">
        <f>IF(ISNUMBER('Staff Hours'!I45)=FALSE,0,(HLOOKUP(Budgets!$C45,'Store Details'!$F$25:$AU$26,2)/'Staff Hours'!$AN45*'Staff Hours'!I45))</f>
        <v>0</v>
      </c>
      <c r="J45" s="161">
        <f>IF(ISNUMBER('Staff Hours'!J45)=FALSE,0,(HLOOKUP(Budgets!$C45,'Store Details'!$F$25:$AU$26,2)/'Staff Hours'!$AN45*'Staff Hours'!J45))</f>
        <v>0</v>
      </c>
      <c r="K45" s="161">
        <f>IF(ISNUMBER('Staff Hours'!K45)=FALSE,0,(HLOOKUP(Budgets!$C45,'Store Details'!$F$25:$AU$26,2)/'Staff Hours'!$AN45*'Staff Hours'!K45))</f>
        <v>0</v>
      </c>
      <c r="L45" s="161">
        <f>IF(ISNUMBER('Staff Hours'!L45)=FALSE,0,(HLOOKUP(Budgets!$C45,'Store Details'!$F$25:$AU$26,2)/'Staff Hours'!$AN45*'Staff Hours'!L45))</f>
        <v>0</v>
      </c>
      <c r="M45" s="161">
        <f>IF(ISNUMBER('Staff Hours'!M45)=FALSE,0,(HLOOKUP(Budgets!$C45,'Store Details'!$F$25:$AU$26,2)/'Staff Hours'!$AN45*'Staff Hours'!M45))</f>
        <v>0</v>
      </c>
      <c r="N45" s="161">
        <f>IF(ISNUMBER('Staff Hours'!N45)=FALSE,0,(HLOOKUP(Budgets!$C45,'Store Details'!$F$25:$AU$26,2)/'Staff Hours'!$AN45*'Staff Hours'!N45))</f>
        <v>0</v>
      </c>
      <c r="O45" s="161">
        <f>IF(ISNUMBER('Staff Hours'!O45)=FALSE,0,(HLOOKUP(Budgets!$C45,'Store Details'!$F$25:$AU$26,2)/'Staff Hours'!$AN45*'Staff Hours'!O45))</f>
        <v>0</v>
      </c>
      <c r="P45" s="161">
        <f>IF(ISNUMBER('Staff Hours'!P45)=FALSE,0,(HLOOKUP(Budgets!$C45,'Store Details'!$F$25:$AU$26,2)/'Staff Hours'!$AN45*'Staff Hours'!P45))</f>
        <v>0</v>
      </c>
      <c r="Q45" s="161">
        <f>IF(ISNUMBER('Staff Hours'!Q45)=FALSE,0,(HLOOKUP(Budgets!$C45,'Store Details'!$F$25:$AU$26,2)/'Staff Hours'!$AN45*'Staff Hours'!Q45))</f>
        <v>0</v>
      </c>
      <c r="R45" s="161">
        <f>IF(ISNUMBER('Staff Hours'!R45)=FALSE,0,(HLOOKUP(Budgets!$C45,'Store Details'!$F$25:$AU$26,2)/'Staff Hours'!$AN45*'Staff Hours'!R45))</f>
        <v>0</v>
      </c>
      <c r="S45" s="161">
        <f>IF(ISNUMBER('Staff Hours'!S45)=FALSE,0,(HLOOKUP(Budgets!$C45,'Store Details'!$F$25:$AU$26,2)/'Staff Hours'!$AN45*'Staff Hours'!S45))</f>
        <v>0</v>
      </c>
      <c r="T45" s="161">
        <f>IF(ISNUMBER('Staff Hours'!T45)=FALSE,0,(HLOOKUP(Budgets!$C45,'Store Details'!$F$25:$AU$26,2)/'Staff Hours'!$AN45*'Staff Hours'!T45))</f>
        <v>0</v>
      </c>
      <c r="U45" s="161">
        <f>IF(ISNUMBER('Staff Hours'!U45)=FALSE,0,(HLOOKUP(Budgets!$C45,'Store Details'!$F$25:$AU$26,2)/'Staff Hours'!$AN45*'Staff Hours'!U45))</f>
        <v>0</v>
      </c>
      <c r="V45" s="161">
        <f>IF(ISNUMBER('Staff Hours'!V45)=FALSE,0,(HLOOKUP(Budgets!$C45,'Store Details'!$F$25:$AU$26,2)/'Staff Hours'!$AN45*'Staff Hours'!V45))</f>
        <v>0</v>
      </c>
      <c r="W45" s="161">
        <f>IF(ISNUMBER('Staff Hours'!W45)=FALSE,0,(HLOOKUP(Budgets!$C45,'Store Details'!$F$25:$AU$26,2)/'Staff Hours'!$AN45*'Staff Hours'!W45))</f>
        <v>0</v>
      </c>
      <c r="X45" s="161">
        <f>IF(ISNUMBER('Staff Hours'!X45)=FALSE,0,(HLOOKUP(Budgets!$C45,'Store Details'!$F$25:$AU$26,2)/'Staff Hours'!$AN45*'Staff Hours'!X45))</f>
        <v>0</v>
      </c>
      <c r="Y45" s="10"/>
      <c r="Z45" s="10"/>
      <c r="AA45" s="10"/>
      <c r="AB45" s="10"/>
      <c r="AC45" s="10"/>
      <c r="AD45" s="10"/>
      <c r="AE45" s="10"/>
      <c r="AF45" s="10"/>
      <c r="AG45" s="161" t="s">
        <v>163</v>
      </c>
      <c r="AI45" s="162">
        <f t="shared" si="3"/>
        <v>0</v>
      </c>
      <c r="AJ45" s="162">
        <f t="shared" si="3"/>
        <v>0</v>
      </c>
      <c r="AK45" s="162">
        <f t="shared" si="3"/>
        <v>0</v>
      </c>
      <c r="AL45" s="162">
        <f t="shared" si="3"/>
        <v>0</v>
      </c>
      <c r="AM45" s="162">
        <f t="shared" si="3"/>
        <v>0</v>
      </c>
    </row>
    <row r="46" spans="2:39" s="25" customFormat="1" ht="14.25" customHeight="1">
      <c r="B46" s="154" t="s">
        <v>31</v>
      </c>
      <c r="C46" s="155">
        <f>'Daily &amp; Weekly Totals'!E60</f>
        <v>43960</v>
      </c>
      <c r="D46" s="160"/>
      <c r="E46" s="161">
        <f>IF(ISNUMBER('Staff Hours'!E46)=FALSE,0,(HLOOKUP(Budgets!$C46,'Store Details'!$F$25:$AU$26,2)/'Staff Hours'!$AN46*'Staff Hours'!E46))</f>
        <v>0</v>
      </c>
      <c r="F46" s="161">
        <f>IF(ISNUMBER('Staff Hours'!F46)=FALSE,0,(HLOOKUP(Budgets!$C46,'Store Details'!$F$25:$AU$26,2)/'Staff Hours'!$AN46*'Staff Hours'!F46))</f>
        <v>0</v>
      </c>
      <c r="G46" s="161">
        <f>IF(ISNUMBER('Staff Hours'!G46)=FALSE,0,(HLOOKUP(Budgets!$C46,'Store Details'!$F$25:$AU$26,2)/'Staff Hours'!$AN46*'Staff Hours'!G46))</f>
        <v>0</v>
      </c>
      <c r="H46" s="161">
        <f>IF(ISNUMBER('Staff Hours'!H46)=FALSE,0,(HLOOKUP(Budgets!$C46,'Store Details'!$F$25:$AU$26,2)/'Staff Hours'!$AN46*'Staff Hours'!H46))</f>
        <v>0</v>
      </c>
      <c r="I46" s="161">
        <f>IF(ISNUMBER('Staff Hours'!I46)=FALSE,0,(HLOOKUP(Budgets!$C46,'Store Details'!$F$25:$AU$26,2)/'Staff Hours'!$AN46*'Staff Hours'!I46))</f>
        <v>0</v>
      </c>
      <c r="J46" s="161">
        <f>IF(ISNUMBER('Staff Hours'!J46)=FALSE,0,(HLOOKUP(Budgets!$C46,'Store Details'!$F$25:$AU$26,2)/'Staff Hours'!$AN46*'Staff Hours'!J46))</f>
        <v>0</v>
      </c>
      <c r="K46" s="161">
        <f>IF(ISNUMBER('Staff Hours'!K46)=FALSE,0,(HLOOKUP(Budgets!$C46,'Store Details'!$F$25:$AU$26,2)/'Staff Hours'!$AN46*'Staff Hours'!K46))</f>
        <v>0</v>
      </c>
      <c r="L46" s="161">
        <f>IF(ISNUMBER('Staff Hours'!L46)=FALSE,0,(HLOOKUP(Budgets!$C46,'Store Details'!$F$25:$AU$26,2)/'Staff Hours'!$AN46*'Staff Hours'!L46))</f>
        <v>0</v>
      </c>
      <c r="M46" s="161">
        <f>IF(ISNUMBER('Staff Hours'!M46)=FALSE,0,(HLOOKUP(Budgets!$C46,'Store Details'!$F$25:$AU$26,2)/'Staff Hours'!$AN46*'Staff Hours'!M46))</f>
        <v>0</v>
      </c>
      <c r="N46" s="161">
        <f>IF(ISNUMBER('Staff Hours'!N46)=FALSE,0,(HLOOKUP(Budgets!$C46,'Store Details'!$F$25:$AU$26,2)/'Staff Hours'!$AN46*'Staff Hours'!N46))</f>
        <v>0</v>
      </c>
      <c r="O46" s="161">
        <f>IF(ISNUMBER('Staff Hours'!O46)=FALSE,0,(HLOOKUP(Budgets!$C46,'Store Details'!$F$25:$AU$26,2)/'Staff Hours'!$AN46*'Staff Hours'!O46))</f>
        <v>0</v>
      </c>
      <c r="P46" s="161">
        <f>IF(ISNUMBER('Staff Hours'!P46)=FALSE,0,(HLOOKUP(Budgets!$C46,'Store Details'!$F$25:$AU$26,2)/'Staff Hours'!$AN46*'Staff Hours'!P46))</f>
        <v>0</v>
      </c>
      <c r="Q46" s="161">
        <f>IF(ISNUMBER('Staff Hours'!Q46)=FALSE,0,(HLOOKUP(Budgets!$C46,'Store Details'!$F$25:$AU$26,2)/'Staff Hours'!$AN46*'Staff Hours'!Q46))</f>
        <v>0</v>
      </c>
      <c r="R46" s="161">
        <f>IF(ISNUMBER('Staff Hours'!R46)=FALSE,0,(HLOOKUP(Budgets!$C46,'Store Details'!$F$25:$AU$26,2)/'Staff Hours'!$AN46*'Staff Hours'!R46))</f>
        <v>0</v>
      </c>
      <c r="S46" s="161">
        <f>IF(ISNUMBER('Staff Hours'!S46)=FALSE,0,(HLOOKUP(Budgets!$C46,'Store Details'!$F$25:$AU$26,2)/'Staff Hours'!$AN46*'Staff Hours'!S46))</f>
        <v>0</v>
      </c>
      <c r="T46" s="161">
        <f>IF(ISNUMBER('Staff Hours'!T46)=FALSE,0,(HLOOKUP(Budgets!$C46,'Store Details'!$F$25:$AU$26,2)/'Staff Hours'!$AN46*'Staff Hours'!T46))</f>
        <v>0</v>
      </c>
      <c r="U46" s="161">
        <f>IF(ISNUMBER('Staff Hours'!U46)=FALSE,0,(HLOOKUP(Budgets!$C46,'Store Details'!$F$25:$AU$26,2)/'Staff Hours'!$AN46*'Staff Hours'!U46))</f>
        <v>0</v>
      </c>
      <c r="V46" s="161">
        <f>IF(ISNUMBER('Staff Hours'!V46)=FALSE,0,(HLOOKUP(Budgets!$C46,'Store Details'!$F$25:$AU$26,2)/'Staff Hours'!$AN46*'Staff Hours'!V46))</f>
        <v>0</v>
      </c>
      <c r="W46" s="161">
        <f>IF(ISNUMBER('Staff Hours'!W46)=FALSE,0,(HLOOKUP(Budgets!$C46,'Store Details'!$F$25:$AU$26,2)/'Staff Hours'!$AN46*'Staff Hours'!W46))</f>
        <v>0</v>
      </c>
      <c r="X46" s="161">
        <f>IF(ISNUMBER('Staff Hours'!X46)=FALSE,0,(HLOOKUP(Budgets!$C46,'Store Details'!$F$25:$AU$26,2)/'Staff Hours'!$AN46*'Staff Hours'!X46))</f>
        <v>0</v>
      </c>
      <c r="Y46" s="10"/>
      <c r="Z46" s="10"/>
      <c r="AA46" s="10"/>
      <c r="AB46" s="10"/>
      <c r="AC46" s="10"/>
      <c r="AD46" s="10"/>
      <c r="AE46" s="10"/>
      <c r="AF46" s="10"/>
      <c r="AG46" s="161" t="s">
        <v>163</v>
      </c>
      <c r="AI46" s="162">
        <f t="shared" si="3"/>
        <v>0</v>
      </c>
      <c r="AJ46" s="162">
        <f t="shared" si="3"/>
        <v>0</v>
      </c>
      <c r="AK46" s="162">
        <f t="shared" si="3"/>
        <v>0</v>
      </c>
      <c r="AL46" s="162">
        <f t="shared" si="3"/>
        <v>0</v>
      </c>
      <c r="AM46" s="162">
        <f t="shared" si="3"/>
        <v>0</v>
      </c>
    </row>
    <row r="47" spans="2:39" s="25" customFormat="1" ht="14.25" customHeight="1">
      <c r="B47" s="154" t="s">
        <v>32</v>
      </c>
      <c r="C47" s="155">
        <f>'Daily &amp; Weekly Totals'!E61</f>
        <v>43961</v>
      </c>
      <c r="D47" s="160"/>
      <c r="E47" s="161">
        <f>IF(ISNUMBER('Staff Hours'!E47)=FALSE,0,(HLOOKUP(Budgets!$C47,'Store Details'!$F$25:$AU$26,2)/'Staff Hours'!$AN47*'Staff Hours'!E47))</f>
        <v>0</v>
      </c>
      <c r="F47" s="161">
        <f>IF(ISNUMBER('Staff Hours'!F47)=FALSE,0,(HLOOKUP(Budgets!$C47,'Store Details'!$F$25:$AU$26,2)/'Staff Hours'!$AN47*'Staff Hours'!F47))</f>
        <v>0</v>
      </c>
      <c r="G47" s="161">
        <f>IF(ISNUMBER('Staff Hours'!G47)=FALSE,0,(HLOOKUP(Budgets!$C47,'Store Details'!$F$25:$AU$26,2)/'Staff Hours'!$AN47*'Staff Hours'!G47))</f>
        <v>0</v>
      </c>
      <c r="H47" s="161">
        <f>IF(ISNUMBER('Staff Hours'!H47)=FALSE,0,(HLOOKUP(Budgets!$C47,'Store Details'!$F$25:$AU$26,2)/'Staff Hours'!$AN47*'Staff Hours'!H47))</f>
        <v>0</v>
      </c>
      <c r="I47" s="161">
        <f>IF(ISNUMBER('Staff Hours'!I47)=FALSE,0,(HLOOKUP(Budgets!$C47,'Store Details'!$F$25:$AU$26,2)/'Staff Hours'!$AN47*'Staff Hours'!I47))</f>
        <v>0</v>
      </c>
      <c r="J47" s="161">
        <f>IF(ISNUMBER('Staff Hours'!J47)=FALSE,0,(HLOOKUP(Budgets!$C47,'Store Details'!$F$25:$AU$26,2)/'Staff Hours'!$AN47*'Staff Hours'!J47))</f>
        <v>0</v>
      </c>
      <c r="K47" s="161">
        <f>IF(ISNUMBER('Staff Hours'!K47)=FALSE,0,(HLOOKUP(Budgets!$C47,'Store Details'!$F$25:$AU$26,2)/'Staff Hours'!$AN47*'Staff Hours'!K47))</f>
        <v>0</v>
      </c>
      <c r="L47" s="161">
        <f>IF(ISNUMBER('Staff Hours'!L47)=FALSE,0,(HLOOKUP(Budgets!$C47,'Store Details'!$F$25:$AU$26,2)/'Staff Hours'!$AN47*'Staff Hours'!L47))</f>
        <v>0</v>
      </c>
      <c r="M47" s="161">
        <f>IF(ISNUMBER('Staff Hours'!M47)=FALSE,0,(HLOOKUP(Budgets!$C47,'Store Details'!$F$25:$AU$26,2)/'Staff Hours'!$AN47*'Staff Hours'!M47))</f>
        <v>0</v>
      </c>
      <c r="N47" s="161">
        <f>IF(ISNUMBER('Staff Hours'!N47)=FALSE,0,(HLOOKUP(Budgets!$C47,'Store Details'!$F$25:$AU$26,2)/'Staff Hours'!$AN47*'Staff Hours'!N47))</f>
        <v>0</v>
      </c>
      <c r="O47" s="161">
        <f>IF(ISNUMBER('Staff Hours'!O47)=FALSE,0,(HLOOKUP(Budgets!$C47,'Store Details'!$F$25:$AU$26,2)/'Staff Hours'!$AN47*'Staff Hours'!O47))</f>
        <v>0</v>
      </c>
      <c r="P47" s="161">
        <f>IF(ISNUMBER('Staff Hours'!P47)=FALSE,0,(HLOOKUP(Budgets!$C47,'Store Details'!$F$25:$AU$26,2)/'Staff Hours'!$AN47*'Staff Hours'!P47))</f>
        <v>0</v>
      </c>
      <c r="Q47" s="161">
        <f>IF(ISNUMBER('Staff Hours'!Q47)=FALSE,0,(HLOOKUP(Budgets!$C47,'Store Details'!$F$25:$AU$26,2)/'Staff Hours'!$AN47*'Staff Hours'!Q47))</f>
        <v>0</v>
      </c>
      <c r="R47" s="161">
        <f>IF(ISNUMBER('Staff Hours'!R47)=FALSE,0,(HLOOKUP(Budgets!$C47,'Store Details'!$F$25:$AU$26,2)/'Staff Hours'!$AN47*'Staff Hours'!R47))</f>
        <v>0</v>
      </c>
      <c r="S47" s="161">
        <f>IF(ISNUMBER('Staff Hours'!S47)=FALSE,0,(HLOOKUP(Budgets!$C47,'Store Details'!$F$25:$AU$26,2)/'Staff Hours'!$AN47*'Staff Hours'!S47))</f>
        <v>0</v>
      </c>
      <c r="T47" s="161">
        <f>IF(ISNUMBER('Staff Hours'!T47)=FALSE,0,(HLOOKUP(Budgets!$C47,'Store Details'!$F$25:$AU$26,2)/'Staff Hours'!$AN47*'Staff Hours'!T47))</f>
        <v>0</v>
      </c>
      <c r="U47" s="161">
        <f>IF(ISNUMBER('Staff Hours'!U47)=FALSE,0,(HLOOKUP(Budgets!$C47,'Store Details'!$F$25:$AU$26,2)/'Staff Hours'!$AN47*'Staff Hours'!U47))</f>
        <v>0</v>
      </c>
      <c r="V47" s="161">
        <f>IF(ISNUMBER('Staff Hours'!V47)=FALSE,0,(HLOOKUP(Budgets!$C47,'Store Details'!$F$25:$AU$26,2)/'Staff Hours'!$AN47*'Staff Hours'!V47))</f>
        <v>0</v>
      </c>
      <c r="W47" s="161">
        <f>IF(ISNUMBER('Staff Hours'!W47)=FALSE,0,(HLOOKUP(Budgets!$C47,'Store Details'!$F$25:$AU$26,2)/'Staff Hours'!$AN47*'Staff Hours'!W47))</f>
        <v>0</v>
      </c>
      <c r="X47" s="161">
        <f>IF(ISNUMBER('Staff Hours'!X47)=FALSE,0,(HLOOKUP(Budgets!$C47,'Store Details'!$F$25:$AU$26,2)/'Staff Hours'!$AN47*'Staff Hours'!X47))</f>
        <v>0</v>
      </c>
      <c r="Y47" s="10"/>
      <c r="Z47" s="10"/>
      <c r="AA47" s="10"/>
      <c r="AB47" s="10"/>
      <c r="AC47" s="10"/>
      <c r="AD47" s="10"/>
      <c r="AE47" s="10"/>
      <c r="AF47" s="10"/>
      <c r="AG47" s="161" t="s">
        <v>163</v>
      </c>
      <c r="AI47" s="162">
        <f t="shared" si="3"/>
        <v>0</v>
      </c>
      <c r="AJ47" s="162">
        <f t="shared" si="3"/>
        <v>0</v>
      </c>
      <c r="AK47" s="162">
        <f t="shared" si="3"/>
        <v>0</v>
      </c>
      <c r="AL47" s="162">
        <f t="shared" si="3"/>
        <v>0</v>
      </c>
      <c r="AM47" s="162">
        <f t="shared" si="3"/>
        <v>0</v>
      </c>
    </row>
    <row r="48" spans="2:39" s="25" customFormat="1" ht="14.25" customHeight="1">
      <c r="E48" s="156"/>
      <c r="F48" s="156"/>
      <c r="G48" s="156"/>
      <c r="H48" s="156"/>
    </row>
    <row r="49" spans="2:39" s="25" customFormat="1" ht="14.25" customHeight="1">
      <c r="B49" s="308" t="s">
        <v>164</v>
      </c>
      <c r="C49" s="310">
        <f>C12</f>
        <v>43926</v>
      </c>
      <c r="D49" s="160"/>
      <c r="E49" s="309">
        <f t="shared" ref="E49:X49" si="4">SUM(E6:E12)</f>
        <v>0</v>
      </c>
      <c r="F49" s="309">
        <f t="shared" si="4"/>
        <v>0</v>
      </c>
      <c r="G49" s="309">
        <f t="shared" si="4"/>
        <v>0</v>
      </c>
      <c r="H49" s="309">
        <f t="shared" si="4"/>
        <v>0</v>
      </c>
      <c r="I49" s="309">
        <f t="shared" si="4"/>
        <v>0</v>
      </c>
      <c r="J49" s="309">
        <f t="shared" si="4"/>
        <v>0</v>
      </c>
      <c r="K49" s="309">
        <f t="shared" si="4"/>
        <v>0</v>
      </c>
      <c r="L49" s="309">
        <f t="shared" si="4"/>
        <v>0</v>
      </c>
      <c r="M49" s="309">
        <f t="shared" si="4"/>
        <v>0</v>
      </c>
      <c r="N49" s="309">
        <f t="shared" si="4"/>
        <v>0</v>
      </c>
      <c r="O49" s="309">
        <f t="shared" si="4"/>
        <v>0</v>
      </c>
      <c r="P49" s="309">
        <f t="shared" si="4"/>
        <v>0</v>
      </c>
      <c r="Q49" s="309">
        <f t="shared" si="4"/>
        <v>0</v>
      </c>
      <c r="R49" s="309">
        <f t="shared" si="4"/>
        <v>0</v>
      </c>
      <c r="S49" s="309">
        <f t="shared" si="4"/>
        <v>0</v>
      </c>
      <c r="T49" s="309">
        <f t="shared" si="4"/>
        <v>0</v>
      </c>
      <c r="U49" s="309">
        <f t="shared" si="4"/>
        <v>0</v>
      </c>
      <c r="V49" s="309">
        <f t="shared" si="4"/>
        <v>0</v>
      </c>
      <c r="W49" s="309">
        <f t="shared" si="4"/>
        <v>0</v>
      </c>
      <c r="X49" s="309">
        <f t="shared" si="4"/>
        <v>0</v>
      </c>
      <c r="Y49" s="10"/>
      <c r="Z49" s="10"/>
      <c r="AA49" s="10"/>
      <c r="AB49" s="10"/>
      <c r="AC49" s="10"/>
      <c r="AD49" s="10"/>
      <c r="AE49" s="10"/>
      <c r="AF49" s="10"/>
      <c r="AG49" s="161"/>
      <c r="AI49" s="162"/>
      <c r="AJ49" s="162"/>
      <c r="AK49" s="162"/>
      <c r="AL49" s="162"/>
      <c r="AM49" s="162"/>
    </row>
    <row r="50" spans="2:39" s="25" customFormat="1" ht="14.25" customHeight="1">
      <c r="B50" s="308" t="s">
        <v>165</v>
      </c>
      <c r="C50" s="310">
        <f>C19</f>
        <v>43933</v>
      </c>
      <c r="D50" s="160"/>
      <c r="E50" s="309">
        <f t="shared" ref="E50:AF50" si="5">SUM(E13:E19)</f>
        <v>0</v>
      </c>
      <c r="F50" s="309">
        <f t="shared" si="5"/>
        <v>0</v>
      </c>
      <c r="G50" s="309">
        <f t="shared" si="5"/>
        <v>0</v>
      </c>
      <c r="H50" s="309">
        <f t="shared" si="5"/>
        <v>0</v>
      </c>
      <c r="I50" s="309">
        <f t="shared" si="5"/>
        <v>0</v>
      </c>
      <c r="J50" s="309">
        <f t="shared" si="5"/>
        <v>0</v>
      </c>
      <c r="K50" s="309">
        <f t="shared" si="5"/>
        <v>0</v>
      </c>
      <c r="L50" s="309">
        <f t="shared" si="5"/>
        <v>0</v>
      </c>
      <c r="M50" s="309">
        <f t="shared" si="5"/>
        <v>0</v>
      </c>
      <c r="N50" s="309">
        <f t="shared" si="5"/>
        <v>0</v>
      </c>
      <c r="O50" s="309">
        <f t="shared" si="5"/>
        <v>0</v>
      </c>
      <c r="P50" s="309">
        <f t="shared" si="5"/>
        <v>0</v>
      </c>
      <c r="Q50" s="309">
        <f t="shared" si="5"/>
        <v>0</v>
      </c>
      <c r="R50" s="309">
        <f t="shared" si="5"/>
        <v>0</v>
      </c>
      <c r="S50" s="309">
        <f t="shared" si="5"/>
        <v>0</v>
      </c>
      <c r="T50" s="309">
        <f t="shared" si="5"/>
        <v>0</v>
      </c>
      <c r="U50" s="309">
        <f t="shared" si="5"/>
        <v>0</v>
      </c>
      <c r="V50" s="309">
        <f t="shared" si="5"/>
        <v>0</v>
      </c>
      <c r="W50" s="309">
        <f t="shared" si="5"/>
        <v>0</v>
      </c>
      <c r="X50" s="309">
        <f t="shared" si="5"/>
        <v>0</v>
      </c>
      <c r="Y50" s="309">
        <f t="shared" si="5"/>
        <v>0</v>
      </c>
      <c r="Z50" s="309">
        <f t="shared" si="5"/>
        <v>0</v>
      </c>
      <c r="AA50" s="309">
        <f t="shared" si="5"/>
        <v>0</v>
      </c>
      <c r="AB50" s="309">
        <f t="shared" si="5"/>
        <v>0</v>
      </c>
      <c r="AC50" s="309">
        <f t="shared" si="5"/>
        <v>0</v>
      </c>
      <c r="AD50" s="309">
        <f t="shared" si="5"/>
        <v>0</v>
      </c>
      <c r="AE50" s="309">
        <f t="shared" si="5"/>
        <v>0</v>
      </c>
      <c r="AF50" s="309">
        <f t="shared" si="5"/>
        <v>0</v>
      </c>
      <c r="AG50" s="161"/>
    </row>
    <row r="51" spans="2:39" s="25" customFormat="1" ht="14.25" customHeight="1">
      <c r="B51" s="308" t="s">
        <v>165</v>
      </c>
      <c r="C51" s="310">
        <f>C26</f>
        <v>43940</v>
      </c>
      <c r="D51" s="160"/>
      <c r="E51" s="309">
        <f t="shared" ref="E51:X51" si="6">SUM(E20:E26)</f>
        <v>0</v>
      </c>
      <c r="F51" s="309">
        <f t="shared" si="6"/>
        <v>0</v>
      </c>
      <c r="G51" s="309">
        <f t="shared" si="6"/>
        <v>0</v>
      </c>
      <c r="H51" s="309">
        <f t="shared" si="6"/>
        <v>0</v>
      </c>
      <c r="I51" s="309">
        <f t="shared" si="6"/>
        <v>0</v>
      </c>
      <c r="J51" s="309">
        <f t="shared" si="6"/>
        <v>0</v>
      </c>
      <c r="K51" s="309">
        <f t="shared" si="6"/>
        <v>0</v>
      </c>
      <c r="L51" s="309">
        <f t="shared" si="6"/>
        <v>0</v>
      </c>
      <c r="M51" s="309">
        <f t="shared" si="6"/>
        <v>0</v>
      </c>
      <c r="N51" s="309">
        <f t="shared" si="6"/>
        <v>0</v>
      </c>
      <c r="O51" s="309">
        <f t="shared" si="6"/>
        <v>0</v>
      </c>
      <c r="P51" s="309">
        <f t="shared" si="6"/>
        <v>0</v>
      </c>
      <c r="Q51" s="309">
        <f t="shared" si="6"/>
        <v>0</v>
      </c>
      <c r="R51" s="309">
        <f t="shared" si="6"/>
        <v>0</v>
      </c>
      <c r="S51" s="309">
        <f t="shared" si="6"/>
        <v>0</v>
      </c>
      <c r="T51" s="309">
        <f t="shared" si="6"/>
        <v>0</v>
      </c>
      <c r="U51" s="309">
        <f t="shared" si="6"/>
        <v>0</v>
      </c>
      <c r="V51" s="309">
        <f t="shared" si="6"/>
        <v>0</v>
      </c>
      <c r="W51" s="309">
        <f t="shared" si="6"/>
        <v>0</v>
      </c>
      <c r="X51" s="309">
        <f t="shared" si="6"/>
        <v>0</v>
      </c>
    </row>
    <row r="52" spans="2:39" s="25" customFormat="1" ht="14.25" customHeight="1">
      <c r="B52" s="308" t="s">
        <v>165</v>
      </c>
      <c r="C52" s="310">
        <f>C33</f>
        <v>43947</v>
      </c>
      <c r="D52" s="160"/>
      <c r="E52" s="309">
        <f t="shared" ref="E52:X52" si="7">SUM(E27:E33)</f>
        <v>0</v>
      </c>
      <c r="F52" s="309">
        <f t="shared" si="7"/>
        <v>0</v>
      </c>
      <c r="G52" s="309">
        <f t="shared" si="7"/>
        <v>0</v>
      </c>
      <c r="H52" s="309">
        <f t="shared" si="7"/>
        <v>0</v>
      </c>
      <c r="I52" s="309">
        <f t="shared" si="7"/>
        <v>0</v>
      </c>
      <c r="J52" s="309">
        <f t="shared" si="7"/>
        <v>0</v>
      </c>
      <c r="K52" s="309">
        <f t="shared" si="7"/>
        <v>0</v>
      </c>
      <c r="L52" s="309">
        <f t="shared" si="7"/>
        <v>0</v>
      </c>
      <c r="M52" s="309">
        <f t="shared" si="7"/>
        <v>0</v>
      </c>
      <c r="N52" s="309">
        <f t="shared" si="7"/>
        <v>0</v>
      </c>
      <c r="O52" s="309">
        <f t="shared" si="7"/>
        <v>0</v>
      </c>
      <c r="P52" s="309">
        <f t="shared" si="7"/>
        <v>0</v>
      </c>
      <c r="Q52" s="309">
        <f t="shared" si="7"/>
        <v>0</v>
      </c>
      <c r="R52" s="309">
        <f t="shared" si="7"/>
        <v>0</v>
      </c>
      <c r="S52" s="309">
        <f t="shared" si="7"/>
        <v>0</v>
      </c>
      <c r="T52" s="309">
        <f t="shared" si="7"/>
        <v>0</v>
      </c>
      <c r="U52" s="309">
        <f t="shared" si="7"/>
        <v>0</v>
      </c>
      <c r="V52" s="309">
        <f t="shared" si="7"/>
        <v>0</v>
      </c>
      <c r="W52" s="309">
        <f t="shared" si="7"/>
        <v>0</v>
      </c>
      <c r="X52" s="309">
        <f t="shared" si="7"/>
        <v>0</v>
      </c>
    </row>
    <row r="53" spans="2:39" s="25" customFormat="1" ht="14.25" customHeight="1">
      <c r="B53" s="308" t="s">
        <v>165</v>
      </c>
      <c r="C53" s="310">
        <f>C40</f>
        <v>43954</v>
      </c>
      <c r="D53" s="160"/>
      <c r="E53" s="309">
        <f t="shared" ref="E53:X53" si="8">SUM(E34:E40)</f>
        <v>0</v>
      </c>
      <c r="F53" s="309">
        <f t="shared" si="8"/>
        <v>0</v>
      </c>
      <c r="G53" s="309">
        <f t="shared" si="8"/>
        <v>0</v>
      </c>
      <c r="H53" s="309">
        <f t="shared" si="8"/>
        <v>0</v>
      </c>
      <c r="I53" s="309">
        <f t="shared" si="8"/>
        <v>0</v>
      </c>
      <c r="J53" s="309">
        <f t="shared" si="8"/>
        <v>0</v>
      </c>
      <c r="K53" s="309">
        <f t="shared" si="8"/>
        <v>0</v>
      </c>
      <c r="L53" s="309">
        <f t="shared" si="8"/>
        <v>0</v>
      </c>
      <c r="M53" s="309">
        <f t="shared" si="8"/>
        <v>0</v>
      </c>
      <c r="N53" s="309">
        <f t="shared" si="8"/>
        <v>0</v>
      </c>
      <c r="O53" s="309">
        <f t="shared" si="8"/>
        <v>0</v>
      </c>
      <c r="P53" s="309">
        <f t="shared" si="8"/>
        <v>0</v>
      </c>
      <c r="Q53" s="309">
        <f t="shared" si="8"/>
        <v>0</v>
      </c>
      <c r="R53" s="309">
        <f t="shared" si="8"/>
        <v>0</v>
      </c>
      <c r="S53" s="309">
        <f t="shared" si="8"/>
        <v>0</v>
      </c>
      <c r="T53" s="309">
        <f t="shared" si="8"/>
        <v>0</v>
      </c>
      <c r="U53" s="309">
        <f t="shared" si="8"/>
        <v>0</v>
      </c>
      <c r="V53" s="309">
        <f t="shared" si="8"/>
        <v>0</v>
      </c>
      <c r="W53" s="309">
        <f t="shared" si="8"/>
        <v>0</v>
      </c>
      <c r="X53" s="309">
        <f t="shared" si="8"/>
        <v>0</v>
      </c>
    </row>
    <row r="54" spans="2:39" s="25" customFormat="1" ht="14.25" customHeight="1">
      <c r="B54" s="308" t="s">
        <v>165</v>
      </c>
      <c r="C54" s="310">
        <f>C47</f>
        <v>43961</v>
      </c>
      <c r="D54" s="160"/>
      <c r="E54" s="309">
        <f>SUM(E41:E47)</f>
        <v>0</v>
      </c>
      <c r="F54" s="309">
        <f t="shared" ref="F54:X54" si="9">SUM(F41:F47)</f>
        <v>0</v>
      </c>
      <c r="G54" s="309">
        <f t="shared" si="9"/>
        <v>0</v>
      </c>
      <c r="H54" s="309">
        <f t="shared" si="9"/>
        <v>0</v>
      </c>
      <c r="I54" s="309">
        <f t="shared" si="9"/>
        <v>0</v>
      </c>
      <c r="J54" s="309">
        <f t="shared" si="9"/>
        <v>0</v>
      </c>
      <c r="K54" s="309">
        <f t="shared" si="9"/>
        <v>0</v>
      </c>
      <c r="L54" s="309">
        <f t="shared" si="9"/>
        <v>0</v>
      </c>
      <c r="M54" s="309">
        <f t="shared" si="9"/>
        <v>0</v>
      </c>
      <c r="N54" s="309">
        <f t="shared" si="9"/>
        <v>0</v>
      </c>
      <c r="O54" s="309">
        <f t="shared" si="9"/>
        <v>0</v>
      </c>
      <c r="P54" s="309">
        <f t="shared" si="9"/>
        <v>0</v>
      </c>
      <c r="Q54" s="309">
        <f t="shared" si="9"/>
        <v>0</v>
      </c>
      <c r="R54" s="309">
        <f t="shared" si="9"/>
        <v>0</v>
      </c>
      <c r="S54" s="309">
        <f t="shared" si="9"/>
        <v>0</v>
      </c>
      <c r="T54" s="309">
        <f t="shared" si="9"/>
        <v>0</v>
      </c>
      <c r="U54" s="309">
        <f t="shared" si="9"/>
        <v>0</v>
      </c>
      <c r="V54" s="309">
        <f t="shared" si="9"/>
        <v>0</v>
      </c>
      <c r="W54" s="309">
        <f t="shared" si="9"/>
        <v>0</v>
      </c>
      <c r="X54" s="309">
        <f t="shared" si="9"/>
        <v>0</v>
      </c>
    </row>
    <row r="55" spans="2:39" s="25" customFormat="1" ht="14.25" customHeight="1">
      <c r="E55" s="156"/>
      <c r="F55" s="156"/>
      <c r="G55" s="156"/>
      <c r="H55" s="156"/>
    </row>
    <row r="56" spans="2:39" s="25" customFormat="1" ht="14.25" customHeight="1">
      <c r="E56" s="156"/>
      <c r="F56" s="156"/>
      <c r="G56" s="156"/>
      <c r="H56" s="156"/>
    </row>
    <row r="57" spans="2:39" s="25" customFormat="1" ht="14.25" customHeight="1">
      <c r="E57" s="156"/>
      <c r="F57" s="156"/>
      <c r="G57" s="156"/>
      <c r="H57" s="156"/>
    </row>
    <row r="58" spans="2:39" s="25" customFormat="1" ht="14.25" customHeight="1">
      <c r="E58" s="156"/>
      <c r="F58" s="156"/>
      <c r="G58" s="156"/>
      <c r="H58" s="156"/>
    </row>
    <row r="59" spans="2:39" s="25" customFormat="1" ht="14.25" customHeight="1">
      <c r="E59" s="156"/>
      <c r="F59" s="156"/>
      <c r="G59" s="156"/>
      <c r="H59" s="156"/>
    </row>
    <row r="60" spans="2:39" s="25" customFormat="1" ht="14.25" customHeight="1">
      <c r="E60" s="156"/>
      <c r="F60" s="156"/>
      <c r="G60" s="156"/>
      <c r="H60" s="156"/>
    </row>
    <row r="61" spans="2:39" s="25" customFormat="1" ht="14.25" customHeight="1">
      <c r="E61" s="156"/>
      <c r="F61" s="156"/>
      <c r="G61" s="156"/>
      <c r="H61" s="156"/>
    </row>
    <row r="62" spans="2:39" s="25" customFormat="1" ht="14.25" customHeight="1">
      <c r="E62" s="156"/>
      <c r="F62" s="156"/>
      <c r="G62" s="156"/>
      <c r="H62" s="156"/>
    </row>
    <row r="63" spans="2:39" s="25" customFormat="1" ht="14.25" customHeight="1">
      <c r="E63" s="156"/>
      <c r="F63" s="156"/>
      <c r="G63" s="156"/>
      <c r="H63" s="156"/>
    </row>
    <row r="64" spans="2:39" s="25" customFormat="1" ht="14.25" customHeight="1">
      <c r="E64" s="156"/>
      <c r="F64" s="156"/>
      <c r="G64" s="156"/>
      <c r="H64" s="156"/>
    </row>
    <row r="65" spans="5:8" s="25" customFormat="1" ht="14.25" customHeight="1">
      <c r="E65" s="156"/>
      <c r="F65" s="156"/>
      <c r="G65" s="156"/>
      <c r="H65" s="156"/>
    </row>
    <row r="66" spans="5:8" s="25" customFormat="1" ht="14.25" customHeight="1">
      <c r="E66" s="156"/>
      <c r="F66" s="156"/>
      <c r="G66" s="156"/>
      <c r="H66" s="156"/>
    </row>
    <row r="67" spans="5:8" s="25" customFormat="1" ht="14.25" customHeight="1">
      <c r="E67" s="156"/>
      <c r="F67" s="156"/>
      <c r="G67" s="156"/>
      <c r="H67" s="156"/>
    </row>
    <row r="68" spans="5:8" s="25" customFormat="1" ht="14.25" customHeight="1">
      <c r="E68" s="156"/>
      <c r="F68" s="156"/>
      <c r="G68" s="156"/>
      <c r="H68" s="156"/>
    </row>
    <row r="69" spans="5:8" s="25" customFormat="1" ht="14.25" customHeight="1">
      <c r="E69" s="156"/>
      <c r="F69" s="156"/>
      <c r="G69" s="156"/>
      <c r="H69" s="156"/>
    </row>
    <row r="70" spans="5:8" s="25" customFormat="1" ht="14.25" customHeight="1">
      <c r="E70" s="156"/>
      <c r="F70" s="156"/>
      <c r="G70" s="156"/>
      <c r="H70" s="156"/>
    </row>
    <row r="71" spans="5:8" s="25" customFormat="1" ht="14.25" customHeight="1">
      <c r="E71" s="156"/>
      <c r="F71" s="156"/>
      <c r="G71" s="156"/>
      <c r="H71" s="156"/>
    </row>
    <row r="72" spans="5:8" s="25" customFormat="1" ht="14.25" customHeight="1">
      <c r="E72" s="156"/>
      <c r="F72" s="156"/>
      <c r="G72" s="156"/>
      <c r="H72" s="156"/>
    </row>
    <row r="73" spans="5:8" s="25" customFormat="1" ht="14.25" customHeight="1">
      <c r="E73" s="156"/>
      <c r="F73" s="156"/>
      <c r="G73" s="156"/>
      <c r="H73" s="156"/>
    </row>
    <row r="74" spans="5:8" s="25" customFormat="1" ht="14.25" customHeight="1">
      <c r="E74" s="156"/>
      <c r="F74" s="156"/>
      <c r="G74" s="156"/>
      <c r="H74" s="156"/>
    </row>
    <row r="75" spans="5:8" s="25" customFormat="1" ht="14.25" customHeight="1">
      <c r="E75" s="156"/>
      <c r="F75" s="156"/>
      <c r="G75" s="156"/>
      <c r="H75" s="156"/>
    </row>
    <row r="76" spans="5:8" s="25" customFormat="1" ht="14.25" customHeight="1">
      <c r="E76" s="156"/>
      <c r="F76" s="156"/>
      <c r="G76" s="156"/>
      <c r="H76" s="156"/>
    </row>
    <row r="77" spans="5:8" s="25" customFormat="1" ht="14.25" customHeight="1">
      <c r="E77" s="156"/>
      <c r="F77" s="156"/>
      <c r="G77" s="156"/>
      <c r="H77" s="156"/>
    </row>
    <row r="78" spans="5:8" s="25" customFormat="1" ht="14.25" customHeight="1">
      <c r="E78" s="156"/>
      <c r="F78" s="156"/>
      <c r="G78" s="156"/>
      <c r="H78" s="156"/>
    </row>
    <row r="79" spans="5:8" s="25" customFormat="1" ht="14.25" customHeight="1">
      <c r="E79" s="156"/>
      <c r="F79" s="156"/>
      <c r="G79" s="156"/>
      <c r="H79" s="156"/>
    </row>
    <row r="80" spans="5:8" s="25" customFormat="1" ht="14.25" customHeight="1">
      <c r="E80" s="156"/>
      <c r="F80" s="156"/>
      <c r="G80" s="156"/>
      <c r="H80" s="156"/>
    </row>
    <row r="81" spans="5:8" s="25" customFormat="1" ht="14.25" customHeight="1">
      <c r="E81" s="156"/>
      <c r="F81" s="156"/>
      <c r="G81" s="156"/>
      <c r="H81" s="156"/>
    </row>
    <row r="82" spans="5:8" s="25" customFormat="1" ht="14.25" customHeight="1">
      <c r="E82" s="156"/>
      <c r="F82" s="156"/>
      <c r="G82" s="156"/>
      <c r="H82" s="156"/>
    </row>
    <row r="83" spans="5:8" s="25" customFormat="1" ht="14.25" customHeight="1">
      <c r="E83" s="156"/>
      <c r="F83" s="156"/>
      <c r="G83" s="156"/>
      <c r="H83" s="156"/>
    </row>
    <row r="84" spans="5:8" s="25" customFormat="1" ht="14.25" customHeight="1">
      <c r="E84" s="156"/>
      <c r="F84" s="156"/>
      <c r="G84" s="156"/>
      <c r="H84" s="156"/>
    </row>
    <row r="85" spans="5:8" s="25" customFormat="1" ht="14.25" customHeight="1">
      <c r="E85" s="156"/>
      <c r="F85" s="156"/>
      <c r="G85" s="156"/>
      <c r="H85" s="156"/>
    </row>
    <row r="86" spans="5:8" s="25" customFormat="1" ht="14.25" customHeight="1">
      <c r="E86" s="156"/>
      <c r="F86" s="156"/>
      <c r="G86" s="156"/>
      <c r="H86" s="156"/>
    </row>
    <row r="87" spans="5:8" s="25" customFormat="1" ht="14.25" customHeight="1">
      <c r="E87" s="156"/>
      <c r="F87" s="156"/>
      <c r="G87" s="156"/>
      <c r="H87" s="156"/>
    </row>
    <row r="88" spans="5:8" s="25" customFormat="1" ht="14.25" customHeight="1">
      <c r="E88" s="156"/>
      <c r="F88" s="156"/>
      <c r="G88" s="156"/>
      <c r="H88" s="156"/>
    </row>
    <row r="89" spans="5:8" s="25" customFormat="1" ht="14.25" customHeight="1">
      <c r="E89" s="156"/>
      <c r="F89" s="156"/>
      <c r="G89" s="156"/>
      <c r="H89" s="156"/>
    </row>
    <row r="90" spans="5:8" s="25" customFormat="1" ht="14.25" customHeight="1">
      <c r="E90" s="156"/>
      <c r="F90" s="156"/>
      <c r="G90" s="156"/>
      <c r="H90" s="156"/>
    </row>
    <row r="91" spans="5:8" s="25" customFormat="1" ht="14.25" customHeight="1">
      <c r="E91" s="156"/>
      <c r="F91" s="156"/>
      <c r="G91" s="156"/>
      <c r="H91" s="156"/>
    </row>
    <row r="92" spans="5:8" s="25" customFormat="1" ht="14.25" customHeight="1">
      <c r="E92" s="156"/>
      <c r="F92" s="156"/>
      <c r="G92" s="156"/>
      <c r="H92" s="156"/>
    </row>
    <row r="93" spans="5:8" s="25" customFormat="1" ht="14.25" customHeight="1">
      <c r="E93" s="156"/>
      <c r="F93" s="156"/>
      <c r="G93" s="156"/>
      <c r="H93" s="156"/>
    </row>
    <row r="94" spans="5:8" s="25" customFormat="1" ht="14.25" customHeight="1">
      <c r="E94" s="156"/>
      <c r="F94" s="156"/>
      <c r="G94" s="156"/>
      <c r="H94" s="156"/>
    </row>
    <row r="95" spans="5:8" s="25" customFormat="1" ht="14.25" customHeight="1">
      <c r="E95" s="156"/>
      <c r="F95" s="156"/>
      <c r="G95" s="156"/>
      <c r="H95" s="156"/>
    </row>
    <row r="96" spans="5:8" s="25" customFormat="1" ht="14.25" customHeight="1">
      <c r="E96" s="156"/>
      <c r="F96" s="156"/>
      <c r="G96" s="156"/>
      <c r="H96" s="156"/>
    </row>
    <row r="97" spans="5:8" s="25" customFormat="1" ht="14.25" customHeight="1">
      <c r="E97" s="156"/>
      <c r="F97" s="156"/>
      <c r="G97" s="156"/>
      <c r="H97" s="156"/>
    </row>
    <row r="98" spans="5:8" s="25" customFormat="1" ht="14.25" customHeight="1">
      <c r="E98" s="156"/>
      <c r="F98" s="156"/>
      <c r="G98" s="156"/>
      <c r="H98" s="156"/>
    </row>
    <row r="99" spans="5:8" s="25" customFormat="1" ht="14.25" customHeight="1">
      <c r="E99" s="156"/>
      <c r="F99" s="156"/>
      <c r="G99" s="156"/>
      <c r="H99" s="156"/>
    </row>
    <row r="100" spans="5:8" s="25" customFormat="1" ht="14.25" customHeight="1">
      <c r="E100" s="156"/>
      <c r="F100" s="156"/>
      <c r="G100" s="156"/>
      <c r="H100" s="156"/>
    </row>
    <row r="101" spans="5:8" s="25" customFormat="1" ht="14.25" customHeight="1">
      <c r="E101" s="156"/>
      <c r="F101" s="156"/>
      <c r="G101" s="156"/>
      <c r="H101" s="156"/>
    </row>
    <row r="102" spans="5:8" s="25" customFormat="1" ht="14.25" customHeight="1">
      <c r="E102" s="156"/>
      <c r="F102" s="156"/>
      <c r="G102" s="156"/>
      <c r="H102" s="156"/>
    </row>
    <row r="103" spans="5:8" s="25" customFormat="1" ht="14.25" customHeight="1">
      <c r="E103" s="156"/>
      <c r="F103" s="156"/>
      <c r="G103" s="156"/>
      <c r="H103" s="156"/>
    </row>
    <row r="104" spans="5:8" s="25" customFormat="1" ht="14.25" customHeight="1">
      <c r="E104" s="156"/>
      <c r="F104" s="156"/>
      <c r="G104" s="156"/>
      <c r="H104" s="156"/>
    </row>
    <row r="105" spans="5:8" s="25" customFormat="1" ht="14.25" customHeight="1">
      <c r="E105" s="156"/>
      <c r="F105" s="156"/>
      <c r="G105" s="156"/>
      <c r="H105" s="156"/>
    </row>
    <row r="106" spans="5:8" s="25" customFormat="1" ht="14.25" customHeight="1">
      <c r="E106" s="156"/>
      <c r="F106" s="156"/>
      <c r="G106" s="156"/>
      <c r="H106" s="156"/>
    </row>
    <row r="107" spans="5:8" s="25" customFormat="1" ht="14.25" customHeight="1">
      <c r="E107" s="156"/>
      <c r="F107" s="156"/>
      <c r="G107" s="156"/>
      <c r="H107" s="156"/>
    </row>
    <row r="108" spans="5:8" s="25" customFormat="1" ht="14.25" customHeight="1">
      <c r="E108" s="156"/>
      <c r="F108" s="156"/>
      <c r="G108" s="156"/>
      <c r="H108" s="156"/>
    </row>
    <row r="109" spans="5:8" s="25" customFormat="1" ht="14.25" customHeight="1">
      <c r="E109" s="156"/>
      <c r="F109" s="156"/>
      <c r="G109" s="156"/>
      <c r="H109" s="156"/>
    </row>
    <row r="110" spans="5:8" s="25" customFormat="1" ht="14.25" customHeight="1">
      <c r="E110" s="156"/>
      <c r="F110" s="156"/>
      <c r="G110" s="156"/>
      <c r="H110" s="156"/>
    </row>
    <row r="111" spans="5:8" s="25" customFormat="1" ht="14.25" customHeight="1">
      <c r="E111" s="156"/>
      <c r="F111" s="156"/>
      <c r="G111" s="156"/>
      <c r="H111" s="156"/>
    </row>
    <row r="112" spans="5:8" s="25" customFormat="1" ht="14.25" customHeight="1">
      <c r="E112" s="156"/>
      <c r="F112" s="156"/>
      <c r="G112" s="156"/>
      <c r="H112" s="156"/>
    </row>
    <row r="113" spans="5:8" s="25" customFormat="1" ht="14.25" customHeight="1">
      <c r="E113" s="156"/>
      <c r="F113" s="156"/>
      <c r="G113" s="156"/>
      <c r="H113" s="156"/>
    </row>
    <row r="114" spans="5:8" s="25" customFormat="1" ht="14.25" customHeight="1">
      <c r="E114" s="156"/>
      <c r="F114" s="156"/>
      <c r="G114" s="156"/>
      <c r="H114" s="156"/>
    </row>
    <row r="115" spans="5:8" s="25" customFormat="1" ht="14.25" customHeight="1">
      <c r="E115" s="156"/>
      <c r="F115" s="156"/>
      <c r="G115" s="156"/>
      <c r="H115" s="156"/>
    </row>
    <row r="116" spans="5:8" s="25" customFormat="1" ht="14.25" customHeight="1">
      <c r="E116" s="156"/>
      <c r="F116" s="156"/>
      <c r="G116" s="156"/>
      <c r="H116" s="156"/>
    </row>
    <row r="117" spans="5:8" s="25" customFormat="1" ht="14.25" customHeight="1">
      <c r="E117" s="156"/>
      <c r="F117" s="156"/>
      <c r="G117" s="156"/>
      <c r="H117" s="156"/>
    </row>
    <row r="118" spans="5:8" s="25" customFormat="1" ht="14.25" customHeight="1">
      <c r="E118" s="156"/>
      <c r="F118" s="156"/>
      <c r="G118" s="156"/>
      <c r="H118" s="156"/>
    </row>
    <row r="119" spans="5:8" s="25" customFormat="1" ht="14.25" customHeight="1">
      <c r="E119" s="156"/>
      <c r="F119" s="156"/>
      <c r="G119" s="156"/>
      <c r="H119" s="156"/>
    </row>
    <row r="120" spans="5:8" s="25" customFormat="1" ht="14.25" customHeight="1">
      <c r="E120" s="156"/>
      <c r="F120" s="156"/>
      <c r="G120" s="156"/>
      <c r="H120" s="156"/>
    </row>
    <row r="121" spans="5:8" s="25" customFormat="1" ht="14.25" customHeight="1">
      <c r="E121" s="156"/>
      <c r="F121" s="156"/>
      <c r="G121" s="156"/>
      <c r="H121" s="156"/>
    </row>
    <row r="122" spans="5:8" s="25" customFormat="1" ht="14.25" customHeight="1">
      <c r="E122" s="156"/>
      <c r="F122" s="156"/>
      <c r="G122" s="156"/>
      <c r="H122" s="156"/>
    </row>
    <row r="123" spans="5:8" s="25" customFormat="1" ht="14.25" customHeight="1">
      <c r="E123" s="156"/>
      <c r="F123" s="156"/>
      <c r="G123" s="156"/>
      <c r="H123" s="156"/>
    </row>
    <row r="124" spans="5:8" s="25" customFormat="1" ht="14.25" customHeight="1">
      <c r="E124" s="156"/>
      <c r="F124" s="156"/>
      <c r="G124" s="156"/>
      <c r="H124" s="156"/>
    </row>
    <row r="125" spans="5:8" s="25" customFormat="1" ht="14.25" customHeight="1">
      <c r="E125" s="156"/>
      <c r="F125" s="156"/>
      <c r="G125" s="156"/>
      <c r="H125" s="156"/>
    </row>
    <row r="126" spans="5:8" s="25" customFormat="1" ht="14.25" customHeight="1">
      <c r="E126" s="156"/>
      <c r="F126" s="156"/>
      <c r="G126" s="156"/>
      <c r="H126" s="156"/>
    </row>
    <row r="127" spans="5:8" s="25" customFormat="1" ht="14.25" customHeight="1">
      <c r="E127" s="156"/>
      <c r="F127" s="156"/>
      <c r="G127" s="156"/>
      <c r="H127" s="156"/>
    </row>
    <row r="128" spans="5:8" s="25" customFormat="1" ht="14.25" customHeight="1">
      <c r="E128" s="156"/>
      <c r="F128" s="156"/>
      <c r="G128" s="156"/>
      <c r="H128" s="156"/>
    </row>
    <row r="129" spans="5:8" s="25" customFormat="1" ht="14.25" customHeight="1">
      <c r="E129" s="156"/>
      <c r="F129" s="156"/>
      <c r="G129" s="156"/>
      <c r="H129" s="156"/>
    </row>
    <row r="130" spans="5:8" s="25" customFormat="1" ht="14.25" customHeight="1">
      <c r="E130" s="156"/>
      <c r="F130" s="156"/>
      <c r="G130" s="156"/>
      <c r="H130" s="156"/>
    </row>
    <row r="131" spans="5:8" s="25" customFormat="1" ht="14.25" customHeight="1">
      <c r="E131" s="156"/>
      <c r="F131" s="156"/>
      <c r="G131" s="156"/>
      <c r="H131" s="156"/>
    </row>
    <row r="132" spans="5:8" s="25" customFormat="1" ht="14.25" customHeight="1">
      <c r="E132" s="156"/>
      <c r="F132" s="156"/>
      <c r="G132" s="156"/>
      <c r="H132" s="156"/>
    </row>
    <row r="133" spans="5:8" s="25" customFormat="1" ht="14.25" customHeight="1">
      <c r="E133" s="156"/>
      <c r="F133" s="156"/>
      <c r="G133" s="156"/>
      <c r="H133" s="156"/>
    </row>
    <row r="134" spans="5:8" s="25" customFormat="1" ht="14.25" customHeight="1">
      <c r="E134" s="156"/>
      <c r="F134" s="156"/>
      <c r="G134" s="156"/>
      <c r="H134" s="156"/>
    </row>
    <row r="135" spans="5:8" s="25" customFormat="1" ht="14.25" customHeight="1">
      <c r="E135" s="156"/>
      <c r="F135" s="156"/>
      <c r="G135" s="156"/>
      <c r="H135" s="156"/>
    </row>
    <row r="136" spans="5:8" s="25" customFormat="1" ht="14.25" customHeight="1">
      <c r="E136" s="156"/>
      <c r="F136" s="156"/>
      <c r="G136" s="156"/>
      <c r="H136" s="156"/>
    </row>
    <row r="137" spans="5:8" s="25" customFormat="1" ht="14.25" customHeight="1">
      <c r="E137" s="156"/>
      <c r="F137" s="156"/>
      <c r="G137" s="156"/>
      <c r="H137" s="156"/>
    </row>
    <row r="138" spans="5:8" s="25" customFormat="1" ht="14.25" customHeight="1">
      <c r="E138" s="156"/>
      <c r="F138" s="156"/>
      <c r="G138" s="156"/>
      <c r="H138" s="156"/>
    </row>
    <row r="139" spans="5:8" s="25" customFormat="1" ht="14.25" customHeight="1">
      <c r="E139" s="156"/>
      <c r="F139" s="156"/>
      <c r="G139" s="156"/>
      <c r="H139" s="156"/>
    </row>
    <row r="140" spans="5:8" s="25" customFormat="1" ht="14.25" customHeight="1">
      <c r="E140" s="156"/>
      <c r="F140" s="156"/>
      <c r="G140" s="156"/>
      <c r="H140" s="156"/>
    </row>
    <row r="141" spans="5:8" s="25" customFormat="1" ht="14.25" customHeight="1">
      <c r="E141" s="156"/>
      <c r="F141" s="156"/>
      <c r="G141" s="156"/>
      <c r="H141" s="156"/>
    </row>
    <row r="142" spans="5:8" s="25" customFormat="1" ht="14.25" customHeight="1">
      <c r="E142" s="156"/>
      <c r="F142" s="156"/>
      <c r="G142" s="156"/>
      <c r="H142" s="156"/>
    </row>
    <row r="143" spans="5:8" s="25" customFormat="1" ht="14.25" customHeight="1">
      <c r="E143" s="156"/>
      <c r="F143" s="156"/>
      <c r="G143" s="156"/>
      <c r="H143" s="156"/>
    </row>
    <row r="144" spans="5:8" s="25" customFormat="1" ht="14.25" customHeight="1">
      <c r="E144" s="156"/>
      <c r="F144" s="156"/>
      <c r="G144" s="156"/>
      <c r="H144" s="156"/>
    </row>
    <row r="145" spans="5:8" s="25" customFormat="1" ht="14.25" customHeight="1">
      <c r="E145" s="156"/>
      <c r="F145" s="156"/>
      <c r="G145" s="156"/>
      <c r="H145" s="156"/>
    </row>
    <row r="146" spans="5:8" s="25" customFormat="1" ht="14.25" customHeight="1">
      <c r="E146" s="156"/>
      <c r="F146" s="156"/>
      <c r="G146" s="156"/>
      <c r="H146" s="156"/>
    </row>
    <row r="147" spans="5:8" s="25" customFormat="1" ht="14.25" customHeight="1">
      <c r="E147" s="156"/>
      <c r="F147" s="156"/>
      <c r="G147" s="156"/>
      <c r="H147" s="156"/>
    </row>
    <row r="148" spans="5:8" s="25" customFormat="1" ht="14.25" customHeight="1">
      <c r="E148" s="156"/>
      <c r="F148" s="156"/>
      <c r="G148" s="156"/>
      <c r="H148" s="156"/>
    </row>
    <row r="149" spans="5:8" s="25" customFormat="1" ht="14.25" customHeight="1">
      <c r="E149" s="156"/>
      <c r="F149" s="156"/>
      <c r="G149" s="156"/>
      <c r="H149" s="156"/>
    </row>
    <row r="150" spans="5:8" s="25" customFormat="1" ht="14.25" customHeight="1">
      <c r="E150" s="156"/>
      <c r="F150" s="156"/>
      <c r="G150" s="156"/>
      <c r="H150" s="156"/>
    </row>
    <row r="151" spans="5:8" s="25" customFormat="1" ht="14.25" customHeight="1">
      <c r="E151" s="156"/>
      <c r="F151" s="156"/>
      <c r="G151" s="156"/>
      <c r="H151" s="156"/>
    </row>
    <row r="152" spans="5:8" s="25" customFormat="1" ht="14.25" customHeight="1">
      <c r="E152" s="156"/>
      <c r="F152" s="156"/>
      <c r="G152" s="156"/>
      <c r="H152" s="156"/>
    </row>
    <row r="153" spans="5:8" s="25" customFormat="1" ht="14.25" customHeight="1">
      <c r="E153" s="156"/>
      <c r="F153" s="156"/>
      <c r="G153" s="156"/>
      <c r="H153" s="156"/>
    </row>
    <row r="154" spans="5:8" s="25" customFormat="1" ht="14.25" customHeight="1">
      <c r="E154" s="156"/>
      <c r="F154" s="156"/>
      <c r="G154" s="156"/>
      <c r="H154" s="156"/>
    </row>
    <row r="155" spans="5:8" s="25" customFormat="1" ht="14.25" customHeight="1">
      <c r="E155" s="156"/>
      <c r="F155" s="156"/>
      <c r="G155" s="156"/>
      <c r="H155" s="156"/>
    </row>
    <row r="156" spans="5:8" s="25" customFormat="1" ht="14.25" customHeight="1">
      <c r="E156" s="156"/>
      <c r="F156" s="156"/>
      <c r="G156" s="156"/>
      <c r="H156" s="156"/>
    </row>
    <row r="157" spans="5:8" s="25" customFormat="1" ht="14.25" customHeight="1">
      <c r="E157" s="156"/>
      <c r="F157" s="156"/>
      <c r="G157" s="156"/>
      <c r="H157" s="156"/>
    </row>
    <row r="158" spans="5:8" s="25" customFormat="1" ht="14.25" customHeight="1">
      <c r="E158" s="156"/>
      <c r="F158" s="156"/>
      <c r="G158" s="156"/>
      <c r="H158" s="156"/>
    </row>
    <row r="159" spans="5:8" s="25" customFormat="1" ht="14.25" customHeight="1">
      <c r="E159" s="156"/>
      <c r="F159" s="156"/>
      <c r="G159" s="156"/>
      <c r="H159" s="156"/>
    </row>
    <row r="160" spans="5:8" s="25" customFormat="1" ht="14.25" customHeight="1">
      <c r="E160" s="156"/>
      <c r="F160" s="156"/>
      <c r="G160" s="156"/>
      <c r="H160" s="156"/>
    </row>
    <row r="161" spans="5:8" s="25" customFormat="1" ht="14.25" customHeight="1">
      <c r="E161" s="156"/>
      <c r="F161" s="156"/>
      <c r="G161" s="156"/>
      <c r="H161" s="156"/>
    </row>
    <row r="162" spans="5:8" s="25" customFormat="1" ht="14.25" customHeight="1">
      <c r="E162" s="156"/>
      <c r="F162" s="156"/>
      <c r="G162" s="156"/>
      <c r="H162" s="156"/>
    </row>
    <row r="163" spans="5:8" s="25" customFormat="1" ht="14.25" customHeight="1">
      <c r="E163" s="156"/>
      <c r="F163" s="156"/>
      <c r="G163" s="156"/>
      <c r="H163" s="156"/>
    </row>
    <row r="164" spans="5:8" s="25" customFormat="1" ht="14.25" customHeight="1">
      <c r="E164" s="156"/>
      <c r="F164" s="156"/>
      <c r="G164" s="156"/>
      <c r="H164" s="156"/>
    </row>
    <row r="165" spans="5:8" s="25" customFormat="1" ht="14.25" customHeight="1">
      <c r="E165" s="156"/>
      <c r="F165" s="156"/>
      <c r="G165" s="156"/>
      <c r="H165" s="156"/>
    </row>
    <row r="166" spans="5:8" s="25" customFormat="1" ht="14.25" customHeight="1">
      <c r="E166" s="156"/>
      <c r="F166" s="156"/>
      <c r="G166" s="156"/>
      <c r="H166" s="156"/>
    </row>
    <row r="167" spans="5:8" s="25" customFormat="1" ht="14.25" customHeight="1">
      <c r="E167" s="156"/>
      <c r="F167" s="156"/>
      <c r="G167" s="156"/>
      <c r="H167" s="156"/>
    </row>
    <row r="168" spans="5:8" s="25" customFormat="1" ht="14.25" customHeight="1">
      <c r="E168" s="156"/>
      <c r="F168" s="156"/>
      <c r="G168" s="156"/>
      <c r="H168" s="156"/>
    </row>
    <row r="169" spans="5:8" s="25" customFormat="1" ht="14.25" customHeight="1">
      <c r="E169" s="156"/>
      <c r="F169" s="156"/>
      <c r="G169" s="156"/>
      <c r="H169" s="156"/>
    </row>
    <row r="170" spans="5:8" s="25" customFormat="1" ht="14.25" customHeight="1">
      <c r="E170" s="156"/>
      <c r="F170" s="156"/>
      <c r="G170" s="156"/>
      <c r="H170" s="156"/>
    </row>
    <row r="171" spans="5:8" s="25" customFormat="1" ht="14.25" customHeight="1">
      <c r="E171" s="156"/>
      <c r="F171" s="156"/>
      <c r="G171" s="156"/>
      <c r="H171" s="156"/>
    </row>
    <row r="172" spans="5:8" s="25" customFormat="1" ht="14.25" customHeight="1">
      <c r="E172" s="156"/>
      <c r="F172" s="156"/>
      <c r="G172" s="156"/>
      <c r="H172" s="156"/>
    </row>
    <row r="173" spans="5:8" s="25" customFormat="1" ht="14.25" customHeight="1">
      <c r="E173" s="156"/>
      <c r="F173" s="156"/>
      <c r="G173" s="156"/>
      <c r="H173" s="156"/>
    </row>
    <row r="174" spans="5:8" s="25" customFormat="1" ht="14.25" customHeight="1">
      <c r="E174" s="156"/>
      <c r="F174" s="156"/>
      <c r="G174" s="156"/>
      <c r="H174" s="156"/>
    </row>
    <row r="175" spans="5:8" s="25" customFormat="1" ht="14.25" customHeight="1">
      <c r="E175" s="156"/>
      <c r="F175" s="156"/>
      <c r="G175" s="156"/>
      <c r="H175" s="156"/>
    </row>
  </sheetData>
  <sheetProtection algorithmName="SHA-512" hashValue="WqejCFudq/poq1GqDvyjej7Gvh+8ZFhrwfsYfGm0vditZUJQT1ZDfBkrWScAj4lhhBmq0o0wGzNtN0Me5R7bdw==" saltValue="UQLDQMmeo4/hO3iSgnp4pg==" spinCount="100000" sheet="1" objects="1" scenarios="1"/>
  <conditionalFormatting sqref="E4:AG4 AI6:AM49">
    <cfRule type="cellIs" dxfId="19" priority="1" stopIfTrue="1" operator="equal">
      <formula>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AM175"/>
  <sheetViews>
    <sheetView zoomScale="90" zoomScaleNormal="90" workbookViewId="0">
      <selection activeCell="R37" sqref="R37"/>
    </sheetView>
  </sheetViews>
  <sheetFormatPr defaultColWidth="11.5703125" defaultRowHeight="14.25" customHeight="1"/>
  <cols>
    <col min="1" max="1" width="2.5703125" customWidth="1"/>
    <col min="4" max="4" width="2.42578125" customWidth="1"/>
    <col min="5" max="19" width="11.28515625" customWidth="1"/>
    <col min="25" max="32" width="0" hidden="1" customWidth="1"/>
    <col min="33" max="33" width="11.28515625" customWidth="1"/>
  </cols>
  <sheetData>
    <row r="1" spans="2:39" s="25" customFormat="1" ht="14.25" customHeight="1">
      <c r="E1" s="156"/>
      <c r="F1" s="156"/>
      <c r="G1" s="156"/>
      <c r="H1" s="156"/>
    </row>
    <row r="2" spans="2:39" s="148" customFormat="1" ht="14.25" customHeight="1">
      <c r="B2" s="149">
        <f>'Daily &amp; Weekly Totals'!B5</f>
        <v>43922</v>
      </c>
      <c r="E2" s="151" t="str">
        <f>IF('Monthly Statistics'!E$5&gt;0,'Monthly Statistics'!E$5," ")</f>
        <v xml:space="preserve"> </v>
      </c>
      <c r="F2" s="151" t="str">
        <f>IF('Monthly Statistics'!F$5&gt;0,'Monthly Statistics'!F$5," ")</f>
        <v xml:space="preserve"> </v>
      </c>
      <c r="G2" s="151" t="str">
        <f>IF('Monthly Statistics'!G$5&gt;0,'Monthly Statistics'!G$5," ")</f>
        <v xml:space="preserve"> </v>
      </c>
      <c r="H2" s="151" t="str">
        <f>IF('Monthly Statistics'!H$5&gt;0,'Monthly Statistics'!H$5," ")</f>
        <v xml:space="preserve"> </v>
      </c>
      <c r="I2" s="151" t="str">
        <f>IF('Monthly Statistics'!I$5&gt;0,'Monthly Statistics'!I$5," ")</f>
        <v xml:space="preserve"> </v>
      </c>
      <c r="J2" s="151" t="str">
        <f>IF('Monthly Statistics'!J$5&gt;0,'Monthly Statistics'!J$5," ")</f>
        <v xml:space="preserve"> </v>
      </c>
      <c r="K2" s="151" t="str">
        <f>IF('Monthly Statistics'!K$5&gt;0,'Monthly Statistics'!K$5," ")</f>
        <v xml:space="preserve"> </v>
      </c>
      <c r="L2" s="151" t="str">
        <f>IF('Monthly Statistics'!L$5&gt;0,'Monthly Statistics'!L$5," ")</f>
        <v xml:space="preserve"> </v>
      </c>
      <c r="M2" s="151" t="str">
        <f>IF('Monthly Statistics'!M$5&gt;0,'Monthly Statistics'!M$5," ")</f>
        <v xml:space="preserve"> </v>
      </c>
      <c r="N2" s="151" t="str">
        <f>IF('Monthly Statistics'!N$5&gt;0,'Monthly Statistics'!N$5," ")</f>
        <v xml:space="preserve"> </v>
      </c>
      <c r="O2" s="151" t="str">
        <f>IF('Monthly Statistics'!O$5&gt;0,'Monthly Statistics'!O$5," ")</f>
        <v xml:space="preserve"> </v>
      </c>
      <c r="P2" s="151" t="str">
        <f>IF('Monthly Statistics'!P$5&gt;0,'Monthly Statistics'!P$5," ")</f>
        <v xml:space="preserve"> </v>
      </c>
      <c r="Q2" s="151" t="str">
        <f>IF('Monthly Statistics'!Q$5&gt;0,'Monthly Statistics'!Q$5," ")</f>
        <v xml:space="preserve"> </v>
      </c>
      <c r="R2" s="151" t="str">
        <f>IF('Monthly Statistics'!R$5&gt;0,'Monthly Statistics'!R$5," ")</f>
        <v xml:space="preserve"> </v>
      </c>
      <c r="S2" s="150" t="str">
        <f>IF('Monthly Statistics'!S$5&gt;0,'Monthly Statistics'!S$5," ")</f>
        <v xml:space="preserve"> </v>
      </c>
      <c r="T2" s="150" t="str">
        <f>IF('Monthly Statistics'!T$5&gt;0,'Monthly Statistics'!T$5," ")</f>
        <v xml:space="preserve"> </v>
      </c>
      <c r="U2" s="150" t="str">
        <f>IF('Monthly Statistics'!U$5&gt;0,'Monthly Statistics'!U$5," ")</f>
        <v xml:space="preserve"> </v>
      </c>
      <c r="V2" s="150" t="str">
        <f>IF('Monthly Statistics'!V$5&gt;0,'Monthly Statistics'!V$5," ")</f>
        <v xml:space="preserve"> </v>
      </c>
      <c r="W2" s="150" t="str">
        <f>IF('Monthly Statistics'!W$5&gt;0,'Monthly Statistics'!W$5," ")</f>
        <v xml:space="preserve"> </v>
      </c>
      <c r="X2" s="150" t="str">
        <f>IF('Monthly Statistics'!X$5&gt;0,'Monthly Statistics'!X$5," ")</f>
        <v xml:space="preserve"> </v>
      </c>
      <c r="Y2" s="150" t="e">
        <f>IF('Monthly Statistics'!Y$5&gt;0,'Monthly Statistics'!Y$5," ")</f>
        <v>#REF!</v>
      </c>
      <c r="Z2" s="152" t="e">
        <f>IF('Monthly Statistics'!Z$5&gt;0,'Monthly Statistics'!Z$5," ")</f>
        <v>#REF!</v>
      </c>
      <c r="AA2" s="152" t="e">
        <f>IF('Monthly Statistics'!AA$5&gt;0,'Monthly Statistics'!AA$5," ")</f>
        <v>#REF!</v>
      </c>
      <c r="AB2" s="152" t="e">
        <f>IF('Monthly Statistics'!AB$5&gt;0,'Monthly Statistics'!AB$5," ")</f>
        <v>#REF!</v>
      </c>
      <c r="AC2" s="152" t="e">
        <f>IF('Monthly Statistics'!AC$5&gt;0,'Monthly Statistics'!AC$5," ")</f>
        <v>#REF!</v>
      </c>
      <c r="AD2" s="152" t="e">
        <f>IF('Monthly Statistics'!AD$5&gt;0,'Monthly Statistics'!AD$5," ")</f>
        <v>#REF!</v>
      </c>
      <c r="AE2" s="152" t="e">
        <f>IF('Monthly Statistics'!AE$5&gt;0,'Monthly Statistics'!AE$5," ")</f>
        <v>#REF!</v>
      </c>
      <c r="AF2" s="152" t="e">
        <f>IF('Monthly Statistics'!AF$5&gt;0,'Monthly Statistics'!AF$5," ")</f>
        <v>#REF!</v>
      </c>
      <c r="AG2" s="152" t="str">
        <f>IF('Monthly Statistics'!AG$5&gt;0,'Monthly Statistics'!AG$5," ")</f>
        <v>Refunds From</v>
      </c>
    </row>
    <row r="3" spans="2:39" s="148" customFormat="1" ht="14.25" customHeight="1">
      <c r="B3" s="149">
        <f>'Daily &amp; Weekly Totals'!B6</f>
        <v>43951</v>
      </c>
      <c r="E3" s="152" t="str">
        <f>IF('Monthly Statistics'!E$5&gt;0,'Monthly Statistics'!E6," ")</f>
        <v xml:space="preserve"> </v>
      </c>
      <c r="F3" s="152" t="str">
        <f>IF('Monthly Statistics'!F$5&gt;0,'Monthly Statistics'!F6," ")</f>
        <v xml:space="preserve"> </v>
      </c>
      <c r="G3" s="152" t="str">
        <f>IF('Monthly Statistics'!G$5&gt;0,'Monthly Statistics'!G6," ")</f>
        <v xml:space="preserve"> </v>
      </c>
      <c r="H3" s="152" t="str">
        <f>IF('Monthly Statistics'!H$5&gt;0,'Monthly Statistics'!H6," ")</f>
        <v xml:space="preserve"> </v>
      </c>
      <c r="I3" s="152" t="str">
        <f>IF('Monthly Statistics'!I$5&gt;0,'Monthly Statistics'!I6," ")</f>
        <v xml:space="preserve"> </v>
      </c>
      <c r="J3" s="152" t="str">
        <f>IF('Monthly Statistics'!J$5&gt;0,'Monthly Statistics'!J6," ")</f>
        <v xml:space="preserve"> </v>
      </c>
      <c r="K3" s="152" t="str">
        <f>IF('Monthly Statistics'!K$5&gt;0,'Monthly Statistics'!K6," ")</f>
        <v xml:space="preserve"> </v>
      </c>
      <c r="L3" s="152" t="str">
        <f>IF('Monthly Statistics'!L$5&gt;0,'Monthly Statistics'!L6," ")</f>
        <v xml:space="preserve"> </v>
      </c>
      <c r="M3" s="152" t="str">
        <f>IF('Monthly Statistics'!M$5&gt;0,'Monthly Statistics'!M6," ")</f>
        <v xml:space="preserve"> </v>
      </c>
      <c r="N3" s="152" t="str">
        <f>IF('Monthly Statistics'!N$5&gt;0,'Monthly Statistics'!N6," ")</f>
        <v xml:space="preserve"> </v>
      </c>
      <c r="O3" s="152" t="str">
        <f>IF('Monthly Statistics'!O$5&gt;0,'Monthly Statistics'!O6," ")</f>
        <v xml:space="preserve"> </v>
      </c>
      <c r="P3" s="152" t="str">
        <f>IF('Monthly Statistics'!P$5&gt;0,'Monthly Statistics'!P6," ")</f>
        <v xml:space="preserve"> </v>
      </c>
      <c r="Q3" s="152" t="str">
        <f>IF('Monthly Statistics'!Q$5&gt;0,'Monthly Statistics'!Q6," ")</f>
        <v xml:space="preserve"> </v>
      </c>
      <c r="R3" s="152" t="str">
        <f>IF('Monthly Statistics'!R$5&gt;0,'Monthly Statistics'!R6," ")</f>
        <v xml:space="preserve"> </v>
      </c>
      <c r="S3" s="152" t="str">
        <f>IF('Monthly Statistics'!S$5&gt;0,'Monthly Statistics'!S6," ")</f>
        <v xml:space="preserve"> </v>
      </c>
      <c r="T3" s="152" t="str">
        <f>IF('Monthly Statistics'!T$5&gt;0,'Monthly Statistics'!T6," ")</f>
        <v xml:space="preserve"> </v>
      </c>
      <c r="U3" s="152" t="str">
        <f>IF('Monthly Statistics'!U$5&gt;0,'Monthly Statistics'!U6," ")</f>
        <v xml:space="preserve"> </v>
      </c>
      <c r="V3" s="152" t="str">
        <f>IF('Monthly Statistics'!V$5&gt;0,'Monthly Statistics'!V6," ")</f>
        <v xml:space="preserve"> </v>
      </c>
      <c r="W3" s="152" t="str">
        <f>IF('Monthly Statistics'!W$5&gt;0,'Monthly Statistics'!W6," ")</f>
        <v xml:space="preserve"> </v>
      </c>
      <c r="X3" s="152" t="str">
        <f>IF('Monthly Statistics'!X$5&gt;0,'Monthly Statistics'!X6," ")</f>
        <v xml:space="preserve"> </v>
      </c>
      <c r="Y3" s="152" t="e">
        <f>IF('Monthly Statistics'!Y$5&gt;0,'Monthly Statistics'!Y6," ")</f>
        <v>#REF!</v>
      </c>
      <c r="Z3" s="152" t="e">
        <f>IF('Monthly Statistics'!Z$5&gt;0,'Monthly Statistics'!Z6," ")</f>
        <v>#REF!</v>
      </c>
      <c r="AA3" s="152" t="e">
        <f>IF('Monthly Statistics'!AA$5&gt;0,'Monthly Statistics'!AA6," ")</f>
        <v>#REF!</v>
      </c>
      <c r="AB3" s="152" t="e">
        <f>IF('Monthly Statistics'!AB$5&gt;0,'Monthly Statistics'!AB6," ")</f>
        <v>#REF!</v>
      </c>
      <c r="AC3" s="152" t="e">
        <f>IF('Monthly Statistics'!AC$5&gt;0,'Monthly Statistics'!AC6," ")</f>
        <v>#REF!</v>
      </c>
      <c r="AD3" s="152" t="e">
        <f>IF('Monthly Statistics'!AD$5&gt;0,'Monthly Statistics'!AD6," ")</f>
        <v>#REF!</v>
      </c>
      <c r="AE3" s="152" t="e">
        <f>IF('Monthly Statistics'!AE$5&gt;0,'Monthly Statistics'!AE6," ")</f>
        <v>#REF!</v>
      </c>
      <c r="AF3" s="152" t="e">
        <f>IF('Monthly Statistics'!AF$5&gt;0,'Monthly Statistics'!AF6," ")</f>
        <v>#REF!</v>
      </c>
      <c r="AG3" s="152" t="str">
        <f>IF('Monthly Statistics'!AG$5&gt;0,'Monthly Statistics'!AG6," ")</f>
        <v>Other Stores</v>
      </c>
      <c r="AI3" s="149" t="s">
        <v>20</v>
      </c>
      <c r="AJ3" s="149" t="s">
        <v>21</v>
      </c>
      <c r="AK3" s="149" t="s">
        <v>22</v>
      </c>
      <c r="AL3" s="149" t="s">
        <v>23</v>
      </c>
      <c r="AM3" s="149" t="s">
        <v>24</v>
      </c>
    </row>
    <row r="4" spans="2:39" s="148" customFormat="1" ht="14.25" customHeight="1">
      <c r="E4" s="157">
        <f t="shared" ref="E4:AG4" si="0">SUMIF($C$6:$C$47,"&gt;="&amp;$B$2,E6:E47)-SUMIF($C$6:$C$47,"&gt;"&amp;$B$3,E6:E47)</f>
        <v>0</v>
      </c>
      <c r="F4" s="153">
        <f t="shared" si="0"/>
        <v>0</v>
      </c>
      <c r="G4" s="153">
        <f t="shared" si="0"/>
        <v>0</v>
      </c>
      <c r="H4" s="153">
        <f t="shared" si="0"/>
        <v>0</v>
      </c>
      <c r="I4" s="153">
        <f t="shared" si="0"/>
        <v>0</v>
      </c>
      <c r="J4" s="153">
        <f t="shared" si="0"/>
        <v>0</v>
      </c>
      <c r="K4" s="153">
        <f t="shared" si="0"/>
        <v>0</v>
      </c>
      <c r="L4" s="153">
        <f t="shared" si="0"/>
        <v>0</v>
      </c>
      <c r="M4" s="153">
        <f t="shared" si="0"/>
        <v>0</v>
      </c>
      <c r="N4" s="153">
        <f t="shared" si="0"/>
        <v>0</v>
      </c>
      <c r="O4" s="153">
        <f t="shared" si="0"/>
        <v>0</v>
      </c>
      <c r="P4" s="153">
        <f t="shared" si="0"/>
        <v>0</v>
      </c>
      <c r="Q4" s="153">
        <f t="shared" si="0"/>
        <v>0</v>
      </c>
      <c r="R4" s="153">
        <f t="shared" si="0"/>
        <v>0</v>
      </c>
      <c r="S4" s="153">
        <f t="shared" si="0"/>
        <v>0</v>
      </c>
      <c r="T4" s="153">
        <f t="shared" si="0"/>
        <v>0</v>
      </c>
      <c r="U4" s="153">
        <f t="shared" si="0"/>
        <v>0</v>
      </c>
      <c r="V4" s="153">
        <f t="shared" si="0"/>
        <v>0</v>
      </c>
      <c r="W4" s="153">
        <f t="shared" si="0"/>
        <v>0</v>
      </c>
      <c r="X4" s="153">
        <f t="shared" si="0"/>
        <v>0</v>
      </c>
      <c r="Y4" s="153">
        <f t="shared" si="0"/>
        <v>0</v>
      </c>
      <c r="Z4" s="153">
        <f t="shared" si="0"/>
        <v>0</v>
      </c>
      <c r="AA4" s="153">
        <f t="shared" si="0"/>
        <v>0</v>
      </c>
      <c r="AB4" s="153">
        <f t="shared" si="0"/>
        <v>0</v>
      </c>
      <c r="AC4" s="153">
        <f t="shared" si="0"/>
        <v>0</v>
      </c>
      <c r="AD4" s="153">
        <f t="shared" si="0"/>
        <v>0</v>
      </c>
      <c r="AE4" s="153">
        <f t="shared" si="0"/>
        <v>0</v>
      </c>
      <c r="AF4" s="153">
        <f t="shared" si="0"/>
        <v>0</v>
      </c>
      <c r="AG4" s="153">
        <f t="shared" si="0"/>
        <v>0</v>
      </c>
    </row>
    <row r="5" spans="2:39" s="25" customFormat="1" ht="14.25" customHeight="1">
      <c r="E5" s="158"/>
      <c r="F5" s="158"/>
      <c r="G5" s="158"/>
      <c r="H5" s="158"/>
      <c r="I5" s="159"/>
      <c r="J5" s="159"/>
      <c r="K5" s="159"/>
      <c r="L5" s="159"/>
      <c r="M5" s="159"/>
    </row>
    <row r="6" spans="2:39" s="25" customFormat="1" ht="14.25" customHeight="1">
      <c r="B6" s="154" t="s">
        <v>26</v>
      </c>
      <c r="C6" s="155">
        <f>'Daily &amp; Weekly Totals'!E5</f>
        <v>43920</v>
      </c>
      <c r="D6" s="160"/>
      <c r="E6" s="161" t="str">
        <f>IF(Friedman!J3=0,"",Friedman!J3)</f>
        <v/>
      </c>
      <c r="F6" s="161" t="str">
        <f>IF(Friedman!N3=0,"",Friedman!N3)</f>
        <v/>
      </c>
      <c r="G6" s="161" t="str">
        <f>IF(Friedman!R3=0,"",Friedman!R3)</f>
        <v/>
      </c>
      <c r="H6" s="161" t="str">
        <f>IF(Friedman!V3=0,"",Friedman!V3)</f>
        <v/>
      </c>
      <c r="I6" s="161" t="str">
        <f>IF(Friedman!Z3=0,"",Friedman!Z3)</f>
        <v/>
      </c>
      <c r="J6" s="161" t="str">
        <f>IF(Friedman!AD3=0,"",Friedman!AD3)</f>
        <v/>
      </c>
      <c r="K6" s="161" t="str">
        <f>IF(Friedman!AH3=0,"",Friedman!AH3)</f>
        <v/>
      </c>
      <c r="L6" s="161" t="str">
        <f>IF(Friedman!AL3=0,"",Friedman!AL3)</f>
        <v/>
      </c>
      <c r="M6" s="161" t="str">
        <f>IF(Friedman!AP3=0,"",Friedman!AP3)</f>
        <v/>
      </c>
      <c r="N6" s="161" t="str">
        <f>IF(Friedman!AT3=0,"",Friedman!AT3)</f>
        <v/>
      </c>
      <c r="O6" s="161" t="str">
        <f>IF(Friedman!AX3=0,"",Friedman!AX3)</f>
        <v/>
      </c>
      <c r="P6" s="161" t="str">
        <f>IF(Friedman!BB3=0,"",Friedman!BB3)</f>
        <v/>
      </c>
      <c r="Q6" s="161" t="str">
        <f>IF(Friedman!BF3=0,"",Friedman!BF3)</f>
        <v/>
      </c>
      <c r="R6" s="161" t="str">
        <f>IF(Friedman!BJ3=0,"",Friedman!BJ3)</f>
        <v/>
      </c>
      <c r="S6" s="161" t="str">
        <f>IF(Friedman!BN3=0,"",Friedman!BN3)</f>
        <v/>
      </c>
      <c r="T6" s="161" t="str">
        <f>IF(Friedman!BR3=0,"",Friedman!BR3)</f>
        <v/>
      </c>
      <c r="U6" s="161" t="str">
        <f>IF(Friedman!BV3=0,"",Friedman!BV3)</f>
        <v/>
      </c>
      <c r="V6" s="161" t="str">
        <f>IF(Friedman!BZ3=0,"",Friedman!BZ3)</f>
        <v/>
      </c>
      <c r="W6" s="161" t="str">
        <f>IF(Friedman!CD3=0,"",Friedman!CD3)</f>
        <v/>
      </c>
      <c r="X6" s="161" t="str">
        <f>IF(Friedman!CH3=0,"",Friedman!CH3)</f>
        <v/>
      </c>
      <c r="Y6" s="161"/>
      <c r="Z6" s="161"/>
      <c r="AA6" s="161"/>
      <c r="AB6" s="161"/>
      <c r="AC6" s="161"/>
      <c r="AD6" s="161"/>
      <c r="AE6" s="161"/>
      <c r="AF6" s="161"/>
      <c r="AG6" s="161" t="str">
        <f>IF(Friedman!E3=0,"",Friedman!E3)</f>
        <v/>
      </c>
      <c r="AI6" s="162">
        <f t="shared" ref="AI6:AM15" si="1">SUMIF($E$3:$AG$3,AI$3,$E6:$AG6)</f>
        <v>0</v>
      </c>
      <c r="AJ6" s="162">
        <f t="shared" si="1"/>
        <v>0</v>
      </c>
      <c r="AK6" s="162">
        <f t="shared" si="1"/>
        <v>0</v>
      </c>
      <c r="AL6" s="162">
        <f t="shared" si="1"/>
        <v>0</v>
      </c>
      <c r="AM6" s="162">
        <f t="shared" si="1"/>
        <v>0</v>
      </c>
    </row>
    <row r="7" spans="2:39" s="25" customFormat="1" ht="14.25" customHeight="1">
      <c r="B7" s="154" t="s">
        <v>27</v>
      </c>
      <c r="C7" s="155">
        <f>'Daily &amp; Weekly Totals'!E6</f>
        <v>43921</v>
      </c>
      <c r="D7" s="160"/>
      <c r="E7" s="161" t="str">
        <f>IF(Friedman!J4=0,"",Friedman!J4)</f>
        <v/>
      </c>
      <c r="F7" s="161" t="str">
        <f>IF(Friedman!N4=0,"",Friedman!N4)</f>
        <v/>
      </c>
      <c r="G7" s="161" t="str">
        <f>IF(Friedman!R4=0,"",Friedman!R4)</f>
        <v/>
      </c>
      <c r="H7" s="161" t="str">
        <f>IF(Friedman!V4=0,"",Friedman!V4)</f>
        <v/>
      </c>
      <c r="I7" s="161" t="str">
        <f>IF(Friedman!Z4=0,"",Friedman!Z4)</f>
        <v/>
      </c>
      <c r="J7" s="161" t="str">
        <f>IF(Friedman!AD4=0,"",Friedman!AD4)</f>
        <v/>
      </c>
      <c r="K7" s="161" t="str">
        <f>IF(Friedman!AH4=0,"",Friedman!AH4)</f>
        <v/>
      </c>
      <c r="L7" s="161" t="str">
        <f>IF(Friedman!AL4=0,"",Friedman!AL4)</f>
        <v/>
      </c>
      <c r="M7" s="161" t="str">
        <f>IF(Friedman!AP4=0,"",Friedman!AP4)</f>
        <v/>
      </c>
      <c r="N7" s="161" t="str">
        <f>IF(Friedman!AT4=0,"",Friedman!AT4)</f>
        <v/>
      </c>
      <c r="O7" s="161" t="str">
        <f>IF(Friedman!AX4=0,"",Friedman!AX4)</f>
        <v/>
      </c>
      <c r="P7" s="161" t="str">
        <f>IF(Friedman!BB4=0,"",Friedman!BB4)</f>
        <v/>
      </c>
      <c r="Q7" s="161" t="str">
        <f>IF(Friedman!BF4=0,"",Friedman!BF4)</f>
        <v/>
      </c>
      <c r="R7" s="161" t="str">
        <f>IF(Friedman!BJ4=0,"",Friedman!BJ4)</f>
        <v/>
      </c>
      <c r="S7" s="161" t="str">
        <f>IF(Friedman!BN4=0,"",Friedman!BN4)</f>
        <v/>
      </c>
      <c r="T7" s="161" t="str">
        <f>IF(Friedman!BR4=0,"",Friedman!BR4)</f>
        <v/>
      </c>
      <c r="U7" s="161" t="str">
        <f>IF(Friedman!BV4=0,"",Friedman!BV4)</f>
        <v/>
      </c>
      <c r="V7" s="161" t="str">
        <f>IF(Friedman!BZ4=0,"",Friedman!BZ4)</f>
        <v/>
      </c>
      <c r="W7" s="161" t="str">
        <f>IF(Friedman!CD4=0,"",Friedman!CD4)</f>
        <v/>
      </c>
      <c r="X7" s="161" t="str">
        <f>IF(Friedman!CH4=0,"",Friedman!CH4)</f>
        <v/>
      </c>
      <c r="Y7" s="10"/>
      <c r="Z7" s="10"/>
      <c r="AA7" s="10"/>
      <c r="AB7" s="10"/>
      <c r="AC7" s="10"/>
      <c r="AD7" s="10"/>
      <c r="AE7" s="10"/>
      <c r="AF7" s="10"/>
      <c r="AG7" s="161" t="str">
        <f>IF(Friedman!E4=0,"",Friedman!E4)</f>
        <v/>
      </c>
      <c r="AI7" s="162">
        <f t="shared" si="1"/>
        <v>0</v>
      </c>
      <c r="AJ7" s="162">
        <f t="shared" si="1"/>
        <v>0</v>
      </c>
      <c r="AK7" s="162">
        <f t="shared" si="1"/>
        <v>0</v>
      </c>
      <c r="AL7" s="162">
        <f t="shared" si="1"/>
        <v>0</v>
      </c>
      <c r="AM7" s="162">
        <f t="shared" si="1"/>
        <v>0</v>
      </c>
    </row>
    <row r="8" spans="2:39" s="25" customFormat="1" ht="14.25" customHeight="1">
      <c r="B8" s="154" t="s">
        <v>28</v>
      </c>
      <c r="C8" s="155">
        <f>'Daily &amp; Weekly Totals'!E7</f>
        <v>43922</v>
      </c>
      <c r="D8" s="160"/>
      <c r="E8" s="161" t="str">
        <f>IF(Friedman!J5=0,"",Friedman!J5)</f>
        <v/>
      </c>
      <c r="F8" s="161" t="str">
        <f>IF(Friedman!N5=0,"",Friedman!N5)</f>
        <v/>
      </c>
      <c r="G8" s="161" t="str">
        <f>IF(Friedman!R5=0,"",Friedman!R5)</f>
        <v/>
      </c>
      <c r="H8" s="161" t="str">
        <f>IF(Friedman!V5=0,"",Friedman!V5)</f>
        <v/>
      </c>
      <c r="I8" s="161" t="str">
        <f>IF(Friedman!Z5=0,"",Friedman!Z5)</f>
        <v/>
      </c>
      <c r="J8" s="161" t="str">
        <f>IF(Friedman!AD5=0,"",Friedman!AD5)</f>
        <v/>
      </c>
      <c r="K8" s="161" t="str">
        <f>IF(Friedman!AH5=0,"",Friedman!AH5)</f>
        <v/>
      </c>
      <c r="L8" s="161" t="str">
        <f>IF(Friedman!AL5=0,"",Friedman!AL5)</f>
        <v/>
      </c>
      <c r="M8" s="161" t="str">
        <f>IF(Friedman!AP5=0,"",Friedman!AP5)</f>
        <v/>
      </c>
      <c r="N8" s="161" t="str">
        <f>IF(Friedman!AT5=0,"",Friedman!AT5)</f>
        <v/>
      </c>
      <c r="O8" s="161" t="str">
        <f>IF(Friedman!AX5=0,"",Friedman!AX5)</f>
        <v/>
      </c>
      <c r="P8" s="161" t="str">
        <f>IF(Friedman!BB5=0,"",Friedman!BB5)</f>
        <v/>
      </c>
      <c r="Q8" s="161" t="str">
        <f>IF(Friedman!BF5=0,"",Friedman!BF5)</f>
        <v/>
      </c>
      <c r="R8" s="161" t="str">
        <f>IF(Friedman!BJ5=0,"",Friedman!BJ5)</f>
        <v/>
      </c>
      <c r="S8" s="161" t="str">
        <f>IF(Friedman!BN5=0,"",Friedman!BN5)</f>
        <v/>
      </c>
      <c r="T8" s="161" t="str">
        <f>IF(Friedman!BR5=0,"",Friedman!BR5)</f>
        <v/>
      </c>
      <c r="U8" s="161" t="str">
        <f>IF(Friedman!BV5=0,"",Friedman!BV5)</f>
        <v/>
      </c>
      <c r="V8" s="161" t="str">
        <f>IF(Friedman!BZ5=0,"",Friedman!BZ5)</f>
        <v/>
      </c>
      <c r="W8" s="161" t="str">
        <f>IF(Friedman!CD5=0,"",Friedman!CD5)</f>
        <v/>
      </c>
      <c r="X8" s="161" t="str">
        <f>IF(Friedman!CH5=0,"",Friedman!CH5)</f>
        <v/>
      </c>
      <c r="Y8" s="10"/>
      <c r="Z8" s="10"/>
      <c r="AA8" s="10"/>
      <c r="AB8" s="10"/>
      <c r="AC8" s="10"/>
      <c r="AD8" s="10"/>
      <c r="AE8" s="10"/>
      <c r="AF8" s="10"/>
      <c r="AG8" s="161" t="str">
        <f>IF(Friedman!E5=0,"",Friedman!E5)</f>
        <v/>
      </c>
      <c r="AI8" s="162">
        <f t="shared" si="1"/>
        <v>0</v>
      </c>
      <c r="AJ8" s="162">
        <f t="shared" si="1"/>
        <v>0</v>
      </c>
      <c r="AK8" s="162">
        <f t="shared" si="1"/>
        <v>0</v>
      </c>
      <c r="AL8" s="162">
        <f t="shared" si="1"/>
        <v>0</v>
      </c>
      <c r="AM8" s="162">
        <f t="shared" si="1"/>
        <v>0</v>
      </c>
    </row>
    <row r="9" spans="2:39" s="25" customFormat="1" ht="14.25" customHeight="1">
      <c r="B9" s="154" t="s">
        <v>29</v>
      </c>
      <c r="C9" s="155">
        <f>'Daily &amp; Weekly Totals'!E8</f>
        <v>43923</v>
      </c>
      <c r="D9" s="160"/>
      <c r="E9" s="161" t="str">
        <f>IF(Friedman!J6=0,"",Friedman!J6)</f>
        <v/>
      </c>
      <c r="F9" s="161" t="str">
        <f>IF(Friedman!N6=0,"",Friedman!N6)</f>
        <v/>
      </c>
      <c r="G9" s="161" t="str">
        <f>IF(Friedman!R6=0,"",Friedman!R6)</f>
        <v/>
      </c>
      <c r="H9" s="161" t="str">
        <f>IF(Friedman!V6=0,"",Friedman!V6)</f>
        <v/>
      </c>
      <c r="I9" s="161" t="str">
        <f>IF(Friedman!Z6=0,"",Friedman!Z6)</f>
        <v/>
      </c>
      <c r="J9" s="161" t="str">
        <f>IF(Friedman!AD6=0,"",Friedman!AD6)</f>
        <v/>
      </c>
      <c r="K9" s="161" t="str">
        <f>IF(Friedman!AH6=0,"",Friedman!AH6)</f>
        <v/>
      </c>
      <c r="L9" s="161" t="str">
        <f>IF(Friedman!AL6=0,"",Friedman!AL6)</f>
        <v/>
      </c>
      <c r="M9" s="161" t="str">
        <f>IF(Friedman!AP6=0,"",Friedman!AP6)</f>
        <v/>
      </c>
      <c r="N9" s="161" t="str">
        <f>IF(Friedman!AT6=0,"",Friedman!AT6)</f>
        <v/>
      </c>
      <c r="O9" s="161" t="str">
        <f>IF(Friedman!AX6=0,"",Friedman!AX6)</f>
        <v/>
      </c>
      <c r="P9" s="161" t="str">
        <f>IF(Friedman!BB6=0,"",Friedman!BB6)</f>
        <v/>
      </c>
      <c r="Q9" s="161" t="str">
        <f>IF(Friedman!BF6=0,"",Friedman!BF6)</f>
        <v/>
      </c>
      <c r="R9" s="161" t="str">
        <f>IF(Friedman!BJ6=0,"",Friedman!BJ6)</f>
        <v/>
      </c>
      <c r="S9" s="161" t="str">
        <f>IF(Friedman!BN6=0,"",Friedman!BN6)</f>
        <v/>
      </c>
      <c r="T9" s="161" t="str">
        <f>IF(Friedman!BR6=0,"",Friedman!BR6)</f>
        <v/>
      </c>
      <c r="U9" s="161" t="str">
        <f>IF(Friedman!BV6=0,"",Friedman!BV6)</f>
        <v/>
      </c>
      <c r="V9" s="161" t="str">
        <f>IF(Friedman!BZ6=0,"",Friedman!BZ6)</f>
        <v/>
      </c>
      <c r="W9" s="161" t="str">
        <f>IF(Friedman!CD6=0,"",Friedman!CD6)</f>
        <v/>
      </c>
      <c r="X9" s="161" t="str">
        <f>IF(Friedman!CH6=0,"",Friedman!CH6)</f>
        <v/>
      </c>
      <c r="Y9" s="10"/>
      <c r="Z9" s="10"/>
      <c r="AA9" s="10"/>
      <c r="AB9" s="10"/>
      <c r="AC9" s="10"/>
      <c r="AD9" s="10"/>
      <c r="AE9" s="10"/>
      <c r="AF9" s="10"/>
      <c r="AG9" s="161" t="str">
        <f>IF(Friedman!E6=0,"",Friedman!E6)</f>
        <v/>
      </c>
      <c r="AI9" s="162">
        <f t="shared" si="1"/>
        <v>0</v>
      </c>
      <c r="AJ9" s="162">
        <f t="shared" si="1"/>
        <v>0</v>
      </c>
      <c r="AK9" s="162">
        <f t="shared" si="1"/>
        <v>0</v>
      </c>
      <c r="AL9" s="162">
        <f t="shared" si="1"/>
        <v>0</v>
      </c>
      <c r="AM9" s="162">
        <f t="shared" si="1"/>
        <v>0</v>
      </c>
    </row>
    <row r="10" spans="2:39" s="25" customFormat="1" ht="14.25" customHeight="1">
      <c r="B10" s="154" t="s">
        <v>30</v>
      </c>
      <c r="C10" s="155">
        <f>'Daily &amp; Weekly Totals'!E9</f>
        <v>43924</v>
      </c>
      <c r="D10" s="160"/>
      <c r="E10" s="161" t="str">
        <f>IF(Friedman!J7=0,"",Friedman!J7)</f>
        <v/>
      </c>
      <c r="F10" s="161" t="str">
        <f>IF(Friedman!N7=0,"",Friedman!N7)</f>
        <v/>
      </c>
      <c r="G10" s="161" t="str">
        <f>IF(Friedman!R7=0,"",Friedman!R7)</f>
        <v/>
      </c>
      <c r="H10" s="161" t="str">
        <f>IF(Friedman!V7=0,"",Friedman!V7)</f>
        <v/>
      </c>
      <c r="I10" s="161" t="str">
        <f>IF(Friedman!Z7=0,"",Friedman!Z7)</f>
        <v/>
      </c>
      <c r="J10" s="161" t="str">
        <f>IF(Friedman!AD7=0,"",Friedman!AD7)</f>
        <v/>
      </c>
      <c r="K10" s="161" t="str">
        <f>IF(Friedman!AH7=0,"",Friedman!AH7)</f>
        <v/>
      </c>
      <c r="L10" s="161" t="str">
        <f>IF(Friedman!AL7=0,"",Friedman!AL7)</f>
        <v/>
      </c>
      <c r="M10" s="161" t="str">
        <f>IF(Friedman!AP7=0,"",Friedman!AP7)</f>
        <v/>
      </c>
      <c r="N10" s="161" t="str">
        <f>IF(Friedman!AT7=0,"",Friedman!AT7)</f>
        <v/>
      </c>
      <c r="O10" s="161" t="str">
        <f>IF(Friedman!AX7=0,"",Friedman!AX7)</f>
        <v/>
      </c>
      <c r="P10" s="161" t="str">
        <f>IF(Friedman!BB7=0,"",Friedman!BB7)</f>
        <v/>
      </c>
      <c r="Q10" s="161" t="str">
        <f>IF(Friedman!BF7=0,"",Friedman!BF7)</f>
        <v/>
      </c>
      <c r="R10" s="161" t="str">
        <f>IF(Friedman!BJ7=0,"",Friedman!BJ7)</f>
        <v/>
      </c>
      <c r="S10" s="161" t="str">
        <f>IF(Friedman!BN7=0,"",Friedman!BN7)</f>
        <v/>
      </c>
      <c r="T10" s="161" t="str">
        <f>IF(Friedman!BR7=0,"",Friedman!BR7)</f>
        <v/>
      </c>
      <c r="U10" s="161" t="str">
        <f>IF(Friedman!BV7=0,"",Friedman!BV7)</f>
        <v/>
      </c>
      <c r="V10" s="161" t="str">
        <f>IF(Friedman!BZ7=0,"",Friedman!BZ7)</f>
        <v/>
      </c>
      <c r="W10" s="161" t="str">
        <f>IF(Friedman!CD7=0,"",Friedman!CD7)</f>
        <v/>
      </c>
      <c r="X10" s="161" t="str">
        <f>IF(Friedman!CH7=0,"",Friedman!CH7)</f>
        <v/>
      </c>
      <c r="Y10" s="10"/>
      <c r="Z10" s="10"/>
      <c r="AA10" s="10"/>
      <c r="AB10" s="10"/>
      <c r="AC10" s="10"/>
      <c r="AD10" s="10"/>
      <c r="AE10" s="10"/>
      <c r="AF10" s="10"/>
      <c r="AG10" s="161" t="str">
        <f>IF(Friedman!E7=0,"",Friedman!E7)</f>
        <v/>
      </c>
      <c r="AI10" s="162">
        <f t="shared" si="1"/>
        <v>0</v>
      </c>
      <c r="AJ10" s="162">
        <f t="shared" si="1"/>
        <v>0</v>
      </c>
      <c r="AK10" s="162">
        <f t="shared" si="1"/>
        <v>0</v>
      </c>
      <c r="AL10" s="162">
        <f t="shared" si="1"/>
        <v>0</v>
      </c>
      <c r="AM10" s="162">
        <f t="shared" si="1"/>
        <v>0</v>
      </c>
    </row>
    <row r="11" spans="2:39" s="25" customFormat="1" ht="14.25" customHeight="1">
      <c r="B11" s="154" t="s">
        <v>31</v>
      </c>
      <c r="C11" s="155">
        <f>'Daily &amp; Weekly Totals'!E10</f>
        <v>43925</v>
      </c>
      <c r="D11" s="160"/>
      <c r="E11" s="161" t="str">
        <f>IF(Friedman!J8=0,"",Friedman!J8)</f>
        <v/>
      </c>
      <c r="F11" s="161" t="str">
        <f>IF(Friedman!N8=0,"",Friedman!N8)</f>
        <v/>
      </c>
      <c r="G11" s="161" t="str">
        <f>IF(Friedman!R8=0,"",Friedman!R8)</f>
        <v/>
      </c>
      <c r="H11" s="161" t="str">
        <f>IF(Friedman!V8=0,"",Friedman!V8)</f>
        <v/>
      </c>
      <c r="I11" s="161" t="str">
        <f>IF(Friedman!Z8=0,"",Friedman!Z8)</f>
        <v/>
      </c>
      <c r="J11" s="161" t="str">
        <f>IF(Friedman!AD8=0,"",Friedman!AD8)</f>
        <v/>
      </c>
      <c r="K11" s="161" t="str">
        <f>IF(Friedman!AH8=0,"",Friedman!AH8)</f>
        <v/>
      </c>
      <c r="L11" s="161" t="str">
        <f>IF(Friedman!AL8=0,"",Friedman!AL8)</f>
        <v/>
      </c>
      <c r="M11" s="161" t="str">
        <f>IF(Friedman!AP8=0,"",Friedman!AP8)</f>
        <v/>
      </c>
      <c r="N11" s="161" t="str">
        <f>IF(Friedman!AT8=0,"",Friedman!AT8)</f>
        <v/>
      </c>
      <c r="O11" s="161" t="str">
        <f>IF(Friedman!AX8=0,"",Friedman!AX8)</f>
        <v/>
      </c>
      <c r="P11" s="161" t="str">
        <f>IF(Friedman!BB8=0,"",Friedman!BB8)</f>
        <v/>
      </c>
      <c r="Q11" s="161" t="str">
        <f>IF(Friedman!BF8=0,"",Friedman!BF8)</f>
        <v/>
      </c>
      <c r="R11" s="161" t="str">
        <f>IF(Friedman!BJ8=0,"",Friedman!BJ8)</f>
        <v/>
      </c>
      <c r="S11" s="161" t="str">
        <f>IF(Friedman!BN8=0,"",Friedman!BN8)</f>
        <v/>
      </c>
      <c r="T11" s="161" t="str">
        <f>IF(Friedman!BR8=0,"",Friedman!BR8)</f>
        <v/>
      </c>
      <c r="U11" s="161" t="str">
        <f>IF(Friedman!BV8=0,"",Friedman!BV8)</f>
        <v/>
      </c>
      <c r="V11" s="161" t="str">
        <f>IF(Friedman!BZ8=0,"",Friedman!BZ8)</f>
        <v/>
      </c>
      <c r="W11" s="161" t="str">
        <f>IF(Friedman!CD8=0,"",Friedman!CD8)</f>
        <v/>
      </c>
      <c r="X11" s="161" t="str">
        <f>IF(Friedman!CH8=0,"",Friedman!CH8)</f>
        <v/>
      </c>
      <c r="Y11" s="10"/>
      <c r="Z11" s="10"/>
      <c r="AA11" s="10"/>
      <c r="AB11" s="10"/>
      <c r="AC11" s="10"/>
      <c r="AD11" s="10"/>
      <c r="AE11" s="10"/>
      <c r="AF11" s="10"/>
      <c r="AG11" s="161" t="str">
        <f>IF(Friedman!E8=0,"",Friedman!E8)</f>
        <v/>
      </c>
      <c r="AI11" s="162">
        <f t="shared" si="1"/>
        <v>0</v>
      </c>
      <c r="AJ11" s="162">
        <f t="shared" si="1"/>
        <v>0</v>
      </c>
      <c r="AK11" s="162">
        <f t="shared" si="1"/>
        <v>0</v>
      </c>
      <c r="AL11" s="162">
        <f t="shared" si="1"/>
        <v>0</v>
      </c>
      <c r="AM11" s="162">
        <f t="shared" si="1"/>
        <v>0</v>
      </c>
    </row>
    <row r="12" spans="2:39" s="25" customFormat="1" ht="14.25" customHeight="1">
      <c r="B12" s="154" t="s">
        <v>32</v>
      </c>
      <c r="C12" s="155">
        <f>'Daily &amp; Weekly Totals'!E11</f>
        <v>43926</v>
      </c>
      <c r="D12" s="160"/>
      <c r="E12" s="161" t="str">
        <f>IF(Friedman!J9=0,"",Friedman!J9)</f>
        <v/>
      </c>
      <c r="F12" s="161" t="str">
        <f>IF(Friedman!N9=0,"",Friedman!N9)</f>
        <v/>
      </c>
      <c r="G12" s="161" t="str">
        <f>IF(Friedman!R9=0,"",Friedman!R9)</f>
        <v/>
      </c>
      <c r="H12" s="161" t="str">
        <f>IF(Friedman!V9=0,"",Friedman!V9)</f>
        <v/>
      </c>
      <c r="I12" s="161" t="str">
        <f>IF(Friedman!Z9=0,"",Friedman!Z9)</f>
        <v/>
      </c>
      <c r="J12" s="161" t="str">
        <f>IF(Friedman!AD9=0,"",Friedman!AD9)</f>
        <v/>
      </c>
      <c r="K12" s="161" t="str">
        <f>IF(Friedman!AH9=0,"",Friedman!AH9)</f>
        <v/>
      </c>
      <c r="L12" s="161" t="str">
        <f>IF(Friedman!AL9=0,"",Friedman!AL9)</f>
        <v/>
      </c>
      <c r="M12" s="161" t="str">
        <f>IF(Friedman!AP9=0,"",Friedman!AP9)</f>
        <v/>
      </c>
      <c r="N12" s="161" t="str">
        <f>IF(Friedman!AT9=0,"",Friedman!AT9)</f>
        <v/>
      </c>
      <c r="O12" s="161" t="str">
        <f>IF(Friedman!AX9=0,"",Friedman!AX9)</f>
        <v/>
      </c>
      <c r="P12" s="161" t="str">
        <f>IF(Friedman!BB9=0,"",Friedman!BB9)</f>
        <v/>
      </c>
      <c r="Q12" s="161" t="str">
        <f>IF(Friedman!BF9=0,"",Friedman!BF9)</f>
        <v/>
      </c>
      <c r="R12" s="161" t="str">
        <f>IF(Friedman!BJ9=0,"",Friedman!BJ9)</f>
        <v/>
      </c>
      <c r="S12" s="161" t="str">
        <f>IF(Friedman!BN9=0,"",Friedman!BN9)</f>
        <v/>
      </c>
      <c r="T12" s="161" t="str">
        <f>IF(Friedman!BR9=0,"",Friedman!BR9)</f>
        <v/>
      </c>
      <c r="U12" s="161" t="str">
        <f>IF(Friedman!BV9=0,"",Friedman!BV9)</f>
        <v/>
      </c>
      <c r="V12" s="161" t="str">
        <f>IF(Friedman!BZ9=0,"",Friedman!BZ9)</f>
        <v/>
      </c>
      <c r="W12" s="161" t="str">
        <f>IF(Friedman!CD9=0,"",Friedman!CD9)</f>
        <v/>
      </c>
      <c r="X12" s="161" t="str">
        <f>IF(Friedman!CH9=0,"",Friedman!CH9)</f>
        <v/>
      </c>
      <c r="Y12" s="10"/>
      <c r="Z12" s="10"/>
      <c r="AA12" s="10"/>
      <c r="AB12" s="10"/>
      <c r="AC12" s="10"/>
      <c r="AD12" s="10"/>
      <c r="AE12" s="10"/>
      <c r="AF12" s="10"/>
      <c r="AG12" s="161" t="str">
        <f>IF(Friedman!E9=0,"",Friedman!E9)</f>
        <v/>
      </c>
      <c r="AI12" s="162">
        <f t="shared" si="1"/>
        <v>0</v>
      </c>
      <c r="AJ12" s="162">
        <f t="shared" si="1"/>
        <v>0</v>
      </c>
      <c r="AK12" s="162">
        <f t="shared" si="1"/>
        <v>0</v>
      </c>
      <c r="AL12" s="162">
        <f t="shared" si="1"/>
        <v>0</v>
      </c>
      <c r="AM12" s="162">
        <f t="shared" si="1"/>
        <v>0</v>
      </c>
    </row>
    <row r="13" spans="2:39" s="25" customFormat="1" ht="14.25" customHeight="1">
      <c r="B13" s="154" t="s">
        <v>26</v>
      </c>
      <c r="C13" s="155">
        <f>'Daily &amp; Weekly Totals'!E15</f>
        <v>43927</v>
      </c>
      <c r="D13" s="160"/>
      <c r="E13" s="161" t="str">
        <f>IF(Friedman!J10=0,"",Friedman!J10)</f>
        <v/>
      </c>
      <c r="F13" s="161" t="str">
        <f>IF(Friedman!N10=0,"",Friedman!N10)</f>
        <v/>
      </c>
      <c r="G13" s="161" t="str">
        <f>IF(Friedman!R10=0,"",Friedman!R10)</f>
        <v/>
      </c>
      <c r="H13" s="161" t="str">
        <f>IF(Friedman!V10=0,"",Friedman!V10)</f>
        <v/>
      </c>
      <c r="I13" s="161" t="str">
        <f>IF(Friedman!Z10=0,"",Friedman!Z10)</f>
        <v/>
      </c>
      <c r="J13" s="161" t="str">
        <f>IF(Friedman!AD10=0,"",Friedman!AD10)</f>
        <v/>
      </c>
      <c r="K13" s="161" t="str">
        <f>IF(Friedman!AH10=0,"",Friedman!AH10)</f>
        <v/>
      </c>
      <c r="L13" s="161" t="str">
        <f>IF(Friedman!AL10=0,"",Friedman!AL10)</f>
        <v/>
      </c>
      <c r="M13" s="161" t="str">
        <f>IF(Friedman!AP10=0,"",Friedman!AP10)</f>
        <v/>
      </c>
      <c r="N13" s="161" t="str">
        <f>IF(Friedman!AT10=0,"",Friedman!AT10)</f>
        <v/>
      </c>
      <c r="O13" s="161" t="str">
        <f>IF(Friedman!AX10=0,"",Friedman!AX10)</f>
        <v/>
      </c>
      <c r="P13" s="161" t="str">
        <f>IF(Friedman!BB10=0,"",Friedman!BB10)</f>
        <v/>
      </c>
      <c r="Q13" s="161" t="str">
        <f>IF(Friedman!BF10=0,"",Friedman!BF10)</f>
        <v/>
      </c>
      <c r="R13" s="161" t="str">
        <f>IF(Friedman!BJ10=0,"",Friedman!BJ10)</f>
        <v/>
      </c>
      <c r="S13" s="161" t="str">
        <f>IF(Friedman!BN10=0,"",Friedman!BN10)</f>
        <v/>
      </c>
      <c r="T13" s="161" t="str">
        <f>IF(Friedman!BR10=0,"",Friedman!BR10)</f>
        <v/>
      </c>
      <c r="U13" s="161" t="str">
        <f>IF(Friedman!BV10=0,"",Friedman!BV10)</f>
        <v/>
      </c>
      <c r="V13" s="161" t="str">
        <f>IF(Friedman!BZ10=0,"",Friedman!BZ10)</f>
        <v/>
      </c>
      <c r="W13" s="161" t="str">
        <f>IF(Friedman!CD10=0,"",Friedman!CD10)</f>
        <v/>
      </c>
      <c r="X13" s="161" t="str">
        <f>IF(Friedman!CH10=0,"",Friedman!CH10)</f>
        <v/>
      </c>
      <c r="Y13" s="10"/>
      <c r="Z13" s="10"/>
      <c r="AA13" s="10"/>
      <c r="AB13" s="10"/>
      <c r="AC13" s="10"/>
      <c r="AD13" s="10"/>
      <c r="AE13" s="10"/>
      <c r="AF13" s="10"/>
      <c r="AG13" s="161" t="str">
        <f>IF(Friedman!E10=0,"",Friedman!E10)</f>
        <v/>
      </c>
      <c r="AI13" s="162">
        <f t="shared" si="1"/>
        <v>0</v>
      </c>
      <c r="AJ13" s="162">
        <f t="shared" si="1"/>
        <v>0</v>
      </c>
      <c r="AK13" s="162">
        <f t="shared" si="1"/>
        <v>0</v>
      </c>
      <c r="AL13" s="162">
        <f t="shared" si="1"/>
        <v>0</v>
      </c>
      <c r="AM13" s="162">
        <f t="shared" si="1"/>
        <v>0</v>
      </c>
    </row>
    <row r="14" spans="2:39" s="25" customFormat="1" ht="14.25" customHeight="1">
      <c r="B14" s="154" t="s">
        <v>27</v>
      </c>
      <c r="C14" s="155">
        <f>'Daily &amp; Weekly Totals'!E16</f>
        <v>43928</v>
      </c>
      <c r="D14" s="160"/>
      <c r="E14" s="161" t="str">
        <f>IF(Friedman!J11=0,"",Friedman!J11)</f>
        <v/>
      </c>
      <c r="F14" s="161" t="str">
        <f>IF(Friedman!N11=0,"",Friedman!N11)</f>
        <v/>
      </c>
      <c r="G14" s="161" t="str">
        <f>IF(Friedman!R11=0,"",Friedman!R11)</f>
        <v/>
      </c>
      <c r="H14" s="161" t="str">
        <f>IF(Friedman!V11=0,"",Friedman!V11)</f>
        <v/>
      </c>
      <c r="I14" s="161" t="str">
        <f>IF(Friedman!Z11=0,"",Friedman!Z11)</f>
        <v/>
      </c>
      <c r="J14" s="161" t="str">
        <f>IF(Friedman!AD11=0,"",Friedman!AD11)</f>
        <v/>
      </c>
      <c r="K14" s="161" t="str">
        <f>IF(Friedman!AH11=0,"",Friedman!AH11)</f>
        <v/>
      </c>
      <c r="L14" s="161" t="str">
        <f>IF(Friedman!AL11=0,"",Friedman!AL11)</f>
        <v/>
      </c>
      <c r="M14" s="161" t="str">
        <f>IF(Friedman!AP11=0,"",Friedman!AP11)</f>
        <v/>
      </c>
      <c r="N14" s="161" t="str">
        <f>IF(Friedman!AT11=0,"",Friedman!AT11)</f>
        <v/>
      </c>
      <c r="O14" s="161" t="str">
        <f>IF(Friedman!AX11=0,"",Friedman!AX11)</f>
        <v/>
      </c>
      <c r="P14" s="161" t="str">
        <f>IF(Friedman!BB11=0,"",Friedman!BB11)</f>
        <v/>
      </c>
      <c r="Q14" s="161" t="str">
        <f>IF(Friedman!BF11=0,"",Friedman!BF11)</f>
        <v/>
      </c>
      <c r="R14" s="161" t="str">
        <f>IF(Friedman!BJ11=0,"",Friedman!BJ11)</f>
        <v/>
      </c>
      <c r="S14" s="161" t="str">
        <f>IF(Friedman!BN11=0,"",Friedman!BN11)</f>
        <v/>
      </c>
      <c r="T14" s="161" t="str">
        <f>IF(Friedman!BR11=0,"",Friedman!BR11)</f>
        <v/>
      </c>
      <c r="U14" s="161" t="str">
        <f>IF(Friedman!BV11=0,"",Friedman!BV11)</f>
        <v/>
      </c>
      <c r="V14" s="161" t="str">
        <f>IF(Friedman!BZ11=0,"",Friedman!BZ11)</f>
        <v/>
      </c>
      <c r="W14" s="161" t="str">
        <f>IF(Friedman!CD11=0,"",Friedman!CD11)</f>
        <v/>
      </c>
      <c r="X14" s="161" t="str">
        <f>IF(Friedman!CH11=0,"",Friedman!CH11)</f>
        <v/>
      </c>
      <c r="Y14" s="10"/>
      <c r="Z14" s="10"/>
      <c r="AA14" s="10"/>
      <c r="AB14" s="10"/>
      <c r="AC14" s="10"/>
      <c r="AD14" s="10"/>
      <c r="AE14" s="10"/>
      <c r="AF14" s="10"/>
      <c r="AG14" s="161" t="str">
        <f>IF(Friedman!E11=0,"",Friedman!E11)</f>
        <v/>
      </c>
      <c r="AI14" s="162">
        <f t="shared" si="1"/>
        <v>0</v>
      </c>
      <c r="AJ14" s="162">
        <f t="shared" si="1"/>
        <v>0</v>
      </c>
      <c r="AK14" s="162">
        <f t="shared" si="1"/>
        <v>0</v>
      </c>
      <c r="AL14" s="162">
        <f t="shared" si="1"/>
        <v>0</v>
      </c>
      <c r="AM14" s="162">
        <f t="shared" si="1"/>
        <v>0</v>
      </c>
    </row>
    <row r="15" spans="2:39" s="25" customFormat="1" ht="14.25" customHeight="1">
      <c r="B15" s="154" t="s">
        <v>28</v>
      </c>
      <c r="C15" s="155">
        <f>'Daily &amp; Weekly Totals'!E17</f>
        <v>43929</v>
      </c>
      <c r="D15" s="160"/>
      <c r="E15" s="161" t="str">
        <f>IF(Friedman!J12=0,"",Friedman!J12)</f>
        <v/>
      </c>
      <c r="F15" s="161" t="str">
        <f>IF(Friedman!N12=0,"",Friedman!N12)</f>
        <v/>
      </c>
      <c r="G15" s="161" t="str">
        <f>IF(Friedman!R12=0,"",Friedman!R12)</f>
        <v/>
      </c>
      <c r="H15" s="161" t="str">
        <f>IF(Friedman!V12=0,"",Friedman!V12)</f>
        <v/>
      </c>
      <c r="I15" s="161" t="str">
        <f>IF(Friedman!Z12=0,"",Friedman!Z12)</f>
        <v/>
      </c>
      <c r="J15" s="161" t="str">
        <f>IF(Friedman!AD12=0,"",Friedman!AD12)</f>
        <v/>
      </c>
      <c r="K15" s="161" t="str">
        <f>IF(Friedman!AH12=0,"",Friedman!AH12)</f>
        <v/>
      </c>
      <c r="L15" s="161" t="str">
        <f>IF(Friedman!AL12=0,"",Friedman!AL12)</f>
        <v/>
      </c>
      <c r="M15" s="161" t="str">
        <f>IF(Friedman!AP12=0,"",Friedman!AP12)</f>
        <v/>
      </c>
      <c r="N15" s="161" t="str">
        <f>IF(Friedman!AT12=0,"",Friedman!AT12)</f>
        <v/>
      </c>
      <c r="O15" s="161" t="str">
        <f>IF(Friedman!AX12=0,"",Friedman!AX12)</f>
        <v/>
      </c>
      <c r="P15" s="161" t="str">
        <f>IF(Friedman!BB12=0,"",Friedman!BB12)</f>
        <v/>
      </c>
      <c r="Q15" s="161" t="str">
        <f>IF(Friedman!BF12=0,"",Friedman!BF12)</f>
        <v/>
      </c>
      <c r="R15" s="161" t="str">
        <f>IF(Friedman!BJ12=0,"",Friedman!BJ12)</f>
        <v/>
      </c>
      <c r="S15" s="161" t="str">
        <f>IF(Friedman!BN12=0,"",Friedman!BN12)</f>
        <v/>
      </c>
      <c r="T15" s="161" t="str">
        <f>IF(Friedman!BR12=0,"",Friedman!BR12)</f>
        <v/>
      </c>
      <c r="U15" s="161" t="str">
        <f>IF(Friedman!BV12=0,"",Friedman!BV12)</f>
        <v/>
      </c>
      <c r="V15" s="161" t="str">
        <f>IF(Friedman!BZ12=0,"",Friedman!BZ12)</f>
        <v/>
      </c>
      <c r="W15" s="161" t="str">
        <f>IF(Friedman!CD12=0,"",Friedman!CD12)</f>
        <v/>
      </c>
      <c r="X15" s="161" t="str">
        <f>IF(Friedman!CH12=0,"",Friedman!CH12)</f>
        <v/>
      </c>
      <c r="Y15" s="10"/>
      <c r="Z15" s="10"/>
      <c r="AA15" s="10"/>
      <c r="AB15" s="10"/>
      <c r="AC15" s="10"/>
      <c r="AD15" s="10"/>
      <c r="AE15" s="10"/>
      <c r="AF15" s="10"/>
      <c r="AG15" s="161" t="str">
        <f>IF(Friedman!E12=0,"",Friedman!E12)</f>
        <v/>
      </c>
      <c r="AI15" s="162">
        <f t="shared" si="1"/>
        <v>0</v>
      </c>
      <c r="AJ15" s="162">
        <f t="shared" si="1"/>
        <v>0</v>
      </c>
      <c r="AK15" s="162">
        <f t="shared" si="1"/>
        <v>0</v>
      </c>
      <c r="AL15" s="162">
        <f t="shared" si="1"/>
        <v>0</v>
      </c>
      <c r="AM15" s="162">
        <f t="shared" si="1"/>
        <v>0</v>
      </c>
    </row>
    <row r="16" spans="2:39" s="25" customFormat="1" ht="14.25" customHeight="1">
      <c r="B16" s="154" t="s">
        <v>29</v>
      </c>
      <c r="C16" s="155">
        <f>'Daily &amp; Weekly Totals'!E18</f>
        <v>43930</v>
      </c>
      <c r="D16" s="160"/>
      <c r="E16" s="161" t="str">
        <f>IF(Friedman!J13=0,"",Friedman!J13)</f>
        <v/>
      </c>
      <c r="F16" s="161" t="str">
        <f>IF(Friedman!N13=0,"",Friedman!N13)</f>
        <v/>
      </c>
      <c r="G16" s="161" t="str">
        <f>IF(Friedman!R13=0,"",Friedman!R13)</f>
        <v/>
      </c>
      <c r="H16" s="161" t="str">
        <f>IF(Friedman!V13=0,"",Friedman!V13)</f>
        <v/>
      </c>
      <c r="I16" s="161" t="str">
        <f>IF(Friedman!Z13=0,"",Friedman!Z13)</f>
        <v/>
      </c>
      <c r="J16" s="161" t="str">
        <f>IF(Friedman!AD13=0,"",Friedman!AD13)</f>
        <v/>
      </c>
      <c r="K16" s="161" t="str">
        <f>IF(Friedman!AH13=0,"",Friedman!AH13)</f>
        <v/>
      </c>
      <c r="L16" s="161" t="str">
        <f>IF(Friedman!AL13=0,"",Friedman!AL13)</f>
        <v/>
      </c>
      <c r="M16" s="161" t="str">
        <f>IF(Friedman!AP13=0,"",Friedman!AP13)</f>
        <v/>
      </c>
      <c r="N16" s="161" t="str">
        <f>IF(Friedman!AT13=0,"",Friedman!AT13)</f>
        <v/>
      </c>
      <c r="O16" s="161" t="str">
        <f>IF(Friedman!AX13=0,"",Friedman!AX13)</f>
        <v/>
      </c>
      <c r="P16" s="161" t="str">
        <f>IF(Friedman!BB13=0,"",Friedman!BB13)</f>
        <v/>
      </c>
      <c r="Q16" s="161" t="str">
        <f>IF(Friedman!BF13=0,"",Friedman!BF13)</f>
        <v/>
      </c>
      <c r="R16" s="161" t="str">
        <f>IF(Friedman!BJ13=0,"",Friedman!BJ13)</f>
        <v/>
      </c>
      <c r="S16" s="161" t="str">
        <f>IF(Friedman!BN13=0,"",Friedman!BN13)</f>
        <v/>
      </c>
      <c r="T16" s="161" t="str">
        <f>IF(Friedman!BR13=0,"",Friedman!BR13)</f>
        <v/>
      </c>
      <c r="U16" s="161" t="str">
        <f>IF(Friedman!BV13=0,"",Friedman!BV13)</f>
        <v/>
      </c>
      <c r="V16" s="161" t="str">
        <f>IF(Friedman!BZ13=0,"",Friedman!BZ13)</f>
        <v/>
      </c>
      <c r="W16" s="161" t="str">
        <f>IF(Friedman!CD13=0,"",Friedman!CD13)</f>
        <v/>
      </c>
      <c r="X16" s="161" t="str">
        <f>IF(Friedman!CH13=0,"",Friedman!CH13)</f>
        <v/>
      </c>
      <c r="Y16" s="10"/>
      <c r="Z16" s="10"/>
      <c r="AA16" s="10"/>
      <c r="AB16" s="10"/>
      <c r="AC16" s="10"/>
      <c r="AD16" s="10"/>
      <c r="AE16" s="10"/>
      <c r="AF16" s="10"/>
      <c r="AG16" s="161" t="str">
        <f>IF(Friedman!E13=0,"",Friedman!E13)</f>
        <v/>
      </c>
      <c r="AI16" s="162">
        <f t="shared" ref="AI16:AM25" si="2">SUMIF($E$3:$AG$3,AI$3,$E16:$AG16)</f>
        <v>0</v>
      </c>
      <c r="AJ16" s="162">
        <f t="shared" si="2"/>
        <v>0</v>
      </c>
      <c r="AK16" s="162">
        <f t="shared" si="2"/>
        <v>0</v>
      </c>
      <c r="AL16" s="162">
        <f t="shared" si="2"/>
        <v>0</v>
      </c>
      <c r="AM16" s="162">
        <f t="shared" si="2"/>
        <v>0</v>
      </c>
    </row>
    <row r="17" spans="2:39" s="25" customFormat="1" ht="14.25" customHeight="1">
      <c r="B17" s="154" t="s">
        <v>30</v>
      </c>
      <c r="C17" s="155">
        <f>'Daily &amp; Weekly Totals'!E19</f>
        <v>43931</v>
      </c>
      <c r="D17" s="160"/>
      <c r="E17" s="161" t="str">
        <f>IF(Friedman!J14=0,"",Friedman!J14)</f>
        <v/>
      </c>
      <c r="F17" s="161" t="str">
        <f>IF(Friedman!N14=0,"",Friedman!N14)</f>
        <v/>
      </c>
      <c r="G17" s="161" t="str">
        <f>IF(Friedman!R14=0,"",Friedman!R14)</f>
        <v/>
      </c>
      <c r="H17" s="161" t="str">
        <f>IF(Friedman!V14=0,"",Friedman!V14)</f>
        <v/>
      </c>
      <c r="I17" s="161" t="str">
        <f>IF(Friedman!Z14=0,"",Friedman!Z14)</f>
        <v/>
      </c>
      <c r="J17" s="161" t="str">
        <f>IF(Friedman!AD14=0,"",Friedman!AD14)</f>
        <v/>
      </c>
      <c r="K17" s="161" t="str">
        <f>IF(Friedman!AH14=0,"",Friedman!AH14)</f>
        <v/>
      </c>
      <c r="L17" s="161" t="str">
        <f>IF(Friedman!AL14=0,"",Friedman!AL14)</f>
        <v/>
      </c>
      <c r="M17" s="161" t="str">
        <f>IF(Friedman!AP14=0,"",Friedman!AP14)</f>
        <v/>
      </c>
      <c r="N17" s="161" t="str">
        <f>IF(Friedman!AT14=0,"",Friedman!AT14)</f>
        <v/>
      </c>
      <c r="O17" s="161" t="str">
        <f>IF(Friedman!AX14=0,"",Friedman!AX14)</f>
        <v/>
      </c>
      <c r="P17" s="161" t="str">
        <f>IF(Friedman!BB14=0,"",Friedman!BB14)</f>
        <v/>
      </c>
      <c r="Q17" s="161" t="str">
        <f>IF(Friedman!BF14=0,"",Friedman!BF14)</f>
        <v/>
      </c>
      <c r="R17" s="161" t="str">
        <f>IF(Friedman!BJ14=0,"",Friedman!BJ14)</f>
        <v/>
      </c>
      <c r="S17" s="161" t="str">
        <f>IF(Friedman!BN14=0,"",Friedman!BN14)</f>
        <v/>
      </c>
      <c r="T17" s="161" t="str">
        <f>IF(Friedman!BR14=0,"",Friedman!BR14)</f>
        <v/>
      </c>
      <c r="U17" s="161" t="str">
        <f>IF(Friedman!BV14=0,"",Friedman!BV14)</f>
        <v/>
      </c>
      <c r="V17" s="161" t="str">
        <f>IF(Friedman!BZ14=0,"",Friedman!BZ14)</f>
        <v/>
      </c>
      <c r="W17" s="161" t="str">
        <f>IF(Friedman!CD14=0,"",Friedman!CD14)</f>
        <v/>
      </c>
      <c r="X17" s="161" t="str">
        <f>IF(Friedman!CH14=0,"",Friedman!CH14)</f>
        <v/>
      </c>
      <c r="Y17" s="10"/>
      <c r="Z17" s="10"/>
      <c r="AA17" s="10"/>
      <c r="AB17" s="10"/>
      <c r="AC17" s="10"/>
      <c r="AD17" s="10"/>
      <c r="AE17" s="10"/>
      <c r="AF17" s="10"/>
      <c r="AG17" s="161" t="str">
        <f>IF(Friedman!E14=0,"",Friedman!E14)</f>
        <v/>
      </c>
      <c r="AI17" s="162">
        <f t="shared" si="2"/>
        <v>0</v>
      </c>
      <c r="AJ17" s="162">
        <f t="shared" si="2"/>
        <v>0</v>
      </c>
      <c r="AK17" s="162">
        <f t="shared" si="2"/>
        <v>0</v>
      </c>
      <c r="AL17" s="162">
        <f t="shared" si="2"/>
        <v>0</v>
      </c>
      <c r="AM17" s="162">
        <f t="shared" si="2"/>
        <v>0</v>
      </c>
    </row>
    <row r="18" spans="2:39" s="25" customFormat="1" ht="14.25" customHeight="1">
      <c r="B18" s="154" t="s">
        <v>31</v>
      </c>
      <c r="C18" s="155">
        <f>'Daily &amp; Weekly Totals'!E20</f>
        <v>43932</v>
      </c>
      <c r="D18" s="160"/>
      <c r="E18" s="161" t="str">
        <f>IF(Friedman!J15=0,"",Friedman!J15)</f>
        <v/>
      </c>
      <c r="F18" s="161" t="str">
        <f>IF(Friedman!N15=0,"",Friedman!N15)</f>
        <v/>
      </c>
      <c r="G18" s="161" t="str">
        <f>IF(Friedman!R15=0,"",Friedman!R15)</f>
        <v/>
      </c>
      <c r="H18" s="161" t="str">
        <f>IF(Friedman!V15=0,"",Friedman!V15)</f>
        <v/>
      </c>
      <c r="I18" s="161" t="str">
        <f>IF(Friedman!Z15=0,"",Friedman!Z15)</f>
        <v/>
      </c>
      <c r="J18" s="161" t="str">
        <f>IF(Friedman!AD15=0,"",Friedman!AD15)</f>
        <v/>
      </c>
      <c r="K18" s="161" t="str">
        <f>IF(Friedman!AH15=0,"",Friedman!AH15)</f>
        <v/>
      </c>
      <c r="L18" s="161" t="str">
        <f>IF(Friedman!AL15=0,"",Friedman!AL15)</f>
        <v/>
      </c>
      <c r="M18" s="161" t="str">
        <f>IF(Friedman!AP15=0,"",Friedman!AP15)</f>
        <v/>
      </c>
      <c r="N18" s="161" t="str">
        <f>IF(Friedman!AT15=0,"",Friedman!AT15)</f>
        <v/>
      </c>
      <c r="O18" s="161" t="str">
        <f>IF(Friedman!AX15=0,"",Friedman!AX15)</f>
        <v/>
      </c>
      <c r="P18" s="161" t="str">
        <f>IF(Friedman!BB15=0,"",Friedman!BB15)</f>
        <v/>
      </c>
      <c r="Q18" s="161" t="str">
        <f>IF(Friedman!BF15=0,"",Friedman!BF15)</f>
        <v/>
      </c>
      <c r="R18" s="161" t="str">
        <f>IF(Friedman!BJ15=0,"",Friedman!BJ15)</f>
        <v/>
      </c>
      <c r="S18" s="161" t="str">
        <f>IF(Friedman!BN15=0,"",Friedman!BN15)</f>
        <v/>
      </c>
      <c r="T18" s="161" t="str">
        <f>IF(Friedman!BR15=0,"",Friedman!BR15)</f>
        <v/>
      </c>
      <c r="U18" s="161" t="str">
        <f>IF(Friedman!BV15=0,"",Friedman!BV15)</f>
        <v/>
      </c>
      <c r="V18" s="161" t="str">
        <f>IF(Friedman!BZ15=0,"",Friedman!BZ15)</f>
        <v/>
      </c>
      <c r="W18" s="161" t="str">
        <f>IF(Friedman!CD15=0,"",Friedman!CD15)</f>
        <v/>
      </c>
      <c r="X18" s="161" t="str">
        <f>IF(Friedman!CH15=0,"",Friedman!CH15)</f>
        <v/>
      </c>
      <c r="Y18" s="10"/>
      <c r="Z18" s="10"/>
      <c r="AA18" s="10"/>
      <c r="AB18" s="10"/>
      <c r="AC18" s="10"/>
      <c r="AD18" s="10"/>
      <c r="AE18" s="10"/>
      <c r="AF18" s="10"/>
      <c r="AG18" s="161" t="str">
        <f>IF(Friedman!E15=0,"",Friedman!E15)</f>
        <v/>
      </c>
      <c r="AI18" s="162">
        <f t="shared" si="2"/>
        <v>0</v>
      </c>
      <c r="AJ18" s="162">
        <f t="shared" si="2"/>
        <v>0</v>
      </c>
      <c r="AK18" s="162">
        <f t="shared" si="2"/>
        <v>0</v>
      </c>
      <c r="AL18" s="162">
        <f t="shared" si="2"/>
        <v>0</v>
      </c>
      <c r="AM18" s="162">
        <f t="shared" si="2"/>
        <v>0</v>
      </c>
    </row>
    <row r="19" spans="2:39" s="25" customFormat="1" ht="14.25" customHeight="1">
      <c r="B19" s="154" t="s">
        <v>32</v>
      </c>
      <c r="C19" s="155">
        <f>'Daily &amp; Weekly Totals'!E21</f>
        <v>43933</v>
      </c>
      <c r="D19" s="160"/>
      <c r="E19" s="161" t="str">
        <f>IF(Friedman!J16=0,"",Friedman!J16)</f>
        <v/>
      </c>
      <c r="F19" s="161" t="str">
        <f>IF(Friedman!N16=0,"",Friedman!N16)</f>
        <v/>
      </c>
      <c r="G19" s="161" t="str">
        <f>IF(Friedman!R16=0,"",Friedman!R16)</f>
        <v/>
      </c>
      <c r="H19" s="161" t="str">
        <f>IF(Friedman!V16=0,"",Friedman!V16)</f>
        <v/>
      </c>
      <c r="I19" s="161" t="str">
        <f>IF(Friedman!Z16=0,"",Friedman!Z16)</f>
        <v/>
      </c>
      <c r="J19" s="161" t="str">
        <f>IF(Friedman!AD16=0,"",Friedman!AD16)</f>
        <v/>
      </c>
      <c r="K19" s="161" t="str">
        <f>IF(Friedman!AH16=0,"",Friedman!AH16)</f>
        <v/>
      </c>
      <c r="L19" s="161" t="str">
        <f>IF(Friedman!AL16=0,"",Friedman!AL16)</f>
        <v/>
      </c>
      <c r="M19" s="161" t="str">
        <f>IF(Friedman!AP16=0,"",Friedman!AP16)</f>
        <v/>
      </c>
      <c r="N19" s="161" t="str">
        <f>IF(Friedman!AT16=0,"",Friedman!AT16)</f>
        <v/>
      </c>
      <c r="O19" s="161" t="str">
        <f>IF(Friedman!AX16=0,"",Friedman!AX16)</f>
        <v/>
      </c>
      <c r="P19" s="161" t="str">
        <f>IF(Friedman!BB16=0,"",Friedman!BB16)</f>
        <v/>
      </c>
      <c r="Q19" s="161" t="str">
        <f>IF(Friedman!BF16=0,"",Friedman!BF16)</f>
        <v/>
      </c>
      <c r="R19" s="161" t="str">
        <f>IF(Friedman!BJ16=0,"",Friedman!BJ16)</f>
        <v/>
      </c>
      <c r="S19" s="161" t="str">
        <f>IF(Friedman!BN16=0,"",Friedman!BN16)</f>
        <v/>
      </c>
      <c r="T19" s="161" t="str">
        <f>IF(Friedman!BR16=0,"",Friedman!BR16)</f>
        <v/>
      </c>
      <c r="U19" s="161" t="str">
        <f>IF(Friedman!BV16=0,"",Friedman!BV16)</f>
        <v/>
      </c>
      <c r="V19" s="161" t="str">
        <f>IF(Friedman!BZ16=0,"",Friedman!BZ16)</f>
        <v/>
      </c>
      <c r="W19" s="161" t="str">
        <f>IF(Friedman!CD16=0,"",Friedman!CD16)</f>
        <v/>
      </c>
      <c r="X19" s="161" t="str">
        <f>IF(Friedman!CH16=0,"",Friedman!CH16)</f>
        <v/>
      </c>
      <c r="Y19" s="10"/>
      <c r="Z19" s="10"/>
      <c r="AA19" s="10"/>
      <c r="AB19" s="10"/>
      <c r="AC19" s="10"/>
      <c r="AD19" s="10"/>
      <c r="AE19" s="10"/>
      <c r="AF19" s="10"/>
      <c r="AG19" s="161" t="str">
        <f>IF(Friedman!E16=0,"",Friedman!E16)</f>
        <v/>
      </c>
      <c r="AI19" s="162">
        <f t="shared" si="2"/>
        <v>0</v>
      </c>
      <c r="AJ19" s="162">
        <f t="shared" si="2"/>
        <v>0</v>
      </c>
      <c r="AK19" s="162">
        <f t="shared" si="2"/>
        <v>0</v>
      </c>
      <c r="AL19" s="162">
        <f t="shared" si="2"/>
        <v>0</v>
      </c>
      <c r="AM19" s="162">
        <f t="shared" si="2"/>
        <v>0</v>
      </c>
    </row>
    <row r="20" spans="2:39" s="25" customFormat="1" ht="14.25" customHeight="1">
      <c r="B20" s="154" t="s">
        <v>26</v>
      </c>
      <c r="C20" s="155">
        <f>'Daily &amp; Weekly Totals'!E25</f>
        <v>43934</v>
      </c>
      <c r="D20" s="160"/>
      <c r="E20" s="161" t="str">
        <f>IF(Friedman!J17=0,"",Friedman!J17)</f>
        <v/>
      </c>
      <c r="F20" s="161" t="str">
        <f>IF(Friedman!N17=0,"",Friedman!N17)</f>
        <v/>
      </c>
      <c r="G20" s="161" t="str">
        <f>IF(Friedman!R17=0,"",Friedman!R17)</f>
        <v/>
      </c>
      <c r="H20" s="161" t="str">
        <f>IF(Friedman!V17=0,"",Friedman!V17)</f>
        <v/>
      </c>
      <c r="I20" s="161" t="str">
        <f>IF(Friedman!Z17=0,"",Friedman!Z17)</f>
        <v/>
      </c>
      <c r="J20" s="161" t="str">
        <f>IF(Friedman!AD17=0,"",Friedman!AD17)</f>
        <v/>
      </c>
      <c r="K20" s="161" t="str">
        <f>IF(Friedman!AH17=0,"",Friedman!AH17)</f>
        <v/>
      </c>
      <c r="L20" s="161" t="str">
        <f>IF(Friedman!AL17=0,"",Friedman!AL17)</f>
        <v/>
      </c>
      <c r="M20" s="161" t="str">
        <f>IF(Friedman!AP17=0,"",Friedman!AP17)</f>
        <v/>
      </c>
      <c r="N20" s="161" t="str">
        <f>IF(Friedman!AT17=0,"",Friedman!AT17)</f>
        <v/>
      </c>
      <c r="O20" s="161" t="str">
        <f>IF(Friedman!AX17=0,"",Friedman!AX17)</f>
        <v/>
      </c>
      <c r="P20" s="161" t="str">
        <f>IF(Friedman!BB17=0,"",Friedman!BB17)</f>
        <v/>
      </c>
      <c r="Q20" s="161" t="str">
        <f>IF(Friedman!BF17=0,"",Friedman!BF17)</f>
        <v/>
      </c>
      <c r="R20" s="161" t="str">
        <f>IF(Friedman!BJ17=0,"",Friedman!BJ17)</f>
        <v/>
      </c>
      <c r="S20" s="161" t="str">
        <f>IF(Friedman!BN17=0,"",Friedman!BN17)</f>
        <v/>
      </c>
      <c r="T20" s="161" t="str">
        <f>IF(Friedman!BR17=0,"",Friedman!BR17)</f>
        <v/>
      </c>
      <c r="U20" s="161" t="str">
        <f>IF(Friedman!BV17=0,"",Friedman!BV17)</f>
        <v/>
      </c>
      <c r="V20" s="161" t="str">
        <f>IF(Friedman!BZ17=0,"",Friedman!BZ17)</f>
        <v/>
      </c>
      <c r="W20" s="161" t="str">
        <f>IF(Friedman!CD17=0,"",Friedman!CD17)</f>
        <v/>
      </c>
      <c r="X20" s="161" t="str">
        <f>IF(Friedman!CH17=0,"",Friedman!CH17)</f>
        <v/>
      </c>
      <c r="Y20" s="10"/>
      <c r="Z20" s="10"/>
      <c r="AA20" s="10"/>
      <c r="AB20" s="10"/>
      <c r="AC20" s="10"/>
      <c r="AD20" s="10"/>
      <c r="AE20" s="10"/>
      <c r="AF20" s="10"/>
      <c r="AG20" s="161" t="str">
        <f>IF(Friedman!E17=0,"",Friedman!E17)</f>
        <v/>
      </c>
      <c r="AI20" s="162">
        <f t="shared" si="2"/>
        <v>0</v>
      </c>
      <c r="AJ20" s="162">
        <f t="shared" si="2"/>
        <v>0</v>
      </c>
      <c r="AK20" s="162">
        <f t="shared" si="2"/>
        <v>0</v>
      </c>
      <c r="AL20" s="162">
        <f t="shared" si="2"/>
        <v>0</v>
      </c>
      <c r="AM20" s="162">
        <f t="shared" si="2"/>
        <v>0</v>
      </c>
    </row>
    <row r="21" spans="2:39" s="25" customFormat="1" ht="14.25" customHeight="1">
      <c r="B21" s="154" t="s">
        <v>27</v>
      </c>
      <c r="C21" s="155">
        <f>'Daily &amp; Weekly Totals'!E26</f>
        <v>43935</v>
      </c>
      <c r="D21" s="160"/>
      <c r="E21" s="161" t="str">
        <f>IF(Friedman!J18=0,"",Friedman!J18)</f>
        <v/>
      </c>
      <c r="F21" s="161" t="str">
        <f>IF(Friedman!N18=0,"",Friedman!N18)</f>
        <v/>
      </c>
      <c r="G21" s="161" t="str">
        <f>IF(Friedman!R18=0,"",Friedman!R18)</f>
        <v/>
      </c>
      <c r="H21" s="161" t="str">
        <f>IF(Friedman!V18=0,"",Friedman!V18)</f>
        <v/>
      </c>
      <c r="I21" s="161" t="str">
        <f>IF(Friedman!Z18=0,"",Friedman!Z18)</f>
        <v/>
      </c>
      <c r="J21" s="161" t="str">
        <f>IF(Friedman!AD18=0,"",Friedman!AD18)</f>
        <v/>
      </c>
      <c r="K21" s="161" t="str">
        <f>IF(Friedman!AH18=0,"",Friedman!AH18)</f>
        <v/>
      </c>
      <c r="L21" s="161" t="str">
        <f>IF(Friedman!AL18=0,"",Friedman!AL18)</f>
        <v/>
      </c>
      <c r="M21" s="161" t="str">
        <f>IF(Friedman!AP18=0,"",Friedman!AP18)</f>
        <v/>
      </c>
      <c r="N21" s="161" t="str">
        <f>IF(Friedman!AT18=0,"",Friedman!AT18)</f>
        <v/>
      </c>
      <c r="O21" s="161" t="str">
        <f>IF(Friedman!AX18=0,"",Friedman!AX18)</f>
        <v/>
      </c>
      <c r="P21" s="161" t="str">
        <f>IF(Friedman!BB18=0,"",Friedman!BB18)</f>
        <v/>
      </c>
      <c r="Q21" s="161" t="str">
        <f>IF(Friedman!BF18=0,"",Friedman!BF18)</f>
        <v/>
      </c>
      <c r="R21" s="161" t="str">
        <f>IF(Friedman!BJ18=0,"",Friedman!BJ18)</f>
        <v/>
      </c>
      <c r="S21" s="161" t="str">
        <f>IF(Friedman!BN18=0,"",Friedman!BN18)</f>
        <v/>
      </c>
      <c r="T21" s="161" t="str">
        <f>IF(Friedman!BR18=0,"",Friedman!BR18)</f>
        <v/>
      </c>
      <c r="U21" s="161" t="str">
        <f>IF(Friedman!BV18=0,"",Friedman!BV18)</f>
        <v/>
      </c>
      <c r="V21" s="161" t="str">
        <f>IF(Friedman!BZ18=0,"",Friedman!BZ18)</f>
        <v/>
      </c>
      <c r="W21" s="161" t="str">
        <f>IF(Friedman!CD18=0,"",Friedman!CD18)</f>
        <v/>
      </c>
      <c r="X21" s="161" t="str">
        <f>IF(Friedman!CH18=0,"",Friedman!CH18)</f>
        <v/>
      </c>
      <c r="Y21" s="10"/>
      <c r="Z21" s="10"/>
      <c r="AA21" s="10"/>
      <c r="AB21" s="10"/>
      <c r="AC21" s="10"/>
      <c r="AD21" s="10"/>
      <c r="AE21" s="10"/>
      <c r="AF21" s="10"/>
      <c r="AG21" s="161" t="str">
        <f>IF(Friedman!E18=0,"",Friedman!E18)</f>
        <v/>
      </c>
      <c r="AI21" s="162">
        <f t="shared" si="2"/>
        <v>0</v>
      </c>
      <c r="AJ21" s="162">
        <f t="shared" si="2"/>
        <v>0</v>
      </c>
      <c r="AK21" s="162">
        <f t="shared" si="2"/>
        <v>0</v>
      </c>
      <c r="AL21" s="162">
        <f t="shared" si="2"/>
        <v>0</v>
      </c>
      <c r="AM21" s="162">
        <f t="shared" si="2"/>
        <v>0</v>
      </c>
    </row>
    <row r="22" spans="2:39" s="25" customFormat="1" ht="14.25" customHeight="1">
      <c r="B22" s="154" t="s">
        <v>28</v>
      </c>
      <c r="C22" s="155">
        <f>'Daily &amp; Weekly Totals'!E27</f>
        <v>43936</v>
      </c>
      <c r="D22" s="160"/>
      <c r="E22" s="161" t="str">
        <f>IF(Friedman!J19=0,"",Friedman!J19)</f>
        <v/>
      </c>
      <c r="F22" s="161" t="str">
        <f>IF(Friedman!N19=0,"",Friedman!N19)</f>
        <v/>
      </c>
      <c r="G22" s="161" t="str">
        <f>IF(Friedman!R19=0,"",Friedman!R19)</f>
        <v/>
      </c>
      <c r="H22" s="161" t="str">
        <f>IF(Friedman!V19=0,"",Friedman!V19)</f>
        <v/>
      </c>
      <c r="I22" s="161" t="str">
        <f>IF(Friedman!Z19=0,"",Friedman!Z19)</f>
        <v/>
      </c>
      <c r="J22" s="161" t="str">
        <f>IF(Friedman!AD19=0,"",Friedman!AD19)</f>
        <v/>
      </c>
      <c r="K22" s="161" t="str">
        <f>IF(Friedman!AH19=0,"",Friedman!AH19)</f>
        <v/>
      </c>
      <c r="L22" s="161" t="str">
        <f>IF(Friedman!AL19=0,"",Friedman!AL19)</f>
        <v/>
      </c>
      <c r="M22" s="161" t="str">
        <f>IF(Friedman!AP19=0,"",Friedman!AP19)</f>
        <v/>
      </c>
      <c r="N22" s="161" t="str">
        <f>IF(Friedman!AT19=0,"",Friedman!AT19)</f>
        <v/>
      </c>
      <c r="O22" s="161" t="str">
        <f>IF(Friedman!AX19=0,"",Friedman!AX19)</f>
        <v/>
      </c>
      <c r="P22" s="161" t="str">
        <f>IF(Friedman!BB19=0,"",Friedman!BB19)</f>
        <v/>
      </c>
      <c r="Q22" s="161" t="str">
        <f>IF(Friedman!BF19=0,"",Friedman!BF19)</f>
        <v/>
      </c>
      <c r="R22" s="161" t="str">
        <f>IF(Friedman!BJ19=0,"",Friedman!BJ19)</f>
        <v/>
      </c>
      <c r="S22" s="161" t="str">
        <f>IF(Friedman!BN19=0,"",Friedman!BN19)</f>
        <v/>
      </c>
      <c r="T22" s="161" t="str">
        <f>IF(Friedman!BR19=0,"",Friedman!BR19)</f>
        <v/>
      </c>
      <c r="U22" s="161" t="str">
        <f>IF(Friedman!BV19=0,"",Friedman!BV19)</f>
        <v/>
      </c>
      <c r="V22" s="161" t="str">
        <f>IF(Friedman!BZ19=0,"",Friedman!BZ19)</f>
        <v/>
      </c>
      <c r="W22" s="161" t="str">
        <f>IF(Friedman!CD19=0,"",Friedman!CD19)</f>
        <v/>
      </c>
      <c r="X22" s="161" t="str">
        <f>IF(Friedman!CH19=0,"",Friedman!CH19)</f>
        <v/>
      </c>
      <c r="Y22" s="10"/>
      <c r="Z22" s="10"/>
      <c r="AA22" s="10"/>
      <c r="AB22" s="10"/>
      <c r="AC22" s="10"/>
      <c r="AD22" s="10"/>
      <c r="AE22" s="10"/>
      <c r="AF22" s="10"/>
      <c r="AG22" s="161" t="str">
        <f>IF(Friedman!E19=0,"",Friedman!E19)</f>
        <v/>
      </c>
      <c r="AI22" s="162">
        <f t="shared" si="2"/>
        <v>0</v>
      </c>
      <c r="AJ22" s="162">
        <f t="shared" si="2"/>
        <v>0</v>
      </c>
      <c r="AK22" s="162">
        <f t="shared" si="2"/>
        <v>0</v>
      </c>
      <c r="AL22" s="162">
        <f t="shared" si="2"/>
        <v>0</v>
      </c>
      <c r="AM22" s="162">
        <f t="shared" si="2"/>
        <v>0</v>
      </c>
    </row>
    <row r="23" spans="2:39" s="25" customFormat="1" ht="14.25" customHeight="1">
      <c r="B23" s="154" t="s">
        <v>29</v>
      </c>
      <c r="C23" s="155">
        <f>'Daily &amp; Weekly Totals'!E28</f>
        <v>43937</v>
      </c>
      <c r="D23" s="160"/>
      <c r="E23" s="161" t="str">
        <f>IF(Friedman!J20=0,"",Friedman!J20)</f>
        <v/>
      </c>
      <c r="F23" s="161" t="str">
        <f>IF(Friedman!N20=0,"",Friedman!N20)</f>
        <v/>
      </c>
      <c r="G23" s="161" t="str">
        <f>IF(Friedman!R20=0,"",Friedman!R20)</f>
        <v/>
      </c>
      <c r="H23" s="161" t="str">
        <f>IF(Friedman!V20=0,"",Friedman!V20)</f>
        <v/>
      </c>
      <c r="I23" s="161" t="str">
        <f>IF(Friedman!Z20=0,"",Friedman!Z20)</f>
        <v/>
      </c>
      <c r="J23" s="161" t="str">
        <f>IF(Friedman!AD20=0,"",Friedman!AD20)</f>
        <v/>
      </c>
      <c r="K23" s="161" t="str">
        <f>IF(Friedman!AH20=0,"",Friedman!AH20)</f>
        <v/>
      </c>
      <c r="L23" s="161" t="str">
        <f>IF(Friedman!AL20=0,"",Friedman!AL20)</f>
        <v/>
      </c>
      <c r="M23" s="161" t="str">
        <f>IF(Friedman!AP20=0,"",Friedman!AP20)</f>
        <v/>
      </c>
      <c r="N23" s="161" t="str">
        <f>IF(Friedman!AT20=0,"",Friedman!AT20)</f>
        <v/>
      </c>
      <c r="O23" s="161" t="str">
        <f>IF(Friedman!AX20=0,"",Friedman!AX20)</f>
        <v/>
      </c>
      <c r="P23" s="161" t="str">
        <f>IF(Friedman!BB20=0,"",Friedman!BB20)</f>
        <v/>
      </c>
      <c r="Q23" s="161" t="str">
        <f>IF(Friedman!BF20=0,"",Friedman!BF20)</f>
        <v/>
      </c>
      <c r="R23" s="161" t="str">
        <f>IF(Friedman!BJ20=0,"",Friedman!BJ20)</f>
        <v/>
      </c>
      <c r="S23" s="161" t="str">
        <f>IF(Friedman!BN20=0,"",Friedman!BN20)</f>
        <v/>
      </c>
      <c r="T23" s="161" t="str">
        <f>IF(Friedman!BR20=0,"",Friedman!BR20)</f>
        <v/>
      </c>
      <c r="U23" s="161" t="str">
        <f>IF(Friedman!BV20=0,"",Friedman!BV20)</f>
        <v/>
      </c>
      <c r="V23" s="161" t="str">
        <f>IF(Friedman!BZ20=0,"",Friedman!BZ20)</f>
        <v/>
      </c>
      <c r="W23" s="161" t="str">
        <f>IF(Friedman!CD20=0,"",Friedman!CD20)</f>
        <v/>
      </c>
      <c r="X23" s="161" t="str">
        <f>IF(Friedman!CH20=0,"",Friedman!CH20)</f>
        <v/>
      </c>
      <c r="Y23" s="10"/>
      <c r="Z23" s="10"/>
      <c r="AA23" s="10"/>
      <c r="AB23" s="10"/>
      <c r="AC23" s="10"/>
      <c r="AD23" s="10"/>
      <c r="AE23" s="10"/>
      <c r="AF23" s="10"/>
      <c r="AG23" s="161" t="str">
        <f>IF(Friedman!E20=0,"",Friedman!E20)</f>
        <v/>
      </c>
      <c r="AI23" s="162">
        <f t="shared" si="2"/>
        <v>0</v>
      </c>
      <c r="AJ23" s="162">
        <f t="shared" si="2"/>
        <v>0</v>
      </c>
      <c r="AK23" s="162">
        <f t="shared" si="2"/>
        <v>0</v>
      </c>
      <c r="AL23" s="162">
        <f t="shared" si="2"/>
        <v>0</v>
      </c>
      <c r="AM23" s="162">
        <f t="shared" si="2"/>
        <v>0</v>
      </c>
    </row>
    <row r="24" spans="2:39" s="25" customFormat="1" ht="14.25" customHeight="1">
      <c r="B24" s="154" t="s">
        <v>30</v>
      </c>
      <c r="C24" s="155">
        <f>'Daily &amp; Weekly Totals'!E29</f>
        <v>43938</v>
      </c>
      <c r="D24" s="160"/>
      <c r="E24" s="161" t="str">
        <f>IF(Friedman!J21=0,"",Friedman!J21)</f>
        <v/>
      </c>
      <c r="F24" s="161" t="str">
        <f>IF(Friedman!N21=0,"",Friedman!N21)</f>
        <v/>
      </c>
      <c r="G24" s="161" t="str">
        <f>IF(Friedman!R21=0,"",Friedman!R21)</f>
        <v/>
      </c>
      <c r="H24" s="161" t="str">
        <f>IF(Friedman!V21=0,"",Friedman!V21)</f>
        <v/>
      </c>
      <c r="I24" s="161" t="str">
        <f>IF(Friedman!Z21=0,"",Friedman!Z21)</f>
        <v/>
      </c>
      <c r="J24" s="161" t="str">
        <f>IF(Friedman!AD21=0,"",Friedman!AD21)</f>
        <v/>
      </c>
      <c r="K24" s="161" t="str">
        <f>IF(Friedman!AH21=0,"",Friedman!AH21)</f>
        <v/>
      </c>
      <c r="L24" s="161" t="str">
        <f>IF(Friedman!AL21=0,"",Friedman!AL21)</f>
        <v/>
      </c>
      <c r="M24" s="161" t="str">
        <f>IF(Friedman!AP21=0,"",Friedman!AP21)</f>
        <v/>
      </c>
      <c r="N24" s="161" t="str">
        <f>IF(Friedman!AT21=0,"",Friedman!AT21)</f>
        <v/>
      </c>
      <c r="O24" s="161" t="str">
        <f>IF(Friedman!AX21=0,"",Friedman!AX21)</f>
        <v/>
      </c>
      <c r="P24" s="161" t="str">
        <f>IF(Friedman!BB21=0,"",Friedman!BB21)</f>
        <v/>
      </c>
      <c r="Q24" s="161" t="str">
        <f>IF(Friedman!BF21=0,"",Friedman!BF21)</f>
        <v/>
      </c>
      <c r="R24" s="161" t="str">
        <f>IF(Friedman!BJ21=0,"",Friedman!BJ21)</f>
        <v/>
      </c>
      <c r="S24" s="161" t="str">
        <f>IF(Friedman!BN21=0,"",Friedman!BN21)</f>
        <v/>
      </c>
      <c r="T24" s="161" t="str">
        <f>IF(Friedman!BR21=0,"",Friedman!BR21)</f>
        <v/>
      </c>
      <c r="U24" s="161" t="str">
        <f>IF(Friedman!BV21=0,"",Friedman!BV21)</f>
        <v/>
      </c>
      <c r="V24" s="161" t="str">
        <f>IF(Friedman!BZ21=0,"",Friedman!BZ21)</f>
        <v/>
      </c>
      <c r="W24" s="161" t="str">
        <f>IF(Friedman!CD21=0,"",Friedman!CD21)</f>
        <v/>
      </c>
      <c r="X24" s="161" t="str">
        <f>IF(Friedman!CH21=0,"",Friedman!CH21)</f>
        <v/>
      </c>
      <c r="Y24" s="10"/>
      <c r="Z24" s="10"/>
      <c r="AA24" s="10"/>
      <c r="AB24" s="10"/>
      <c r="AC24" s="10"/>
      <c r="AD24" s="10"/>
      <c r="AE24" s="10"/>
      <c r="AF24" s="10"/>
      <c r="AG24" s="161" t="str">
        <f>IF(Friedman!E21=0,"",Friedman!E21)</f>
        <v/>
      </c>
      <c r="AI24" s="162">
        <f t="shared" si="2"/>
        <v>0</v>
      </c>
      <c r="AJ24" s="162">
        <f t="shared" si="2"/>
        <v>0</v>
      </c>
      <c r="AK24" s="162">
        <f t="shared" si="2"/>
        <v>0</v>
      </c>
      <c r="AL24" s="162">
        <f t="shared" si="2"/>
        <v>0</v>
      </c>
      <c r="AM24" s="162">
        <f t="shared" si="2"/>
        <v>0</v>
      </c>
    </row>
    <row r="25" spans="2:39" s="25" customFormat="1" ht="14.25" customHeight="1">
      <c r="B25" s="154" t="s">
        <v>31</v>
      </c>
      <c r="C25" s="155">
        <f>'Daily &amp; Weekly Totals'!E30</f>
        <v>43939</v>
      </c>
      <c r="D25" s="160"/>
      <c r="E25" s="161" t="str">
        <f>IF(Friedman!J22=0,"",Friedman!J22)</f>
        <v/>
      </c>
      <c r="F25" s="161" t="str">
        <f>IF(Friedman!N22=0,"",Friedman!N22)</f>
        <v/>
      </c>
      <c r="G25" s="161" t="str">
        <f>IF(Friedman!R22=0,"",Friedman!R22)</f>
        <v/>
      </c>
      <c r="H25" s="161" t="str">
        <f>IF(Friedman!V22=0,"",Friedman!V22)</f>
        <v/>
      </c>
      <c r="I25" s="161" t="str">
        <f>IF(Friedman!Z22=0,"",Friedman!Z22)</f>
        <v/>
      </c>
      <c r="J25" s="161" t="str">
        <f>IF(Friedman!AD22=0,"",Friedman!AD22)</f>
        <v/>
      </c>
      <c r="K25" s="161" t="str">
        <f>IF(Friedman!AH22=0,"",Friedman!AH22)</f>
        <v/>
      </c>
      <c r="L25" s="161" t="str">
        <f>IF(Friedman!AL22=0,"",Friedman!AL22)</f>
        <v/>
      </c>
      <c r="M25" s="161" t="str">
        <f>IF(Friedman!AP22=0,"",Friedman!AP22)</f>
        <v/>
      </c>
      <c r="N25" s="161" t="str">
        <f>IF(Friedman!AT22=0,"",Friedman!AT22)</f>
        <v/>
      </c>
      <c r="O25" s="161" t="str">
        <f>IF(Friedman!AX22=0,"",Friedman!AX22)</f>
        <v/>
      </c>
      <c r="P25" s="161" t="str">
        <f>IF(Friedman!BB22=0,"",Friedman!BB22)</f>
        <v/>
      </c>
      <c r="Q25" s="161" t="str">
        <f>IF(Friedman!BF22=0,"",Friedman!BF22)</f>
        <v/>
      </c>
      <c r="R25" s="161" t="str">
        <f>IF(Friedman!BJ22=0,"",Friedman!BJ22)</f>
        <v/>
      </c>
      <c r="S25" s="161" t="str">
        <f>IF(Friedman!BN22=0,"",Friedman!BN22)</f>
        <v/>
      </c>
      <c r="T25" s="161" t="str">
        <f>IF(Friedman!BR22=0,"",Friedman!BR22)</f>
        <v/>
      </c>
      <c r="U25" s="161" t="str">
        <f>IF(Friedman!BV22=0,"",Friedman!BV22)</f>
        <v/>
      </c>
      <c r="V25" s="161" t="str">
        <f>IF(Friedman!BZ22=0,"",Friedman!BZ22)</f>
        <v/>
      </c>
      <c r="W25" s="161" t="str">
        <f>IF(Friedman!CD22=0,"",Friedman!CD22)</f>
        <v/>
      </c>
      <c r="X25" s="161" t="str">
        <f>IF(Friedman!CH22=0,"",Friedman!CH22)</f>
        <v/>
      </c>
      <c r="Y25" s="10"/>
      <c r="Z25" s="10"/>
      <c r="AA25" s="10"/>
      <c r="AB25" s="10"/>
      <c r="AC25" s="10"/>
      <c r="AD25" s="10"/>
      <c r="AE25" s="10"/>
      <c r="AF25" s="10"/>
      <c r="AG25" s="161" t="str">
        <f>IF(Friedman!E22=0,"",Friedman!E22)</f>
        <v/>
      </c>
      <c r="AI25" s="162">
        <f t="shared" si="2"/>
        <v>0</v>
      </c>
      <c r="AJ25" s="162">
        <f t="shared" si="2"/>
        <v>0</v>
      </c>
      <c r="AK25" s="162">
        <f t="shared" si="2"/>
        <v>0</v>
      </c>
      <c r="AL25" s="162">
        <f t="shared" si="2"/>
        <v>0</v>
      </c>
      <c r="AM25" s="162">
        <f t="shared" si="2"/>
        <v>0</v>
      </c>
    </row>
    <row r="26" spans="2:39" s="25" customFormat="1" ht="14.25" customHeight="1">
      <c r="B26" s="154" t="s">
        <v>32</v>
      </c>
      <c r="C26" s="155">
        <f>'Daily &amp; Weekly Totals'!E31</f>
        <v>43940</v>
      </c>
      <c r="D26" s="160"/>
      <c r="E26" s="161" t="str">
        <f>IF(Friedman!J23=0,"",Friedman!J23)</f>
        <v/>
      </c>
      <c r="F26" s="161" t="str">
        <f>IF(Friedman!N23=0,"",Friedman!N23)</f>
        <v/>
      </c>
      <c r="G26" s="161" t="str">
        <f>IF(Friedman!R23=0,"",Friedman!R23)</f>
        <v/>
      </c>
      <c r="H26" s="161" t="str">
        <f>IF(Friedman!V23=0,"",Friedman!V23)</f>
        <v/>
      </c>
      <c r="I26" s="161" t="str">
        <f>IF(Friedman!Z23=0,"",Friedman!Z23)</f>
        <v/>
      </c>
      <c r="J26" s="161" t="str">
        <f>IF(Friedman!AD23=0,"",Friedman!AD23)</f>
        <v/>
      </c>
      <c r="K26" s="161" t="str">
        <f>IF(Friedman!AH23=0,"",Friedman!AH23)</f>
        <v/>
      </c>
      <c r="L26" s="161" t="str">
        <f>IF(Friedman!AL23=0,"",Friedman!AL23)</f>
        <v/>
      </c>
      <c r="M26" s="161" t="str">
        <f>IF(Friedman!AP23=0,"",Friedman!AP23)</f>
        <v/>
      </c>
      <c r="N26" s="161" t="str">
        <f>IF(Friedman!AT23=0,"",Friedman!AT23)</f>
        <v/>
      </c>
      <c r="O26" s="161" t="str">
        <f>IF(Friedman!AX23=0,"",Friedman!AX23)</f>
        <v/>
      </c>
      <c r="P26" s="161" t="str">
        <f>IF(Friedman!BB23=0,"",Friedman!BB23)</f>
        <v/>
      </c>
      <c r="Q26" s="161" t="str">
        <f>IF(Friedman!BF23=0,"",Friedman!BF23)</f>
        <v/>
      </c>
      <c r="R26" s="161" t="str">
        <f>IF(Friedman!BJ23=0,"",Friedman!BJ23)</f>
        <v/>
      </c>
      <c r="S26" s="161" t="str">
        <f>IF(Friedman!BN23=0,"",Friedman!BN23)</f>
        <v/>
      </c>
      <c r="T26" s="161" t="str">
        <f>IF(Friedman!BR23=0,"",Friedman!BR23)</f>
        <v/>
      </c>
      <c r="U26" s="161" t="str">
        <f>IF(Friedman!BV23=0,"",Friedman!BV23)</f>
        <v/>
      </c>
      <c r="V26" s="161" t="str">
        <f>IF(Friedman!BZ23=0,"",Friedman!BZ23)</f>
        <v/>
      </c>
      <c r="W26" s="161" t="str">
        <f>IF(Friedman!CD23=0,"",Friedman!CD23)</f>
        <v/>
      </c>
      <c r="X26" s="161" t="str">
        <f>IF(Friedman!CH23=0,"",Friedman!CH23)</f>
        <v/>
      </c>
      <c r="Y26" s="10"/>
      <c r="Z26" s="10"/>
      <c r="AA26" s="10"/>
      <c r="AB26" s="10"/>
      <c r="AC26" s="10"/>
      <c r="AD26" s="10"/>
      <c r="AE26" s="10"/>
      <c r="AF26" s="10"/>
      <c r="AG26" s="161" t="str">
        <f>IF(Friedman!E23=0,"",Friedman!E23)</f>
        <v/>
      </c>
      <c r="AI26" s="162">
        <f t="shared" ref="AI26:AM35" si="3">SUMIF($E$3:$AG$3,AI$3,$E26:$AG26)</f>
        <v>0</v>
      </c>
      <c r="AJ26" s="162">
        <f t="shared" si="3"/>
        <v>0</v>
      </c>
      <c r="AK26" s="162">
        <f t="shared" si="3"/>
        <v>0</v>
      </c>
      <c r="AL26" s="162">
        <f t="shared" si="3"/>
        <v>0</v>
      </c>
      <c r="AM26" s="162">
        <f t="shared" si="3"/>
        <v>0</v>
      </c>
    </row>
    <row r="27" spans="2:39" s="25" customFormat="1" ht="14.25" customHeight="1">
      <c r="B27" s="154" t="s">
        <v>26</v>
      </c>
      <c r="C27" s="155">
        <f>'Daily &amp; Weekly Totals'!E35</f>
        <v>43941</v>
      </c>
      <c r="D27" s="160"/>
      <c r="E27" s="161" t="str">
        <f>IF(Friedman!J24=0,"",Friedman!J24)</f>
        <v/>
      </c>
      <c r="F27" s="161" t="str">
        <f>IF(Friedman!N24=0,"",Friedman!N24)</f>
        <v/>
      </c>
      <c r="G27" s="161" t="str">
        <f>IF(Friedman!R24=0,"",Friedman!R24)</f>
        <v/>
      </c>
      <c r="H27" s="161" t="str">
        <f>IF(Friedman!V24=0,"",Friedman!V24)</f>
        <v/>
      </c>
      <c r="I27" s="161" t="str">
        <f>IF(Friedman!Z24=0,"",Friedman!Z24)</f>
        <v/>
      </c>
      <c r="J27" s="161" t="str">
        <f>IF(Friedman!AD24=0,"",Friedman!AD24)</f>
        <v/>
      </c>
      <c r="K27" s="161" t="str">
        <f>IF(Friedman!AH24=0,"",Friedman!AH24)</f>
        <v/>
      </c>
      <c r="L27" s="161" t="str">
        <f>IF(Friedman!AL24=0,"",Friedman!AL24)</f>
        <v/>
      </c>
      <c r="M27" s="161" t="str">
        <f>IF(Friedman!AP24=0,"",Friedman!AP24)</f>
        <v/>
      </c>
      <c r="N27" s="161" t="str">
        <f>IF(Friedman!AT24=0,"",Friedman!AT24)</f>
        <v/>
      </c>
      <c r="O27" s="161" t="str">
        <f>IF(Friedman!AX24=0,"",Friedman!AX24)</f>
        <v/>
      </c>
      <c r="P27" s="161" t="str">
        <f>IF(Friedman!BB24=0,"",Friedman!BB24)</f>
        <v/>
      </c>
      <c r="Q27" s="161" t="str">
        <f>IF(Friedman!BF24=0,"",Friedman!BF24)</f>
        <v/>
      </c>
      <c r="R27" s="161" t="str">
        <f>IF(Friedman!BJ24=0,"",Friedman!BJ24)</f>
        <v/>
      </c>
      <c r="S27" s="161" t="str">
        <f>IF(Friedman!BN24=0,"",Friedman!BN24)</f>
        <v/>
      </c>
      <c r="T27" s="161" t="str">
        <f>IF(Friedman!BR24=0,"",Friedman!BR24)</f>
        <v/>
      </c>
      <c r="U27" s="161" t="str">
        <f>IF(Friedman!BV24=0,"",Friedman!BV24)</f>
        <v/>
      </c>
      <c r="V27" s="161" t="str">
        <f>IF(Friedman!BZ24=0,"",Friedman!BZ24)</f>
        <v/>
      </c>
      <c r="W27" s="161" t="str">
        <f>IF(Friedman!CD24=0,"",Friedman!CD24)</f>
        <v/>
      </c>
      <c r="X27" s="161" t="str">
        <f>IF(Friedman!CH24=0,"",Friedman!CH24)</f>
        <v/>
      </c>
      <c r="Y27" s="10"/>
      <c r="Z27" s="10"/>
      <c r="AA27" s="10"/>
      <c r="AB27" s="10"/>
      <c r="AC27" s="10"/>
      <c r="AD27" s="10"/>
      <c r="AE27" s="10"/>
      <c r="AF27" s="10"/>
      <c r="AG27" s="161" t="str">
        <f>IF(Friedman!E24=0,"",Friedman!E24)</f>
        <v/>
      </c>
      <c r="AI27" s="162">
        <f t="shared" si="3"/>
        <v>0</v>
      </c>
      <c r="AJ27" s="162">
        <f t="shared" si="3"/>
        <v>0</v>
      </c>
      <c r="AK27" s="162">
        <f t="shared" si="3"/>
        <v>0</v>
      </c>
      <c r="AL27" s="162">
        <f t="shared" si="3"/>
        <v>0</v>
      </c>
      <c r="AM27" s="162">
        <f t="shared" si="3"/>
        <v>0</v>
      </c>
    </row>
    <row r="28" spans="2:39" s="25" customFormat="1" ht="14.25" customHeight="1">
      <c r="B28" s="154" t="s">
        <v>27</v>
      </c>
      <c r="C28" s="155">
        <f>'Daily &amp; Weekly Totals'!E36</f>
        <v>43942</v>
      </c>
      <c r="D28" s="160"/>
      <c r="E28" s="161" t="str">
        <f>IF(Friedman!J25=0,"",Friedman!J25)</f>
        <v/>
      </c>
      <c r="F28" s="161" t="str">
        <f>IF(Friedman!N25=0,"",Friedman!N25)</f>
        <v/>
      </c>
      <c r="G28" s="161" t="str">
        <f>IF(Friedman!R25=0,"",Friedman!R25)</f>
        <v/>
      </c>
      <c r="H28" s="161" t="str">
        <f>IF(Friedman!V25=0,"",Friedman!V25)</f>
        <v/>
      </c>
      <c r="I28" s="161" t="str">
        <f>IF(Friedman!Z25=0,"",Friedman!Z25)</f>
        <v/>
      </c>
      <c r="J28" s="161" t="str">
        <f>IF(Friedman!AD25=0,"",Friedman!AD25)</f>
        <v/>
      </c>
      <c r="K28" s="161" t="str">
        <f>IF(Friedman!AH25=0,"",Friedman!AH25)</f>
        <v/>
      </c>
      <c r="L28" s="161" t="str">
        <f>IF(Friedman!AL25=0,"",Friedman!AL25)</f>
        <v/>
      </c>
      <c r="M28" s="161" t="str">
        <f>IF(Friedman!AP25=0,"",Friedman!AP25)</f>
        <v/>
      </c>
      <c r="N28" s="161" t="str">
        <f>IF(Friedman!AT25=0,"",Friedman!AT25)</f>
        <v/>
      </c>
      <c r="O28" s="161" t="str">
        <f>IF(Friedman!AX25=0,"",Friedman!AX25)</f>
        <v/>
      </c>
      <c r="P28" s="161" t="str">
        <f>IF(Friedman!BB25=0,"",Friedman!BB25)</f>
        <v/>
      </c>
      <c r="Q28" s="161" t="str">
        <f>IF(Friedman!BF25=0,"",Friedman!BF25)</f>
        <v/>
      </c>
      <c r="R28" s="161" t="str">
        <f>IF(Friedman!BJ25=0,"",Friedman!BJ25)</f>
        <v/>
      </c>
      <c r="S28" s="161" t="str">
        <f>IF(Friedman!BN25=0,"",Friedman!BN25)</f>
        <v/>
      </c>
      <c r="T28" s="161" t="str">
        <f>IF(Friedman!BR25=0,"",Friedman!BR25)</f>
        <v/>
      </c>
      <c r="U28" s="161" t="str">
        <f>IF(Friedman!BV25=0,"",Friedman!BV25)</f>
        <v/>
      </c>
      <c r="V28" s="161" t="str">
        <f>IF(Friedman!BZ25=0,"",Friedman!BZ25)</f>
        <v/>
      </c>
      <c r="W28" s="161" t="str">
        <f>IF(Friedman!CD25=0,"",Friedman!CD25)</f>
        <v/>
      </c>
      <c r="X28" s="161" t="str">
        <f>IF(Friedman!CH25=0,"",Friedman!CH25)</f>
        <v/>
      </c>
      <c r="Y28" s="10"/>
      <c r="Z28" s="10"/>
      <c r="AA28" s="10"/>
      <c r="AB28" s="10"/>
      <c r="AC28" s="10"/>
      <c r="AD28" s="10"/>
      <c r="AE28" s="10"/>
      <c r="AF28" s="10"/>
      <c r="AG28" s="161" t="str">
        <f>IF(Friedman!E25=0,"",Friedman!E25)</f>
        <v/>
      </c>
      <c r="AI28" s="162">
        <f t="shared" si="3"/>
        <v>0</v>
      </c>
      <c r="AJ28" s="162">
        <f t="shared" si="3"/>
        <v>0</v>
      </c>
      <c r="AK28" s="162">
        <f t="shared" si="3"/>
        <v>0</v>
      </c>
      <c r="AL28" s="162">
        <f t="shared" si="3"/>
        <v>0</v>
      </c>
      <c r="AM28" s="162">
        <f t="shared" si="3"/>
        <v>0</v>
      </c>
    </row>
    <row r="29" spans="2:39" s="25" customFormat="1" ht="14.25" customHeight="1">
      <c r="B29" s="154" t="s">
        <v>28</v>
      </c>
      <c r="C29" s="155">
        <f>'Daily &amp; Weekly Totals'!E37</f>
        <v>43943</v>
      </c>
      <c r="D29" s="160"/>
      <c r="E29" s="161" t="str">
        <f>IF(Friedman!J26=0,"",Friedman!J26)</f>
        <v/>
      </c>
      <c r="F29" s="161" t="str">
        <f>IF(Friedman!N26=0,"",Friedman!N26)</f>
        <v/>
      </c>
      <c r="G29" s="161" t="str">
        <f>IF(Friedman!R26=0,"",Friedman!R26)</f>
        <v/>
      </c>
      <c r="H29" s="161" t="str">
        <f>IF(Friedman!V26=0,"",Friedman!V26)</f>
        <v/>
      </c>
      <c r="I29" s="161" t="str">
        <f>IF(Friedman!Z26=0,"",Friedman!Z26)</f>
        <v/>
      </c>
      <c r="J29" s="161" t="str">
        <f>IF(Friedman!AD26=0,"",Friedman!AD26)</f>
        <v/>
      </c>
      <c r="K29" s="161" t="str">
        <f>IF(Friedman!AH26=0,"",Friedman!AH26)</f>
        <v/>
      </c>
      <c r="L29" s="161" t="str">
        <f>IF(Friedman!AL26=0,"",Friedman!AL26)</f>
        <v/>
      </c>
      <c r="M29" s="161" t="str">
        <f>IF(Friedman!AP26=0,"",Friedman!AP26)</f>
        <v/>
      </c>
      <c r="N29" s="161" t="str">
        <f>IF(Friedman!AT26=0,"",Friedman!AT26)</f>
        <v/>
      </c>
      <c r="O29" s="161" t="str">
        <f>IF(Friedman!AX26=0,"",Friedman!AX26)</f>
        <v/>
      </c>
      <c r="P29" s="161" t="str">
        <f>IF(Friedman!BB26=0,"",Friedman!BB26)</f>
        <v/>
      </c>
      <c r="Q29" s="161" t="str">
        <f>IF(Friedman!BF26=0,"",Friedman!BF26)</f>
        <v/>
      </c>
      <c r="R29" s="161" t="str">
        <f>IF(Friedman!BJ26=0,"",Friedman!BJ26)</f>
        <v/>
      </c>
      <c r="S29" s="161" t="str">
        <f>IF(Friedman!BN26=0,"",Friedman!BN26)</f>
        <v/>
      </c>
      <c r="T29" s="161" t="str">
        <f>IF(Friedman!BR26=0,"",Friedman!BR26)</f>
        <v/>
      </c>
      <c r="U29" s="161" t="str">
        <f>IF(Friedman!BV26=0,"",Friedman!BV26)</f>
        <v/>
      </c>
      <c r="V29" s="161" t="str">
        <f>IF(Friedman!BZ26=0,"",Friedman!BZ26)</f>
        <v/>
      </c>
      <c r="W29" s="161" t="str">
        <f>IF(Friedman!CD26=0,"",Friedman!CD26)</f>
        <v/>
      </c>
      <c r="X29" s="161" t="str">
        <f>IF(Friedman!CH26=0,"",Friedman!CH26)</f>
        <v/>
      </c>
      <c r="Y29" s="10"/>
      <c r="Z29" s="10"/>
      <c r="AA29" s="10"/>
      <c r="AB29" s="10"/>
      <c r="AC29" s="10"/>
      <c r="AD29" s="10"/>
      <c r="AE29" s="10"/>
      <c r="AF29" s="10"/>
      <c r="AG29" s="161" t="str">
        <f>IF(Friedman!E26=0,"",Friedman!E26)</f>
        <v/>
      </c>
      <c r="AI29" s="162">
        <f t="shared" si="3"/>
        <v>0</v>
      </c>
      <c r="AJ29" s="162">
        <f t="shared" si="3"/>
        <v>0</v>
      </c>
      <c r="AK29" s="162">
        <f t="shared" si="3"/>
        <v>0</v>
      </c>
      <c r="AL29" s="162">
        <f t="shared" si="3"/>
        <v>0</v>
      </c>
      <c r="AM29" s="162">
        <f t="shared" si="3"/>
        <v>0</v>
      </c>
    </row>
    <row r="30" spans="2:39" s="25" customFormat="1" ht="14.25" customHeight="1">
      <c r="B30" s="154" t="s">
        <v>29</v>
      </c>
      <c r="C30" s="155">
        <f>'Daily &amp; Weekly Totals'!E38</f>
        <v>43944</v>
      </c>
      <c r="D30" s="160"/>
      <c r="E30" s="161" t="str">
        <f>IF(Friedman!J27=0,"",Friedman!J27)</f>
        <v/>
      </c>
      <c r="F30" s="161" t="str">
        <f>IF(Friedman!N27=0,"",Friedman!N27)</f>
        <v/>
      </c>
      <c r="G30" s="161" t="str">
        <f>IF(Friedman!R27=0,"",Friedman!R27)</f>
        <v/>
      </c>
      <c r="H30" s="161" t="str">
        <f>IF(Friedman!V27=0,"",Friedman!V27)</f>
        <v/>
      </c>
      <c r="I30" s="161" t="str">
        <f>IF(Friedman!Z27=0,"",Friedman!Z27)</f>
        <v/>
      </c>
      <c r="J30" s="161" t="str">
        <f>IF(Friedman!AD27=0,"",Friedman!AD27)</f>
        <v/>
      </c>
      <c r="K30" s="161" t="str">
        <f>IF(Friedman!AH27=0,"",Friedman!AH27)</f>
        <v/>
      </c>
      <c r="L30" s="161" t="str">
        <f>IF(Friedman!AL27=0,"",Friedman!AL27)</f>
        <v/>
      </c>
      <c r="M30" s="161" t="str">
        <f>IF(Friedman!AP27=0,"",Friedman!AP27)</f>
        <v/>
      </c>
      <c r="N30" s="161" t="str">
        <f>IF(Friedman!AT27=0,"",Friedman!AT27)</f>
        <v/>
      </c>
      <c r="O30" s="161" t="str">
        <f>IF(Friedman!AX27=0,"",Friedman!AX27)</f>
        <v/>
      </c>
      <c r="P30" s="161" t="str">
        <f>IF(Friedman!BB27=0,"",Friedman!BB27)</f>
        <v/>
      </c>
      <c r="Q30" s="161" t="str">
        <f>IF(Friedman!BF27=0,"",Friedman!BF27)</f>
        <v/>
      </c>
      <c r="R30" s="161" t="str">
        <f>IF(Friedman!BJ27=0,"",Friedman!BJ27)</f>
        <v/>
      </c>
      <c r="S30" s="161" t="str">
        <f>IF(Friedman!BN27=0,"",Friedman!BN27)</f>
        <v/>
      </c>
      <c r="T30" s="161" t="str">
        <f>IF(Friedman!BR27=0,"",Friedman!BR27)</f>
        <v/>
      </c>
      <c r="U30" s="161" t="str">
        <f>IF(Friedman!BV27=0,"",Friedman!BV27)</f>
        <v/>
      </c>
      <c r="V30" s="161" t="str">
        <f>IF(Friedman!BZ27=0,"",Friedman!BZ27)</f>
        <v/>
      </c>
      <c r="W30" s="161" t="str">
        <f>IF(Friedman!CD27=0,"",Friedman!CD27)</f>
        <v/>
      </c>
      <c r="X30" s="161" t="str">
        <f>IF(Friedman!CH27=0,"",Friedman!CH27)</f>
        <v/>
      </c>
      <c r="Y30" s="10"/>
      <c r="Z30" s="10"/>
      <c r="AA30" s="10"/>
      <c r="AB30" s="10"/>
      <c r="AC30" s="10"/>
      <c r="AD30" s="10"/>
      <c r="AE30" s="10"/>
      <c r="AF30" s="10"/>
      <c r="AG30" s="161" t="str">
        <f>IF(Friedman!E27=0,"",Friedman!E27)</f>
        <v/>
      </c>
      <c r="AI30" s="162">
        <f t="shared" si="3"/>
        <v>0</v>
      </c>
      <c r="AJ30" s="162">
        <f t="shared" si="3"/>
        <v>0</v>
      </c>
      <c r="AK30" s="162">
        <f t="shared" si="3"/>
        <v>0</v>
      </c>
      <c r="AL30" s="162">
        <f t="shared" si="3"/>
        <v>0</v>
      </c>
      <c r="AM30" s="162">
        <f t="shared" si="3"/>
        <v>0</v>
      </c>
    </row>
    <row r="31" spans="2:39" s="25" customFormat="1" ht="14.25" customHeight="1">
      <c r="B31" s="154" t="s">
        <v>30</v>
      </c>
      <c r="C31" s="155">
        <f>'Daily &amp; Weekly Totals'!E39</f>
        <v>43945</v>
      </c>
      <c r="D31" s="160"/>
      <c r="E31" s="161" t="str">
        <f>IF(Friedman!J28=0,"",Friedman!J28)</f>
        <v/>
      </c>
      <c r="F31" s="161" t="str">
        <f>IF(Friedman!N28=0,"",Friedman!N28)</f>
        <v/>
      </c>
      <c r="G31" s="161" t="str">
        <f>IF(Friedman!R28=0,"",Friedman!R28)</f>
        <v/>
      </c>
      <c r="H31" s="161" t="str">
        <f>IF(Friedman!V28=0,"",Friedman!V28)</f>
        <v/>
      </c>
      <c r="I31" s="161" t="str">
        <f>IF(Friedman!Z28=0,"",Friedman!Z28)</f>
        <v/>
      </c>
      <c r="J31" s="161" t="str">
        <f>IF(Friedman!AD28=0,"",Friedman!AD28)</f>
        <v/>
      </c>
      <c r="K31" s="161" t="str">
        <f>IF(Friedman!AH28=0,"",Friedman!AH28)</f>
        <v/>
      </c>
      <c r="L31" s="161" t="str">
        <f>IF(Friedman!AL28=0,"",Friedman!AL28)</f>
        <v/>
      </c>
      <c r="M31" s="161" t="str">
        <f>IF(Friedman!AP28=0,"",Friedman!AP28)</f>
        <v/>
      </c>
      <c r="N31" s="161" t="str">
        <f>IF(Friedman!AT28=0,"",Friedman!AT28)</f>
        <v/>
      </c>
      <c r="O31" s="161" t="str">
        <f>IF(Friedman!AX28=0,"",Friedman!AX28)</f>
        <v/>
      </c>
      <c r="P31" s="161" t="str">
        <f>IF(Friedman!BB28=0,"",Friedman!BB28)</f>
        <v/>
      </c>
      <c r="Q31" s="161" t="str">
        <f>IF(Friedman!BF28=0,"",Friedman!BF28)</f>
        <v/>
      </c>
      <c r="R31" s="161" t="str">
        <f>IF(Friedman!BJ28=0,"",Friedman!BJ28)</f>
        <v/>
      </c>
      <c r="S31" s="161" t="str">
        <f>IF(Friedman!BN28=0,"",Friedman!BN28)</f>
        <v/>
      </c>
      <c r="T31" s="161" t="str">
        <f>IF(Friedman!BR28=0,"",Friedman!BR28)</f>
        <v/>
      </c>
      <c r="U31" s="161" t="str">
        <f>IF(Friedman!BV28=0,"",Friedman!BV28)</f>
        <v/>
      </c>
      <c r="V31" s="161" t="str">
        <f>IF(Friedman!BZ28=0,"",Friedman!BZ28)</f>
        <v/>
      </c>
      <c r="W31" s="161" t="str">
        <f>IF(Friedman!CD28=0,"",Friedman!CD28)</f>
        <v/>
      </c>
      <c r="X31" s="161" t="str">
        <f>IF(Friedman!CH28=0,"",Friedman!CH28)</f>
        <v/>
      </c>
      <c r="Y31" s="10"/>
      <c r="Z31" s="10"/>
      <c r="AA31" s="10"/>
      <c r="AB31" s="10"/>
      <c r="AC31" s="10"/>
      <c r="AD31" s="10"/>
      <c r="AE31" s="10"/>
      <c r="AF31" s="10"/>
      <c r="AG31" s="161" t="str">
        <f>IF(Friedman!E28=0,"",Friedman!E28)</f>
        <v/>
      </c>
      <c r="AI31" s="162">
        <f t="shared" si="3"/>
        <v>0</v>
      </c>
      <c r="AJ31" s="162">
        <f t="shared" si="3"/>
        <v>0</v>
      </c>
      <c r="AK31" s="162">
        <f t="shared" si="3"/>
        <v>0</v>
      </c>
      <c r="AL31" s="162">
        <f t="shared" si="3"/>
        <v>0</v>
      </c>
      <c r="AM31" s="162">
        <f t="shared" si="3"/>
        <v>0</v>
      </c>
    </row>
    <row r="32" spans="2:39" s="25" customFormat="1" ht="14.25" customHeight="1">
      <c r="B32" s="154" t="s">
        <v>31</v>
      </c>
      <c r="C32" s="155">
        <f>'Daily &amp; Weekly Totals'!E40</f>
        <v>43946</v>
      </c>
      <c r="D32" s="160"/>
      <c r="E32" s="161" t="str">
        <f>IF(Friedman!J29=0,"",Friedman!J29)</f>
        <v/>
      </c>
      <c r="F32" s="161" t="str">
        <f>IF(Friedman!N29=0,"",Friedman!N29)</f>
        <v/>
      </c>
      <c r="G32" s="161" t="str">
        <f>IF(Friedman!R29=0,"",Friedman!R29)</f>
        <v/>
      </c>
      <c r="H32" s="161" t="str">
        <f>IF(Friedman!V29=0,"",Friedman!V29)</f>
        <v/>
      </c>
      <c r="I32" s="161" t="str">
        <f>IF(Friedman!Z29=0,"",Friedman!Z29)</f>
        <v/>
      </c>
      <c r="J32" s="161" t="str">
        <f>IF(Friedman!AD29=0,"",Friedman!AD29)</f>
        <v/>
      </c>
      <c r="K32" s="161" t="str">
        <f>IF(Friedman!AH29=0,"",Friedman!AH29)</f>
        <v/>
      </c>
      <c r="L32" s="161" t="str">
        <f>IF(Friedman!AL29=0,"",Friedman!AL29)</f>
        <v/>
      </c>
      <c r="M32" s="161" t="str">
        <f>IF(Friedman!AP29=0,"",Friedman!AP29)</f>
        <v/>
      </c>
      <c r="N32" s="161" t="str">
        <f>IF(Friedman!AT29=0,"",Friedman!AT29)</f>
        <v/>
      </c>
      <c r="O32" s="161" t="str">
        <f>IF(Friedman!AX29=0,"",Friedman!AX29)</f>
        <v/>
      </c>
      <c r="P32" s="161" t="str">
        <f>IF(Friedman!BB29=0,"",Friedman!BB29)</f>
        <v/>
      </c>
      <c r="Q32" s="161" t="str">
        <f>IF(Friedman!BF29=0,"",Friedman!BF29)</f>
        <v/>
      </c>
      <c r="R32" s="161" t="str">
        <f>IF(Friedman!BJ29=0,"",Friedman!BJ29)</f>
        <v/>
      </c>
      <c r="S32" s="161" t="str">
        <f>IF(Friedman!BN29=0,"",Friedman!BN29)</f>
        <v/>
      </c>
      <c r="T32" s="161" t="str">
        <f>IF(Friedman!BR29=0,"",Friedman!BR29)</f>
        <v/>
      </c>
      <c r="U32" s="161" t="str">
        <f>IF(Friedman!BV29=0,"",Friedman!BV29)</f>
        <v/>
      </c>
      <c r="V32" s="161" t="str">
        <f>IF(Friedman!BZ29=0,"",Friedman!BZ29)</f>
        <v/>
      </c>
      <c r="W32" s="161" t="str">
        <f>IF(Friedman!CD29=0,"",Friedman!CD29)</f>
        <v/>
      </c>
      <c r="X32" s="161" t="str">
        <f>IF(Friedman!CH29=0,"",Friedman!CH29)</f>
        <v/>
      </c>
      <c r="Y32" s="10"/>
      <c r="Z32" s="10"/>
      <c r="AA32" s="10"/>
      <c r="AB32" s="10"/>
      <c r="AC32" s="10"/>
      <c r="AD32" s="10"/>
      <c r="AE32" s="10"/>
      <c r="AF32" s="10"/>
      <c r="AG32" s="161" t="str">
        <f>IF(Friedman!E29=0,"",Friedman!E29)</f>
        <v/>
      </c>
      <c r="AI32" s="162">
        <f t="shared" si="3"/>
        <v>0</v>
      </c>
      <c r="AJ32" s="162">
        <f t="shared" si="3"/>
        <v>0</v>
      </c>
      <c r="AK32" s="162">
        <f t="shared" si="3"/>
        <v>0</v>
      </c>
      <c r="AL32" s="162">
        <f t="shared" si="3"/>
        <v>0</v>
      </c>
      <c r="AM32" s="162">
        <f t="shared" si="3"/>
        <v>0</v>
      </c>
    </row>
    <row r="33" spans="2:39" s="25" customFormat="1" ht="14.25" customHeight="1">
      <c r="B33" s="154" t="s">
        <v>32</v>
      </c>
      <c r="C33" s="155">
        <f>'Daily &amp; Weekly Totals'!E41</f>
        <v>43947</v>
      </c>
      <c r="D33" s="160"/>
      <c r="E33" s="161" t="str">
        <f>IF(Friedman!J30=0,"",Friedman!J30)</f>
        <v/>
      </c>
      <c r="F33" s="161" t="str">
        <f>IF(Friedman!N30=0,"",Friedman!N30)</f>
        <v/>
      </c>
      <c r="G33" s="161" t="str">
        <f>IF(Friedman!R30=0,"",Friedman!R30)</f>
        <v/>
      </c>
      <c r="H33" s="161" t="str">
        <f>IF(Friedman!V30=0,"",Friedman!V30)</f>
        <v/>
      </c>
      <c r="I33" s="161" t="str">
        <f>IF(Friedman!Z30=0,"",Friedman!Z30)</f>
        <v/>
      </c>
      <c r="J33" s="161" t="str">
        <f>IF(Friedman!AD30=0,"",Friedman!AD30)</f>
        <v/>
      </c>
      <c r="K33" s="161" t="str">
        <f>IF(Friedman!AH30=0,"",Friedman!AH30)</f>
        <v/>
      </c>
      <c r="L33" s="161" t="str">
        <f>IF(Friedman!AL30=0,"",Friedman!AL30)</f>
        <v/>
      </c>
      <c r="M33" s="161" t="str">
        <f>IF(Friedman!AP30=0,"",Friedman!AP30)</f>
        <v/>
      </c>
      <c r="N33" s="161" t="str">
        <f>IF(Friedman!AT30=0,"",Friedman!AT30)</f>
        <v/>
      </c>
      <c r="O33" s="161" t="str">
        <f>IF(Friedman!AX30=0,"",Friedman!AX30)</f>
        <v/>
      </c>
      <c r="P33" s="161" t="str">
        <f>IF(Friedman!BB30=0,"",Friedman!BB30)</f>
        <v/>
      </c>
      <c r="Q33" s="161" t="str">
        <f>IF(Friedman!BF30=0,"",Friedman!BF30)</f>
        <v/>
      </c>
      <c r="R33" s="161" t="str">
        <f>IF(Friedman!BJ30=0,"",Friedman!BJ30)</f>
        <v/>
      </c>
      <c r="S33" s="161" t="str">
        <f>IF(Friedman!BN30=0,"",Friedman!BN30)</f>
        <v/>
      </c>
      <c r="T33" s="161" t="str">
        <f>IF(Friedman!BR30=0,"",Friedman!BR30)</f>
        <v/>
      </c>
      <c r="U33" s="161" t="str">
        <f>IF(Friedman!BV30=0,"",Friedman!BV30)</f>
        <v/>
      </c>
      <c r="V33" s="161" t="str">
        <f>IF(Friedman!BZ30=0,"",Friedman!BZ30)</f>
        <v/>
      </c>
      <c r="W33" s="161" t="str">
        <f>IF(Friedman!CD30=0,"",Friedman!CD30)</f>
        <v/>
      </c>
      <c r="X33" s="161" t="str">
        <f>IF(Friedman!CH30=0,"",Friedman!CH30)</f>
        <v/>
      </c>
      <c r="Y33" s="10"/>
      <c r="Z33" s="10"/>
      <c r="AA33" s="10"/>
      <c r="AB33" s="10"/>
      <c r="AC33" s="10"/>
      <c r="AD33" s="10"/>
      <c r="AE33" s="10"/>
      <c r="AF33" s="10"/>
      <c r="AG33" s="161" t="str">
        <f>IF(Friedman!E30=0,"",Friedman!E30)</f>
        <v/>
      </c>
      <c r="AI33" s="162">
        <f t="shared" si="3"/>
        <v>0</v>
      </c>
      <c r="AJ33" s="162">
        <f t="shared" si="3"/>
        <v>0</v>
      </c>
      <c r="AK33" s="162">
        <f t="shared" si="3"/>
        <v>0</v>
      </c>
      <c r="AL33" s="162">
        <f t="shared" si="3"/>
        <v>0</v>
      </c>
      <c r="AM33" s="162">
        <f t="shared" si="3"/>
        <v>0</v>
      </c>
    </row>
    <row r="34" spans="2:39" s="25" customFormat="1" ht="14.25" customHeight="1">
      <c r="B34" s="154" t="s">
        <v>26</v>
      </c>
      <c r="C34" s="155">
        <f>'Daily &amp; Weekly Totals'!E45</f>
        <v>43948</v>
      </c>
      <c r="D34" s="160"/>
      <c r="E34" s="161" t="str">
        <f>IF(Friedman!J31=0,"",Friedman!J31)</f>
        <v/>
      </c>
      <c r="F34" s="161" t="str">
        <f>IF(Friedman!N31=0,"",Friedman!N31)</f>
        <v/>
      </c>
      <c r="G34" s="161" t="str">
        <f>IF(Friedman!R31=0,"",Friedman!R31)</f>
        <v/>
      </c>
      <c r="H34" s="161" t="str">
        <f>IF(Friedman!V31=0,"",Friedman!V31)</f>
        <v/>
      </c>
      <c r="I34" s="161" t="str">
        <f>IF(Friedman!Z31=0,"",Friedman!Z31)</f>
        <v/>
      </c>
      <c r="J34" s="161" t="str">
        <f>IF(Friedman!AD31=0,"",Friedman!AD31)</f>
        <v/>
      </c>
      <c r="K34" s="161" t="str">
        <f>IF(Friedman!AH31=0,"",Friedman!AH31)</f>
        <v/>
      </c>
      <c r="L34" s="161" t="str">
        <f>IF(Friedman!AL31=0,"",Friedman!AL31)</f>
        <v/>
      </c>
      <c r="M34" s="161" t="str">
        <f>IF(Friedman!AP31=0,"",Friedman!AP31)</f>
        <v/>
      </c>
      <c r="N34" s="161" t="str">
        <f>IF(Friedman!AT31=0,"",Friedman!AT31)</f>
        <v/>
      </c>
      <c r="O34" s="161" t="str">
        <f>IF(Friedman!AX31=0,"",Friedman!AX31)</f>
        <v/>
      </c>
      <c r="P34" s="161" t="str">
        <f>IF(Friedman!BB31=0,"",Friedman!BB31)</f>
        <v/>
      </c>
      <c r="Q34" s="161" t="str">
        <f>IF(Friedman!BF31=0,"",Friedman!BF31)</f>
        <v/>
      </c>
      <c r="R34" s="161" t="str">
        <f>IF(Friedman!BJ31=0,"",Friedman!BJ31)</f>
        <v/>
      </c>
      <c r="S34" s="161" t="str">
        <f>IF(Friedman!BN31=0,"",Friedman!BN31)</f>
        <v/>
      </c>
      <c r="T34" s="161" t="str">
        <f>IF(Friedman!BR31=0,"",Friedman!BR31)</f>
        <v/>
      </c>
      <c r="U34" s="161" t="str">
        <f>IF(Friedman!BV31=0,"",Friedman!BV31)</f>
        <v/>
      </c>
      <c r="V34" s="161" t="str">
        <f>IF(Friedman!BZ31=0,"",Friedman!BZ31)</f>
        <v/>
      </c>
      <c r="W34" s="161" t="str">
        <f>IF(Friedman!CD31=0,"",Friedman!CD31)</f>
        <v/>
      </c>
      <c r="X34" s="161" t="str">
        <f>IF(Friedman!CH31=0,"",Friedman!CH31)</f>
        <v/>
      </c>
      <c r="Y34" s="10"/>
      <c r="Z34" s="10"/>
      <c r="AA34" s="10"/>
      <c r="AB34" s="10"/>
      <c r="AC34" s="10"/>
      <c r="AD34" s="10"/>
      <c r="AE34" s="10"/>
      <c r="AF34" s="10"/>
      <c r="AG34" s="161" t="str">
        <f>IF(Friedman!E31=0,"",Friedman!E31)</f>
        <v/>
      </c>
      <c r="AI34" s="162">
        <f t="shared" si="3"/>
        <v>0</v>
      </c>
      <c r="AJ34" s="162">
        <f t="shared" si="3"/>
        <v>0</v>
      </c>
      <c r="AK34" s="162">
        <f t="shared" si="3"/>
        <v>0</v>
      </c>
      <c r="AL34" s="162">
        <f t="shared" si="3"/>
        <v>0</v>
      </c>
      <c r="AM34" s="162">
        <f t="shared" si="3"/>
        <v>0</v>
      </c>
    </row>
    <row r="35" spans="2:39" s="25" customFormat="1" ht="14.25" customHeight="1">
      <c r="B35" s="154" t="s">
        <v>27</v>
      </c>
      <c r="C35" s="155">
        <f>'Daily &amp; Weekly Totals'!E46</f>
        <v>43949</v>
      </c>
      <c r="D35" s="160"/>
      <c r="E35" s="161" t="str">
        <f>IF(Friedman!J32=0,"",Friedman!J32)</f>
        <v/>
      </c>
      <c r="F35" s="161" t="str">
        <f>IF(Friedman!N32=0,"",Friedman!N32)</f>
        <v/>
      </c>
      <c r="G35" s="161" t="str">
        <f>IF(Friedman!R32=0,"",Friedman!R32)</f>
        <v/>
      </c>
      <c r="H35" s="161" t="str">
        <f>IF(Friedman!V32=0,"",Friedman!V32)</f>
        <v/>
      </c>
      <c r="I35" s="161" t="str">
        <f>IF(Friedman!Z32=0,"",Friedman!Z32)</f>
        <v/>
      </c>
      <c r="J35" s="161" t="str">
        <f>IF(Friedman!AD32=0,"",Friedman!AD32)</f>
        <v/>
      </c>
      <c r="K35" s="161" t="str">
        <f>IF(Friedman!AH32=0,"",Friedman!AH32)</f>
        <v/>
      </c>
      <c r="L35" s="161" t="str">
        <f>IF(Friedman!AL32=0,"",Friedman!AL32)</f>
        <v/>
      </c>
      <c r="M35" s="161" t="str">
        <f>IF(Friedman!AP32=0,"",Friedman!AP32)</f>
        <v/>
      </c>
      <c r="N35" s="161" t="str">
        <f>IF(Friedman!AT32=0,"",Friedman!AT32)</f>
        <v/>
      </c>
      <c r="O35" s="161" t="str">
        <f>IF(Friedman!AX32=0,"",Friedman!AX32)</f>
        <v/>
      </c>
      <c r="P35" s="161" t="str">
        <f>IF(Friedman!BB32=0,"",Friedman!BB32)</f>
        <v/>
      </c>
      <c r="Q35" s="161" t="str">
        <f>IF(Friedman!BF32=0,"",Friedman!BF32)</f>
        <v/>
      </c>
      <c r="R35" s="161" t="str">
        <f>IF(Friedman!BJ32=0,"",Friedman!BJ32)</f>
        <v/>
      </c>
      <c r="S35" s="161" t="str">
        <f>IF(Friedman!BN32=0,"",Friedman!BN32)</f>
        <v/>
      </c>
      <c r="T35" s="161" t="str">
        <f>IF(Friedman!BR32=0,"",Friedman!BR32)</f>
        <v/>
      </c>
      <c r="U35" s="161" t="str">
        <f>IF(Friedman!BV32=0,"",Friedman!BV32)</f>
        <v/>
      </c>
      <c r="V35" s="161" t="str">
        <f>IF(Friedman!BZ32=0,"",Friedman!BZ32)</f>
        <v/>
      </c>
      <c r="W35" s="161" t="str">
        <f>IF(Friedman!CD32=0,"",Friedman!CD32)</f>
        <v/>
      </c>
      <c r="X35" s="161" t="str">
        <f>IF(Friedman!CH32=0,"",Friedman!CH32)</f>
        <v/>
      </c>
      <c r="Y35" s="10"/>
      <c r="Z35" s="10"/>
      <c r="AA35" s="10"/>
      <c r="AB35" s="10"/>
      <c r="AC35" s="10"/>
      <c r="AD35" s="10"/>
      <c r="AE35" s="10"/>
      <c r="AF35" s="10"/>
      <c r="AG35" s="161" t="str">
        <f>IF(Friedman!E32=0,"",Friedman!E32)</f>
        <v/>
      </c>
      <c r="AI35" s="162">
        <f t="shared" si="3"/>
        <v>0</v>
      </c>
      <c r="AJ35" s="162">
        <f t="shared" si="3"/>
        <v>0</v>
      </c>
      <c r="AK35" s="162">
        <f t="shared" si="3"/>
        <v>0</v>
      </c>
      <c r="AL35" s="162">
        <f t="shared" si="3"/>
        <v>0</v>
      </c>
      <c r="AM35" s="162">
        <f t="shared" si="3"/>
        <v>0</v>
      </c>
    </row>
    <row r="36" spans="2:39" s="25" customFormat="1" ht="14.25" customHeight="1">
      <c r="B36" s="154" t="s">
        <v>28</v>
      </c>
      <c r="C36" s="155">
        <f>'Daily &amp; Weekly Totals'!E47</f>
        <v>43950</v>
      </c>
      <c r="D36" s="160"/>
      <c r="E36" s="161" t="str">
        <f>IF(Friedman!J33=0,"",Friedman!J33)</f>
        <v/>
      </c>
      <c r="F36" s="161" t="str">
        <f>IF(Friedman!N33=0,"",Friedman!N33)</f>
        <v/>
      </c>
      <c r="G36" s="161" t="str">
        <f>IF(Friedman!R33=0,"",Friedman!R33)</f>
        <v/>
      </c>
      <c r="H36" s="161" t="str">
        <f>IF(Friedman!V33=0,"",Friedman!V33)</f>
        <v/>
      </c>
      <c r="I36" s="161" t="str">
        <f>IF(Friedman!Z33=0,"",Friedman!Z33)</f>
        <v/>
      </c>
      <c r="J36" s="161" t="str">
        <f>IF(Friedman!AD33=0,"",Friedman!AD33)</f>
        <v/>
      </c>
      <c r="K36" s="161" t="str">
        <f>IF(Friedman!AH33=0,"",Friedman!AH33)</f>
        <v/>
      </c>
      <c r="L36" s="161" t="str">
        <f>IF(Friedman!AL33=0,"",Friedman!AL33)</f>
        <v/>
      </c>
      <c r="M36" s="161" t="str">
        <f>IF(Friedman!AP33=0,"",Friedman!AP33)</f>
        <v/>
      </c>
      <c r="N36" s="161" t="str">
        <f>IF(Friedman!AT33=0,"",Friedman!AT33)</f>
        <v/>
      </c>
      <c r="O36" s="161" t="str">
        <f>IF(Friedman!AX33=0,"",Friedman!AX33)</f>
        <v/>
      </c>
      <c r="P36" s="161" t="str">
        <f>IF(Friedman!BB33=0,"",Friedman!BB33)</f>
        <v/>
      </c>
      <c r="Q36" s="161" t="str">
        <f>IF(Friedman!BF33=0,"",Friedman!BF33)</f>
        <v/>
      </c>
      <c r="R36" s="161" t="str">
        <f>IF(Friedman!BJ33=0,"",Friedman!BJ33)</f>
        <v/>
      </c>
      <c r="S36" s="161" t="str">
        <f>IF(Friedman!BN33=0,"",Friedman!BN33)</f>
        <v/>
      </c>
      <c r="T36" s="161" t="str">
        <f>IF(Friedman!BR33=0,"",Friedman!BR33)</f>
        <v/>
      </c>
      <c r="U36" s="161" t="str">
        <f>IF(Friedman!BV33=0,"",Friedman!BV33)</f>
        <v/>
      </c>
      <c r="V36" s="161" t="str">
        <f>IF(Friedman!BZ33=0,"",Friedman!BZ33)</f>
        <v/>
      </c>
      <c r="W36" s="161" t="str">
        <f>IF(Friedman!CD33=0,"",Friedman!CD33)</f>
        <v/>
      </c>
      <c r="X36" s="161" t="str">
        <f>IF(Friedman!CH33=0,"",Friedman!CH33)</f>
        <v/>
      </c>
      <c r="Y36" s="10"/>
      <c r="Z36" s="10"/>
      <c r="AA36" s="10"/>
      <c r="AB36" s="10"/>
      <c r="AC36" s="10"/>
      <c r="AD36" s="10"/>
      <c r="AE36" s="10"/>
      <c r="AF36" s="10"/>
      <c r="AG36" s="161" t="str">
        <f>IF(Friedman!E33=0,"",Friedman!E33)</f>
        <v/>
      </c>
      <c r="AI36" s="162">
        <f t="shared" ref="AI36:AM47" si="4">SUMIF($E$3:$AG$3,AI$3,$E36:$AG36)</f>
        <v>0</v>
      </c>
      <c r="AJ36" s="162">
        <f t="shared" si="4"/>
        <v>0</v>
      </c>
      <c r="AK36" s="162">
        <f t="shared" si="4"/>
        <v>0</v>
      </c>
      <c r="AL36" s="162">
        <f t="shared" si="4"/>
        <v>0</v>
      </c>
      <c r="AM36" s="162">
        <f t="shared" si="4"/>
        <v>0</v>
      </c>
    </row>
    <row r="37" spans="2:39" s="25" customFormat="1" ht="14.25" customHeight="1">
      <c r="B37" s="154" t="s">
        <v>29</v>
      </c>
      <c r="C37" s="155">
        <f>'Daily &amp; Weekly Totals'!E48</f>
        <v>43951</v>
      </c>
      <c r="D37" s="160"/>
      <c r="E37" s="161" t="str">
        <f>IF(Friedman!J34=0,"",Friedman!J34)</f>
        <v/>
      </c>
      <c r="F37" s="161" t="str">
        <f>IF(Friedman!N34=0,"",Friedman!N34)</f>
        <v/>
      </c>
      <c r="G37" s="161" t="str">
        <f>IF(Friedman!R34=0,"",Friedman!R34)</f>
        <v/>
      </c>
      <c r="H37" s="161" t="str">
        <f>IF(Friedman!V34=0,"",Friedman!V34)</f>
        <v/>
      </c>
      <c r="I37" s="161" t="str">
        <f>IF(Friedman!Z34=0,"",Friedman!Z34)</f>
        <v/>
      </c>
      <c r="J37" s="161" t="str">
        <f>IF(Friedman!AD34=0,"",Friedman!AD34)</f>
        <v/>
      </c>
      <c r="K37" s="161" t="str">
        <f>IF(Friedman!AH34=0,"",Friedman!AH34)</f>
        <v/>
      </c>
      <c r="L37" s="161" t="str">
        <f>IF(Friedman!AL34=0,"",Friedman!AL34)</f>
        <v/>
      </c>
      <c r="M37" s="161" t="str">
        <f>IF(Friedman!AP34=0,"",Friedman!AP34)</f>
        <v/>
      </c>
      <c r="N37" s="161" t="str">
        <f>IF(Friedman!AT34=0,"",Friedman!AT34)</f>
        <v/>
      </c>
      <c r="O37" s="161" t="str">
        <f>IF(Friedman!AX34=0,"",Friedman!AX34)</f>
        <v/>
      </c>
      <c r="P37" s="161" t="str">
        <f>IF(Friedman!BB34=0,"",Friedman!BB34)</f>
        <v/>
      </c>
      <c r="Q37" s="161" t="str">
        <f>IF(Friedman!BF34=0,"",Friedman!BF34)</f>
        <v/>
      </c>
      <c r="R37" s="161" t="str">
        <f>IF(Friedman!BJ34=0,"",Friedman!BJ34)</f>
        <v/>
      </c>
      <c r="S37" s="161" t="str">
        <f>IF(Friedman!BN34=0,"",Friedman!BN34)</f>
        <v/>
      </c>
      <c r="T37" s="161" t="str">
        <f>IF(Friedman!BR34=0,"",Friedman!BR34)</f>
        <v/>
      </c>
      <c r="U37" s="161" t="str">
        <f>IF(Friedman!BV34=0,"",Friedman!BV34)</f>
        <v/>
      </c>
      <c r="V37" s="161" t="str">
        <f>IF(Friedman!BZ34=0,"",Friedman!BZ34)</f>
        <v/>
      </c>
      <c r="W37" s="161" t="str">
        <f>IF(Friedman!CD34=0,"",Friedman!CD34)</f>
        <v/>
      </c>
      <c r="X37" s="161" t="str">
        <f>IF(Friedman!CH34=0,"",Friedman!CH34)</f>
        <v/>
      </c>
      <c r="Y37" s="10"/>
      <c r="Z37" s="10"/>
      <c r="AA37" s="10"/>
      <c r="AB37" s="10"/>
      <c r="AC37" s="10"/>
      <c r="AD37" s="10"/>
      <c r="AE37" s="10"/>
      <c r="AF37" s="10"/>
      <c r="AG37" s="161" t="str">
        <f>IF(Friedman!E34=0,"",Friedman!E34)</f>
        <v/>
      </c>
      <c r="AI37" s="162">
        <f t="shared" si="4"/>
        <v>0</v>
      </c>
      <c r="AJ37" s="162">
        <f t="shared" si="4"/>
        <v>0</v>
      </c>
      <c r="AK37" s="162">
        <f t="shared" si="4"/>
        <v>0</v>
      </c>
      <c r="AL37" s="162">
        <f t="shared" si="4"/>
        <v>0</v>
      </c>
      <c r="AM37" s="162">
        <f t="shared" si="4"/>
        <v>0</v>
      </c>
    </row>
    <row r="38" spans="2:39" s="25" customFormat="1" ht="14.25" customHeight="1">
      <c r="B38" s="154" t="s">
        <v>30</v>
      </c>
      <c r="C38" s="155">
        <f>'Daily &amp; Weekly Totals'!E49</f>
        <v>43952</v>
      </c>
      <c r="D38" s="160"/>
      <c r="E38" s="161" t="str">
        <f>IF(Friedman!J35=0,"",Friedman!J35)</f>
        <v/>
      </c>
      <c r="F38" s="161" t="str">
        <f>IF(Friedman!N35=0,"",Friedman!N35)</f>
        <v/>
      </c>
      <c r="G38" s="161" t="str">
        <f>IF(Friedman!R35=0,"",Friedman!R35)</f>
        <v/>
      </c>
      <c r="H38" s="161" t="str">
        <f>IF(Friedman!V35=0,"",Friedman!V35)</f>
        <v/>
      </c>
      <c r="I38" s="161" t="str">
        <f>IF(Friedman!Z35=0,"",Friedman!Z35)</f>
        <v/>
      </c>
      <c r="J38" s="161" t="str">
        <f>IF(Friedman!AD35=0,"",Friedman!AD35)</f>
        <v/>
      </c>
      <c r="K38" s="161" t="str">
        <f>IF(Friedman!AH35=0,"",Friedman!AH35)</f>
        <v/>
      </c>
      <c r="L38" s="161" t="str">
        <f>IF(Friedman!AL35=0,"",Friedman!AL35)</f>
        <v/>
      </c>
      <c r="M38" s="161" t="str">
        <f>IF(Friedman!AP35=0,"",Friedman!AP35)</f>
        <v/>
      </c>
      <c r="N38" s="161" t="str">
        <f>IF(Friedman!AT35=0,"",Friedman!AT35)</f>
        <v/>
      </c>
      <c r="O38" s="161" t="str">
        <f>IF(Friedman!AX35=0,"",Friedman!AX35)</f>
        <v/>
      </c>
      <c r="P38" s="161" t="str">
        <f>IF(Friedman!BB35=0,"",Friedman!BB35)</f>
        <v/>
      </c>
      <c r="Q38" s="161" t="str">
        <f>IF(Friedman!BF35=0,"",Friedman!BF35)</f>
        <v/>
      </c>
      <c r="R38" s="161" t="str">
        <f>IF(Friedman!BJ35=0,"",Friedman!BJ35)</f>
        <v/>
      </c>
      <c r="S38" s="161" t="str">
        <f>IF(Friedman!BN35=0,"",Friedman!BN35)</f>
        <v/>
      </c>
      <c r="T38" s="161" t="str">
        <f>IF(Friedman!BR35=0,"",Friedman!BR35)</f>
        <v/>
      </c>
      <c r="U38" s="161" t="str">
        <f>IF(Friedman!BV35=0,"",Friedman!BV35)</f>
        <v/>
      </c>
      <c r="V38" s="161" t="str">
        <f>IF(Friedman!BZ35=0,"",Friedman!BZ35)</f>
        <v/>
      </c>
      <c r="W38" s="161" t="str">
        <f>IF(Friedman!CD35=0,"",Friedman!CD35)</f>
        <v/>
      </c>
      <c r="X38" s="161" t="str">
        <f>IF(Friedman!CH35=0,"",Friedman!CH35)</f>
        <v/>
      </c>
      <c r="Y38" s="10"/>
      <c r="Z38" s="10"/>
      <c r="AA38" s="10"/>
      <c r="AB38" s="10"/>
      <c r="AC38" s="10"/>
      <c r="AD38" s="10"/>
      <c r="AE38" s="10"/>
      <c r="AF38" s="10"/>
      <c r="AG38" s="161" t="str">
        <f>IF(Friedman!E35=0,"",Friedman!E35)</f>
        <v/>
      </c>
      <c r="AI38" s="162">
        <f t="shared" si="4"/>
        <v>0</v>
      </c>
      <c r="AJ38" s="162">
        <f t="shared" si="4"/>
        <v>0</v>
      </c>
      <c r="AK38" s="162">
        <f t="shared" si="4"/>
        <v>0</v>
      </c>
      <c r="AL38" s="162">
        <f t="shared" si="4"/>
        <v>0</v>
      </c>
      <c r="AM38" s="162">
        <f t="shared" si="4"/>
        <v>0</v>
      </c>
    </row>
    <row r="39" spans="2:39" s="25" customFormat="1" ht="14.25" customHeight="1">
      <c r="B39" s="154" t="s">
        <v>31</v>
      </c>
      <c r="C39" s="155">
        <f>'Daily &amp; Weekly Totals'!E50</f>
        <v>43953</v>
      </c>
      <c r="D39" s="160"/>
      <c r="E39" s="161" t="str">
        <f>IF(Friedman!J36=0,"",Friedman!J36)</f>
        <v/>
      </c>
      <c r="F39" s="161" t="str">
        <f>IF(Friedman!N36=0,"",Friedman!N36)</f>
        <v/>
      </c>
      <c r="G39" s="161" t="str">
        <f>IF(Friedman!R36=0,"",Friedman!R36)</f>
        <v/>
      </c>
      <c r="H39" s="161" t="str">
        <f>IF(Friedman!V36=0,"",Friedman!V36)</f>
        <v/>
      </c>
      <c r="I39" s="161" t="str">
        <f>IF(Friedman!Z36=0,"",Friedman!Z36)</f>
        <v/>
      </c>
      <c r="J39" s="161" t="str">
        <f>IF(Friedman!AD36=0,"",Friedman!AD36)</f>
        <v/>
      </c>
      <c r="K39" s="161" t="str">
        <f>IF(Friedman!AH36=0,"",Friedman!AH36)</f>
        <v/>
      </c>
      <c r="L39" s="161" t="str">
        <f>IF(Friedman!AL36=0,"",Friedman!AL36)</f>
        <v/>
      </c>
      <c r="M39" s="161" t="str">
        <f>IF(Friedman!AP36=0,"",Friedman!AP36)</f>
        <v/>
      </c>
      <c r="N39" s="161" t="str">
        <f>IF(Friedman!AT36=0,"",Friedman!AT36)</f>
        <v/>
      </c>
      <c r="O39" s="161" t="str">
        <f>IF(Friedman!AX36=0,"",Friedman!AX36)</f>
        <v/>
      </c>
      <c r="P39" s="161" t="str">
        <f>IF(Friedman!BB36=0,"",Friedman!BB36)</f>
        <v/>
      </c>
      <c r="Q39" s="161" t="str">
        <f>IF(Friedman!BF36=0,"",Friedman!BF36)</f>
        <v/>
      </c>
      <c r="R39" s="161" t="str">
        <f>IF(Friedman!BJ36=0,"",Friedman!BJ36)</f>
        <v/>
      </c>
      <c r="S39" s="161" t="str">
        <f>IF(Friedman!BN36=0,"",Friedman!BN36)</f>
        <v/>
      </c>
      <c r="T39" s="161" t="str">
        <f>IF(Friedman!BR36=0,"",Friedman!BR36)</f>
        <v/>
      </c>
      <c r="U39" s="161" t="str">
        <f>IF(Friedman!BV36=0,"",Friedman!BV36)</f>
        <v/>
      </c>
      <c r="V39" s="161" t="str">
        <f>IF(Friedman!BZ36=0,"",Friedman!BZ36)</f>
        <v/>
      </c>
      <c r="W39" s="161" t="str">
        <f>IF(Friedman!CD36=0,"",Friedman!CD36)</f>
        <v/>
      </c>
      <c r="X39" s="161" t="str">
        <f>IF(Friedman!CH36=0,"",Friedman!CH36)</f>
        <v/>
      </c>
      <c r="Y39" s="10"/>
      <c r="Z39" s="10"/>
      <c r="AA39" s="10"/>
      <c r="AB39" s="10"/>
      <c r="AC39" s="10"/>
      <c r="AD39" s="10"/>
      <c r="AE39" s="10"/>
      <c r="AF39" s="10"/>
      <c r="AG39" s="161" t="str">
        <f>IF(Friedman!E36=0,"",Friedman!E36)</f>
        <v/>
      </c>
      <c r="AI39" s="162">
        <f t="shared" si="4"/>
        <v>0</v>
      </c>
      <c r="AJ39" s="162">
        <f t="shared" si="4"/>
        <v>0</v>
      </c>
      <c r="AK39" s="162">
        <f t="shared" si="4"/>
        <v>0</v>
      </c>
      <c r="AL39" s="162">
        <f t="shared" si="4"/>
        <v>0</v>
      </c>
      <c r="AM39" s="162">
        <f t="shared" si="4"/>
        <v>0</v>
      </c>
    </row>
    <row r="40" spans="2:39" s="25" customFormat="1" ht="14.25" customHeight="1">
      <c r="B40" s="154" t="s">
        <v>32</v>
      </c>
      <c r="C40" s="155">
        <f>'Daily &amp; Weekly Totals'!E51</f>
        <v>43954</v>
      </c>
      <c r="D40" s="160"/>
      <c r="E40" s="161" t="str">
        <f>IF(Friedman!J37=0,"",Friedman!J37)</f>
        <v/>
      </c>
      <c r="F40" s="161" t="str">
        <f>IF(Friedman!N37=0,"",Friedman!N37)</f>
        <v/>
      </c>
      <c r="G40" s="161" t="str">
        <f>IF(Friedman!R37=0,"",Friedman!R37)</f>
        <v/>
      </c>
      <c r="H40" s="161" t="str">
        <f>IF(Friedman!V37=0,"",Friedman!V37)</f>
        <v/>
      </c>
      <c r="I40" s="161" t="str">
        <f>IF(Friedman!Z37=0,"",Friedman!Z37)</f>
        <v/>
      </c>
      <c r="J40" s="161" t="str">
        <f>IF(Friedman!AD37=0,"",Friedman!AD37)</f>
        <v/>
      </c>
      <c r="K40" s="161" t="str">
        <f>IF(Friedman!AH37=0,"",Friedman!AH37)</f>
        <v/>
      </c>
      <c r="L40" s="161" t="str">
        <f>IF(Friedman!AL37=0,"",Friedman!AL37)</f>
        <v/>
      </c>
      <c r="M40" s="161" t="str">
        <f>IF(Friedman!AP37=0,"",Friedman!AP37)</f>
        <v/>
      </c>
      <c r="N40" s="161" t="str">
        <f>IF(Friedman!AT37=0,"",Friedman!AT37)</f>
        <v/>
      </c>
      <c r="O40" s="161" t="str">
        <f>IF(Friedman!AX37=0,"",Friedman!AX37)</f>
        <v/>
      </c>
      <c r="P40" s="161" t="str">
        <f>IF(Friedman!BB37=0,"",Friedman!BB37)</f>
        <v/>
      </c>
      <c r="Q40" s="161" t="str">
        <f>IF(Friedman!BF37=0,"",Friedman!BF37)</f>
        <v/>
      </c>
      <c r="R40" s="161" t="str">
        <f>IF(Friedman!BJ37=0,"",Friedman!BJ37)</f>
        <v/>
      </c>
      <c r="S40" s="161" t="str">
        <f>IF(Friedman!BN37=0,"",Friedman!BN37)</f>
        <v/>
      </c>
      <c r="T40" s="161" t="str">
        <f>IF(Friedman!BR37=0,"",Friedman!BR37)</f>
        <v/>
      </c>
      <c r="U40" s="161" t="str">
        <f>IF(Friedman!BV37=0,"",Friedman!BV37)</f>
        <v/>
      </c>
      <c r="V40" s="161" t="str">
        <f>IF(Friedman!BZ37=0,"",Friedman!BZ37)</f>
        <v/>
      </c>
      <c r="W40" s="161" t="str">
        <f>IF(Friedman!CD37=0,"",Friedman!CD37)</f>
        <v/>
      </c>
      <c r="X40" s="161" t="str">
        <f>IF(Friedman!CH37=0,"",Friedman!CH37)</f>
        <v/>
      </c>
      <c r="Y40" s="10"/>
      <c r="Z40" s="10"/>
      <c r="AA40" s="10"/>
      <c r="AB40" s="10"/>
      <c r="AC40" s="10"/>
      <c r="AD40" s="10"/>
      <c r="AE40" s="10"/>
      <c r="AF40" s="10"/>
      <c r="AG40" s="161" t="str">
        <f>IF(Friedman!E37=0,"",Friedman!E37)</f>
        <v/>
      </c>
      <c r="AI40" s="162">
        <f t="shared" si="4"/>
        <v>0</v>
      </c>
      <c r="AJ40" s="162">
        <f t="shared" si="4"/>
        <v>0</v>
      </c>
      <c r="AK40" s="162">
        <f t="shared" si="4"/>
        <v>0</v>
      </c>
      <c r="AL40" s="162">
        <f t="shared" si="4"/>
        <v>0</v>
      </c>
      <c r="AM40" s="162">
        <f t="shared" si="4"/>
        <v>0</v>
      </c>
    </row>
    <row r="41" spans="2:39" s="25" customFormat="1" ht="14.25" customHeight="1">
      <c r="B41" s="154" t="s">
        <v>26</v>
      </c>
      <c r="C41" s="155">
        <f>'Daily &amp; Weekly Totals'!E55</f>
        <v>43955</v>
      </c>
      <c r="D41" s="160"/>
      <c r="E41" s="161" t="str">
        <f>IF(Friedman!J38=0,"",Friedman!J38)</f>
        <v/>
      </c>
      <c r="F41" s="161" t="str">
        <f>IF(Friedman!N38=0,"",Friedman!N38)</f>
        <v/>
      </c>
      <c r="G41" s="161" t="str">
        <f>IF(Friedman!R38=0,"",Friedman!R38)</f>
        <v/>
      </c>
      <c r="H41" s="161" t="str">
        <f>IF(Friedman!V38=0,"",Friedman!V38)</f>
        <v/>
      </c>
      <c r="I41" s="161" t="str">
        <f>IF(Friedman!Z38=0,"",Friedman!Z38)</f>
        <v/>
      </c>
      <c r="J41" s="161" t="str">
        <f>IF(Friedman!AD38=0,"",Friedman!AD38)</f>
        <v/>
      </c>
      <c r="K41" s="161" t="str">
        <f>IF(Friedman!AH38=0,"",Friedman!AH38)</f>
        <v/>
      </c>
      <c r="L41" s="161" t="str">
        <f>IF(Friedman!AL38=0,"",Friedman!AL38)</f>
        <v/>
      </c>
      <c r="M41" s="161" t="str">
        <f>IF(Friedman!AP38=0,"",Friedman!AP38)</f>
        <v/>
      </c>
      <c r="N41" s="161" t="str">
        <f>IF(Friedman!AT38=0,"",Friedman!AT38)</f>
        <v/>
      </c>
      <c r="O41" s="161" t="str">
        <f>IF(Friedman!AX38=0,"",Friedman!AX38)</f>
        <v/>
      </c>
      <c r="P41" s="161" t="str">
        <f>IF(Friedman!BB38=0,"",Friedman!BB38)</f>
        <v/>
      </c>
      <c r="Q41" s="161" t="str">
        <f>IF(Friedman!BF38=0,"",Friedman!BF38)</f>
        <v/>
      </c>
      <c r="R41" s="161" t="str">
        <f>IF(Friedman!BJ38=0,"",Friedman!BJ38)</f>
        <v/>
      </c>
      <c r="S41" s="161" t="str">
        <f>IF(Friedman!BN38=0,"",Friedman!BN38)</f>
        <v/>
      </c>
      <c r="T41" s="161" t="str">
        <f>IF(Friedman!BR38=0,"",Friedman!BR38)</f>
        <v/>
      </c>
      <c r="U41" s="161" t="str">
        <f>IF(Friedman!BV38=0,"",Friedman!BV38)</f>
        <v/>
      </c>
      <c r="V41" s="161" t="str">
        <f>IF(Friedman!BZ38=0,"",Friedman!BZ38)</f>
        <v/>
      </c>
      <c r="W41" s="161" t="str">
        <f>IF(Friedman!CD38=0,"",Friedman!CD38)</f>
        <v/>
      </c>
      <c r="X41" s="161" t="str">
        <f>IF(Friedman!CH38=0,"",Friedman!CH38)</f>
        <v/>
      </c>
      <c r="Y41" s="10"/>
      <c r="Z41" s="10"/>
      <c r="AA41" s="10"/>
      <c r="AB41" s="10"/>
      <c r="AC41" s="10"/>
      <c r="AD41" s="10"/>
      <c r="AE41" s="10"/>
      <c r="AF41" s="10"/>
      <c r="AG41" s="161" t="str">
        <f>IF(Friedman!E38=0,"",Friedman!E38)</f>
        <v/>
      </c>
      <c r="AI41" s="162">
        <f t="shared" si="4"/>
        <v>0</v>
      </c>
      <c r="AJ41" s="162">
        <f t="shared" si="4"/>
        <v>0</v>
      </c>
      <c r="AK41" s="162">
        <f t="shared" si="4"/>
        <v>0</v>
      </c>
      <c r="AL41" s="162">
        <f t="shared" si="4"/>
        <v>0</v>
      </c>
      <c r="AM41" s="162">
        <f t="shared" si="4"/>
        <v>0</v>
      </c>
    </row>
    <row r="42" spans="2:39" s="25" customFormat="1" ht="14.25" customHeight="1">
      <c r="B42" s="154" t="s">
        <v>27</v>
      </c>
      <c r="C42" s="155">
        <f>'Daily &amp; Weekly Totals'!E56</f>
        <v>43956</v>
      </c>
      <c r="D42" s="160"/>
      <c r="E42" s="161" t="str">
        <f>IF(Friedman!J39=0,"",Friedman!J39)</f>
        <v/>
      </c>
      <c r="F42" s="161" t="str">
        <f>IF(Friedman!N39=0,"",Friedman!N39)</f>
        <v/>
      </c>
      <c r="G42" s="161" t="str">
        <f>IF(Friedman!R39=0,"",Friedman!R39)</f>
        <v/>
      </c>
      <c r="H42" s="161" t="str">
        <f>IF(Friedman!V39=0,"",Friedman!V39)</f>
        <v/>
      </c>
      <c r="I42" s="161" t="str">
        <f>IF(Friedman!Z39=0,"",Friedman!Z39)</f>
        <v/>
      </c>
      <c r="J42" s="161" t="str">
        <f>IF(Friedman!AD39=0,"",Friedman!AD39)</f>
        <v/>
      </c>
      <c r="K42" s="161" t="str">
        <f>IF(Friedman!AH39=0,"",Friedman!AH39)</f>
        <v/>
      </c>
      <c r="L42" s="161" t="str">
        <f>IF(Friedman!AL39=0,"",Friedman!AL39)</f>
        <v/>
      </c>
      <c r="M42" s="161" t="str">
        <f>IF(Friedman!AP39=0,"",Friedman!AP39)</f>
        <v/>
      </c>
      <c r="N42" s="161" t="str">
        <f>IF(Friedman!AT39=0,"",Friedman!AT39)</f>
        <v/>
      </c>
      <c r="O42" s="161" t="str">
        <f>IF(Friedman!AX39=0,"",Friedman!AX39)</f>
        <v/>
      </c>
      <c r="P42" s="161" t="str">
        <f>IF(Friedman!BB39=0,"",Friedman!BB39)</f>
        <v/>
      </c>
      <c r="Q42" s="161" t="str">
        <f>IF(Friedman!BF39=0,"",Friedman!BF39)</f>
        <v/>
      </c>
      <c r="R42" s="161" t="str">
        <f>IF(Friedman!BJ39=0,"",Friedman!BJ39)</f>
        <v/>
      </c>
      <c r="S42" s="161" t="str">
        <f>IF(Friedman!BN39=0,"",Friedman!BN39)</f>
        <v/>
      </c>
      <c r="T42" s="161" t="str">
        <f>IF(Friedman!BR39=0,"",Friedman!BR39)</f>
        <v/>
      </c>
      <c r="U42" s="161" t="str">
        <f>IF(Friedman!BV39=0,"",Friedman!BV39)</f>
        <v/>
      </c>
      <c r="V42" s="161" t="str">
        <f>IF(Friedman!BZ39=0,"",Friedman!BZ39)</f>
        <v/>
      </c>
      <c r="W42" s="161" t="str">
        <f>IF(Friedman!CD39=0,"",Friedman!CD39)</f>
        <v/>
      </c>
      <c r="X42" s="161" t="str">
        <f>IF(Friedman!CH39=0,"",Friedman!CH39)</f>
        <v/>
      </c>
      <c r="Y42" s="10"/>
      <c r="Z42" s="10"/>
      <c r="AA42" s="10"/>
      <c r="AB42" s="10"/>
      <c r="AC42" s="10"/>
      <c r="AD42" s="10"/>
      <c r="AE42" s="10"/>
      <c r="AF42" s="10"/>
      <c r="AG42" s="161" t="str">
        <f>IF(Friedman!E39=0,"",Friedman!E39)</f>
        <v/>
      </c>
      <c r="AI42" s="162">
        <f t="shared" si="4"/>
        <v>0</v>
      </c>
      <c r="AJ42" s="162">
        <f t="shared" si="4"/>
        <v>0</v>
      </c>
      <c r="AK42" s="162">
        <f t="shared" si="4"/>
        <v>0</v>
      </c>
      <c r="AL42" s="162">
        <f t="shared" si="4"/>
        <v>0</v>
      </c>
      <c r="AM42" s="162">
        <f t="shared" si="4"/>
        <v>0</v>
      </c>
    </row>
    <row r="43" spans="2:39" s="25" customFormat="1" ht="14.25" customHeight="1">
      <c r="B43" s="154" t="s">
        <v>28</v>
      </c>
      <c r="C43" s="155">
        <f>'Daily &amp; Weekly Totals'!E57</f>
        <v>43957</v>
      </c>
      <c r="D43" s="160"/>
      <c r="E43" s="161" t="str">
        <f>IF(Friedman!J40=0,"",Friedman!J40)</f>
        <v/>
      </c>
      <c r="F43" s="161" t="str">
        <f>IF(Friedman!N40=0,"",Friedman!N40)</f>
        <v/>
      </c>
      <c r="G43" s="161" t="str">
        <f>IF(Friedman!R40=0,"",Friedman!R40)</f>
        <v/>
      </c>
      <c r="H43" s="161" t="str">
        <f>IF(Friedman!V40=0,"",Friedman!V40)</f>
        <v/>
      </c>
      <c r="I43" s="161" t="str">
        <f>IF(Friedman!Z40=0,"",Friedman!Z40)</f>
        <v/>
      </c>
      <c r="J43" s="161" t="str">
        <f>IF(Friedman!AD40=0,"",Friedman!AD40)</f>
        <v/>
      </c>
      <c r="K43" s="161" t="str">
        <f>IF(Friedman!AH40=0,"",Friedman!AH40)</f>
        <v/>
      </c>
      <c r="L43" s="161" t="str">
        <f>IF(Friedman!AL40=0,"",Friedman!AL40)</f>
        <v/>
      </c>
      <c r="M43" s="161" t="str">
        <f>IF(Friedman!AP40=0,"",Friedman!AP40)</f>
        <v/>
      </c>
      <c r="N43" s="161" t="str">
        <f>IF(Friedman!AT40=0,"",Friedman!AT40)</f>
        <v/>
      </c>
      <c r="O43" s="161" t="str">
        <f>IF(Friedman!AX40=0,"",Friedman!AX40)</f>
        <v/>
      </c>
      <c r="P43" s="161" t="str">
        <f>IF(Friedman!BB40=0,"",Friedman!BB40)</f>
        <v/>
      </c>
      <c r="Q43" s="161" t="str">
        <f>IF(Friedman!BF40=0,"",Friedman!BF40)</f>
        <v/>
      </c>
      <c r="R43" s="161" t="str">
        <f>IF(Friedman!BJ40=0,"",Friedman!BJ40)</f>
        <v/>
      </c>
      <c r="S43" s="161" t="str">
        <f>IF(Friedman!BN40=0,"",Friedman!BN40)</f>
        <v/>
      </c>
      <c r="T43" s="161" t="str">
        <f>IF(Friedman!BR40=0,"",Friedman!BR40)</f>
        <v/>
      </c>
      <c r="U43" s="161" t="str">
        <f>IF(Friedman!BV40=0,"",Friedman!BV40)</f>
        <v/>
      </c>
      <c r="V43" s="161" t="str">
        <f>IF(Friedman!BZ40=0,"",Friedman!BZ40)</f>
        <v/>
      </c>
      <c r="W43" s="161" t="str">
        <f>IF(Friedman!CD40=0,"",Friedman!CD40)</f>
        <v/>
      </c>
      <c r="X43" s="161" t="str">
        <f>IF(Friedman!CH40=0,"",Friedman!CH40)</f>
        <v/>
      </c>
      <c r="Y43" s="10"/>
      <c r="Z43" s="10"/>
      <c r="AA43" s="10"/>
      <c r="AB43" s="10"/>
      <c r="AC43" s="10"/>
      <c r="AD43" s="10"/>
      <c r="AE43" s="10"/>
      <c r="AF43" s="10"/>
      <c r="AG43" s="161" t="str">
        <f>IF(Friedman!E40=0,"",Friedman!E40)</f>
        <v/>
      </c>
      <c r="AI43" s="162">
        <f t="shared" si="4"/>
        <v>0</v>
      </c>
      <c r="AJ43" s="162">
        <f t="shared" si="4"/>
        <v>0</v>
      </c>
      <c r="AK43" s="162">
        <f t="shared" si="4"/>
        <v>0</v>
      </c>
      <c r="AL43" s="162">
        <f t="shared" si="4"/>
        <v>0</v>
      </c>
      <c r="AM43" s="162">
        <f t="shared" si="4"/>
        <v>0</v>
      </c>
    </row>
    <row r="44" spans="2:39" s="25" customFormat="1" ht="14.25" customHeight="1">
      <c r="B44" s="154" t="s">
        <v>29</v>
      </c>
      <c r="C44" s="155">
        <f>'Daily &amp; Weekly Totals'!E58</f>
        <v>43958</v>
      </c>
      <c r="D44" s="160"/>
      <c r="E44" s="161" t="str">
        <f>IF(Friedman!J41=0,"",Friedman!J41)</f>
        <v/>
      </c>
      <c r="F44" s="161" t="str">
        <f>IF(Friedman!N41=0,"",Friedman!N41)</f>
        <v/>
      </c>
      <c r="G44" s="161" t="str">
        <f>IF(Friedman!R41=0,"",Friedman!R41)</f>
        <v/>
      </c>
      <c r="H44" s="161" t="str">
        <f>IF(Friedman!V41=0,"",Friedman!V41)</f>
        <v/>
      </c>
      <c r="I44" s="161" t="str">
        <f>IF(Friedman!Z41=0,"",Friedman!Z41)</f>
        <v/>
      </c>
      <c r="J44" s="161" t="str">
        <f>IF(Friedman!AD41=0,"",Friedman!AD41)</f>
        <v/>
      </c>
      <c r="K44" s="161" t="str">
        <f>IF(Friedman!AH41=0,"",Friedman!AH41)</f>
        <v/>
      </c>
      <c r="L44" s="161" t="str">
        <f>IF(Friedman!AL41=0,"",Friedman!AL41)</f>
        <v/>
      </c>
      <c r="M44" s="161" t="str">
        <f>IF(Friedman!AP41=0,"",Friedman!AP41)</f>
        <v/>
      </c>
      <c r="N44" s="161" t="str">
        <f>IF(Friedman!AT41=0,"",Friedman!AT41)</f>
        <v/>
      </c>
      <c r="O44" s="161" t="str">
        <f>IF(Friedman!AX41=0,"",Friedman!AX41)</f>
        <v/>
      </c>
      <c r="P44" s="161" t="str">
        <f>IF(Friedman!BB41=0,"",Friedman!BB41)</f>
        <v/>
      </c>
      <c r="Q44" s="161" t="str">
        <f>IF(Friedman!BF41=0,"",Friedman!BF41)</f>
        <v/>
      </c>
      <c r="R44" s="161" t="str">
        <f>IF(Friedman!BJ41=0,"",Friedman!BJ41)</f>
        <v/>
      </c>
      <c r="S44" s="161" t="str">
        <f>IF(Friedman!BN41=0,"",Friedman!BN41)</f>
        <v/>
      </c>
      <c r="T44" s="161" t="str">
        <f>IF(Friedman!BR41=0,"",Friedman!BR41)</f>
        <v/>
      </c>
      <c r="U44" s="161" t="str">
        <f>IF(Friedman!BV41=0,"",Friedman!BV41)</f>
        <v/>
      </c>
      <c r="V44" s="161" t="str">
        <f>IF(Friedman!BZ41=0,"",Friedman!BZ41)</f>
        <v/>
      </c>
      <c r="W44" s="161" t="str">
        <f>IF(Friedman!CD41=0,"",Friedman!CD41)</f>
        <v/>
      </c>
      <c r="X44" s="161" t="str">
        <f>IF(Friedman!CH41=0,"",Friedman!CH41)</f>
        <v/>
      </c>
      <c r="Y44" s="10"/>
      <c r="Z44" s="10"/>
      <c r="AA44" s="10"/>
      <c r="AB44" s="10"/>
      <c r="AC44" s="10"/>
      <c r="AD44" s="10"/>
      <c r="AE44" s="10"/>
      <c r="AF44" s="10"/>
      <c r="AG44" s="161" t="str">
        <f>IF(Friedman!E41=0,"",Friedman!E41)</f>
        <v/>
      </c>
      <c r="AI44" s="162">
        <f t="shared" si="4"/>
        <v>0</v>
      </c>
      <c r="AJ44" s="162">
        <f t="shared" si="4"/>
        <v>0</v>
      </c>
      <c r="AK44" s="162">
        <f t="shared" si="4"/>
        <v>0</v>
      </c>
      <c r="AL44" s="162">
        <f t="shared" si="4"/>
        <v>0</v>
      </c>
      <c r="AM44" s="162">
        <f t="shared" si="4"/>
        <v>0</v>
      </c>
    </row>
    <row r="45" spans="2:39" s="25" customFormat="1" ht="14.25" customHeight="1">
      <c r="B45" s="154" t="s">
        <v>30</v>
      </c>
      <c r="C45" s="155">
        <f>'Daily &amp; Weekly Totals'!E59</f>
        <v>43959</v>
      </c>
      <c r="D45" s="160"/>
      <c r="E45" s="161" t="str">
        <f>IF(Friedman!J42=0,"",Friedman!J42)</f>
        <v/>
      </c>
      <c r="F45" s="161" t="str">
        <f>IF(Friedman!N42=0,"",Friedman!N42)</f>
        <v/>
      </c>
      <c r="G45" s="161" t="str">
        <f>IF(Friedman!R42=0,"",Friedman!R42)</f>
        <v/>
      </c>
      <c r="H45" s="161" t="str">
        <f>IF(Friedman!V42=0,"",Friedman!V42)</f>
        <v/>
      </c>
      <c r="I45" s="161" t="str">
        <f>IF(Friedman!Z42=0,"",Friedman!Z42)</f>
        <v/>
      </c>
      <c r="J45" s="161" t="str">
        <f>IF(Friedman!AD42=0,"",Friedman!AD42)</f>
        <v/>
      </c>
      <c r="K45" s="161" t="str">
        <f>IF(Friedman!AH42=0,"",Friedman!AH42)</f>
        <v/>
      </c>
      <c r="L45" s="161" t="str">
        <f>IF(Friedman!AL42=0,"",Friedman!AL42)</f>
        <v/>
      </c>
      <c r="M45" s="161" t="str">
        <f>IF(Friedman!AP42=0,"",Friedman!AP42)</f>
        <v/>
      </c>
      <c r="N45" s="161" t="str">
        <f>IF(Friedman!AT42=0,"",Friedman!AT42)</f>
        <v/>
      </c>
      <c r="O45" s="161" t="str">
        <f>IF(Friedman!AX42=0,"",Friedman!AX42)</f>
        <v/>
      </c>
      <c r="P45" s="161" t="str">
        <f>IF(Friedman!BB42=0,"",Friedman!BB42)</f>
        <v/>
      </c>
      <c r="Q45" s="161" t="str">
        <f>IF(Friedman!BF42=0,"",Friedman!BF42)</f>
        <v/>
      </c>
      <c r="R45" s="161" t="str">
        <f>IF(Friedman!BJ42=0,"",Friedman!BJ42)</f>
        <v/>
      </c>
      <c r="S45" s="161" t="str">
        <f>IF(Friedman!BN42=0,"",Friedman!BN42)</f>
        <v/>
      </c>
      <c r="T45" s="161" t="str">
        <f>IF(Friedman!BR42=0,"",Friedman!BR42)</f>
        <v/>
      </c>
      <c r="U45" s="161" t="str">
        <f>IF(Friedman!BV42=0,"",Friedman!BV42)</f>
        <v/>
      </c>
      <c r="V45" s="161" t="str">
        <f>IF(Friedman!BZ42=0,"",Friedman!BZ42)</f>
        <v/>
      </c>
      <c r="W45" s="161" t="str">
        <f>IF(Friedman!CD42=0,"",Friedman!CD42)</f>
        <v/>
      </c>
      <c r="X45" s="161" t="str">
        <f>IF(Friedman!CH42=0,"",Friedman!CH42)</f>
        <v/>
      </c>
      <c r="Y45" s="10"/>
      <c r="Z45" s="10"/>
      <c r="AA45" s="10"/>
      <c r="AB45" s="10"/>
      <c r="AC45" s="10"/>
      <c r="AD45" s="10"/>
      <c r="AE45" s="10"/>
      <c r="AF45" s="10"/>
      <c r="AG45" s="161" t="str">
        <f>IF(Friedman!E42=0,"",Friedman!E42)</f>
        <v/>
      </c>
      <c r="AI45" s="162">
        <f t="shared" si="4"/>
        <v>0</v>
      </c>
      <c r="AJ45" s="162">
        <f t="shared" si="4"/>
        <v>0</v>
      </c>
      <c r="AK45" s="162">
        <f t="shared" si="4"/>
        <v>0</v>
      </c>
      <c r="AL45" s="162">
        <f t="shared" si="4"/>
        <v>0</v>
      </c>
      <c r="AM45" s="162">
        <f t="shared" si="4"/>
        <v>0</v>
      </c>
    </row>
    <row r="46" spans="2:39" s="25" customFormat="1" ht="14.25" customHeight="1">
      <c r="B46" s="154" t="s">
        <v>31</v>
      </c>
      <c r="C46" s="155">
        <f>'Daily &amp; Weekly Totals'!E60</f>
        <v>43960</v>
      </c>
      <c r="D46" s="160"/>
      <c r="E46" s="161" t="str">
        <f>IF(Friedman!J43=0,"",Friedman!J43)</f>
        <v/>
      </c>
      <c r="F46" s="161" t="str">
        <f>IF(Friedman!N43=0,"",Friedman!N43)</f>
        <v/>
      </c>
      <c r="G46" s="161" t="str">
        <f>IF(Friedman!R43=0,"",Friedman!R43)</f>
        <v/>
      </c>
      <c r="H46" s="161" t="str">
        <f>IF(Friedman!V43=0,"",Friedman!V43)</f>
        <v/>
      </c>
      <c r="I46" s="161" t="str">
        <f>IF(Friedman!Z43=0,"",Friedman!Z43)</f>
        <v/>
      </c>
      <c r="J46" s="161" t="str">
        <f>IF(Friedman!AD43=0,"",Friedman!AD43)</f>
        <v/>
      </c>
      <c r="K46" s="161" t="str">
        <f>IF(Friedman!AH43=0,"",Friedman!AH43)</f>
        <v/>
      </c>
      <c r="L46" s="161" t="str">
        <f>IF(Friedman!AL43=0,"",Friedman!AL43)</f>
        <v/>
      </c>
      <c r="M46" s="161" t="str">
        <f>IF(Friedman!AP43=0,"",Friedman!AP43)</f>
        <v/>
      </c>
      <c r="N46" s="161" t="str">
        <f>IF(Friedman!AT43=0,"",Friedman!AT43)</f>
        <v/>
      </c>
      <c r="O46" s="161" t="str">
        <f>IF(Friedman!AX43=0,"",Friedman!AX43)</f>
        <v/>
      </c>
      <c r="P46" s="161" t="str">
        <f>IF(Friedman!BB43=0,"",Friedman!BB43)</f>
        <v/>
      </c>
      <c r="Q46" s="161" t="str">
        <f>IF(Friedman!BF43=0,"",Friedman!BF43)</f>
        <v/>
      </c>
      <c r="R46" s="161" t="str">
        <f>IF(Friedman!BJ43=0,"",Friedman!BJ43)</f>
        <v/>
      </c>
      <c r="S46" s="161" t="str">
        <f>IF(Friedman!BN43=0,"",Friedman!BN43)</f>
        <v/>
      </c>
      <c r="T46" s="161" t="str">
        <f>IF(Friedman!BR43=0,"",Friedman!BR43)</f>
        <v/>
      </c>
      <c r="U46" s="161" t="str">
        <f>IF(Friedman!BV43=0,"",Friedman!BV43)</f>
        <v/>
      </c>
      <c r="V46" s="161" t="str">
        <f>IF(Friedman!BZ43=0,"",Friedman!BZ43)</f>
        <v/>
      </c>
      <c r="W46" s="161" t="str">
        <f>IF(Friedman!CD43=0,"",Friedman!CD43)</f>
        <v/>
      </c>
      <c r="X46" s="161" t="str">
        <f>IF(Friedman!CH43=0,"",Friedman!CH43)</f>
        <v/>
      </c>
      <c r="Y46" s="10"/>
      <c r="Z46" s="10"/>
      <c r="AA46" s="10"/>
      <c r="AB46" s="10"/>
      <c r="AC46" s="10"/>
      <c r="AD46" s="10"/>
      <c r="AE46" s="10"/>
      <c r="AF46" s="10"/>
      <c r="AG46" s="161" t="str">
        <f>IF(Friedman!E43=0,"",Friedman!E43)</f>
        <v/>
      </c>
      <c r="AI46" s="162">
        <f t="shared" si="4"/>
        <v>0</v>
      </c>
      <c r="AJ46" s="162">
        <f t="shared" si="4"/>
        <v>0</v>
      </c>
      <c r="AK46" s="162">
        <f t="shared" si="4"/>
        <v>0</v>
      </c>
      <c r="AL46" s="162">
        <f t="shared" si="4"/>
        <v>0</v>
      </c>
      <c r="AM46" s="162">
        <f t="shared" si="4"/>
        <v>0</v>
      </c>
    </row>
    <row r="47" spans="2:39" s="25" customFormat="1" ht="14.25" customHeight="1">
      <c r="B47" s="154" t="s">
        <v>32</v>
      </c>
      <c r="C47" s="155">
        <f>'Daily &amp; Weekly Totals'!E61</f>
        <v>43961</v>
      </c>
      <c r="D47" s="160"/>
      <c r="E47" s="161" t="str">
        <f>IF(Friedman!J44=0,"",Friedman!J44)</f>
        <v/>
      </c>
      <c r="F47" s="161" t="str">
        <f>IF(Friedman!N44=0,"",Friedman!N44)</f>
        <v/>
      </c>
      <c r="G47" s="161" t="str">
        <f>IF(Friedman!R44=0,"",Friedman!R44)</f>
        <v/>
      </c>
      <c r="H47" s="161" t="str">
        <f>IF(Friedman!V44=0,"",Friedman!V44)</f>
        <v/>
      </c>
      <c r="I47" s="161" t="str">
        <f>IF(Friedman!Z44=0,"",Friedman!Z44)</f>
        <v/>
      </c>
      <c r="J47" s="161" t="str">
        <f>IF(Friedman!AD44=0,"",Friedman!AD44)</f>
        <v/>
      </c>
      <c r="K47" s="161" t="str">
        <f>IF(Friedman!AH44=0,"",Friedman!AH44)</f>
        <v/>
      </c>
      <c r="L47" s="161" t="str">
        <f>IF(Friedman!AL44=0,"",Friedman!AL44)</f>
        <v/>
      </c>
      <c r="M47" s="161" t="str">
        <f>IF(Friedman!AP44=0,"",Friedman!AP44)</f>
        <v/>
      </c>
      <c r="N47" s="161" t="str">
        <f>IF(Friedman!AT44=0,"",Friedman!AT44)</f>
        <v/>
      </c>
      <c r="O47" s="161" t="str">
        <f>IF(Friedman!AX44=0,"",Friedman!AX44)</f>
        <v/>
      </c>
      <c r="P47" s="161" t="str">
        <f>IF(Friedman!BB44=0,"",Friedman!BB44)</f>
        <v/>
      </c>
      <c r="Q47" s="161" t="str">
        <f>IF(Friedman!BF44=0,"",Friedman!BF44)</f>
        <v/>
      </c>
      <c r="R47" s="161" t="str">
        <f>IF(Friedman!BJ44=0,"",Friedman!BJ44)</f>
        <v/>
      </c>
      <c r="S47" s="161" t="str">
        <f>IF(Friedman!BN44=0,"",Friedman!BN44)</f>
        <v/>
      </c>
      <c r="T47" s="161" t="str">
        <f>IF(Friedman!BR44=0,"",Friedman!BR44)</f>
        <v/>
      </c>
      <c r="U47" s="161" t="str">
        <f>IF(Friedman!BV44=0,"",Friedman!BV44)</f>
        <v/>
      </c>
      <c r="V47" s="161" t="str">
        <f>IF(Friedman!BZ44=0,"",Friedman!BZ44)</f>
        <v/>
      </c>
      <c r="W47" s="161" t="str">
        <f>IF(Friedman!CD44=0,"",Friedman!CD44)</f>
        <v/>
      </c>
      <c r="X47" s="161" t="str">
        <f>IF(Friedman!CH44=0,"",Friedman!CH44)</f>
        <v/>
      </c>
      <c r="Y47" s="10"/>
      <c r="Z47" s="10"/>
      <c r="AA47" s="10"/>
      <c r="AB47" s="10"/>
      <c r="AC47" s="10"/>
      <c r="AD47" s="10"/>
      <c r="AE47" s="10"/>
      <c r="AF47" s="10"/>
      <c r="AG47" s="161" t="str">
        <f>IF(Friedman!E44=0,"",Friedman!E44)</f>
        <v/>
      </c>
      <c r="AI47" s="162">
        <f t="shared" si="4"/>
        <v>0</v>
      </c>
      <c r="AJ47" s="162">
        <f t="shared" si="4"/>
        <v>0</v>
      </c>
      <c r="AK47" s="162">
        <f t="shared" si="4"/>
        <v>0</v>
      </c>
      <c r="AL47" s="162">
        <f t="shared" si="4"/>
        <v>0</v>
      </c>
      <c r="AM47" s="162">
        <f t="shared" si="4"/>
        <v>0</v>
      </c>
    </row>
    <row r="48" spans="2:39" s="25" customFormat="1" ht="14.25" customHeight="1">
      <c r="E48" s="156"/>
      <c r="F48" s="156"/>
      <c r="G48" s="156"/>
      <c r="H48" s="156"/>
    </row>
    <row r="49" spans="5:8" s="25" customFormat="1" ht="14.25" customHeight="1">
      <c r="E49" s="156"/>
      <c r="F49" s="156"/>
      <c r="G49" s="156"/>
      <c r="H49" s="156"/>
    </row>
    <row r="50" spans="5:8" s="25" customFormat="1" ht="14.25" customHeight="1">
      <c r="E50" s="156"/>
      <c r="F50" s="156"/>
      <c r="G50" s="156"/>
      <c r="H50" s="156"/>
    </row>
    <row r="51" spans="5:8" s="25" customFormat="1" ht="14.25" customHeight="1">
      <c r="E51" s="156"/>
      <c r="F51" s="156"/>
      <c r="G51" s="156"/>
      <c r="H51" s="156"/>
    </row>
    <row r="52" spans="5:8" s="25" customFormat="1" ht="14.25" customHeight="1">
      <c r="E52" s="156"/>
      <c r="F52" s="156"/>
      <c r="G52" s="156"/>
      <c r="H52" s="156"/>
    </row>
    <row r="53" spans="5:8" s="25" customFormat="1" ht="14.25" customHeight="1">
      <c r="E53" s="156"/>
      <c r="F53" s="156"/>
      <c r="G53" s="156"/>
      <c r="H53" s="156"/>
    </row>
    <row r="54" spans="5:8" s="25" customFormat="1" ht="14.25" customHeight="1">
      <c r="E54" s="156"/>
      <c r="F54" s="156"/>
      <c r="G54" s="156"/>
      <c r="H54" s="156"/>
    </row>
    <row r="55" spans="5:8" s="25" customFormat="1" ht="14.25" customHeight="1">
      <c r="E55" s="156"/>
      <c r="F55" s="156"/>
      <c r="G55" s="156"/>
      <c r="H55" s="156"/>
    </row>
    <row r="56" spans="5:8" s="25" customFormat="1" ht="14.25" customHeight="1">
      <c r="E56" s="156"/>
      <c r="F56" s="156"/>
      <c r="G56" s="156"/>
      <c r="H56" s="156"/>
    </row>
    <row r="57" spans="5:8" s="25" customFormat="1" ht="14.25" customHeight="1">
      <c r="E57" s="156"/>
      <c r="F57" s="156"/>
      <c r="G57" s="156"/>
      <c r="H57" s="156"/>
    </row>
    <row r="58" spans="5:8" s="25" customFormat="1" ht="14.25" customHeight="1">
      <c r="E58" s="156"/>
      <c r="F58" s="156"/>
      <c r="G58" s="156"/>
      <c r="H58" s="156"/>
    </row>
    <row r="59" spans="5:8" s="25" customFormat="1" ht="14.25" customHeight="1">
      <c r="E59" s="156"/>
      <c r="F59" s="156"/>
      <c r="G59" s="156"/>
      <c r="H59" s="156"/>
    </row>
    <row r="60" spans="5:8" s="25" customFormat="1" ht="14.25" customHeight="1">
      <c r="E60" s="156"/>
      <c r="F60" s="156"/>
      <c r="G60" s="156"/>
      <c r="H60" s="156"/>
    </row>
    <row r="61" spans="5:8" s="25" customFormat="1" ht="14.25" customHeight="1">
      <c r="E61" s="156"/>
      <c r="F61" s="156"/>
      <c r="G61" s="156"/>
      <c r="H61" s="156"/>
    </row>
    <row r="62" spans="5:8" s="25" customFormat="1" ht="14.25" customHeight="1">
      <c r="E62" s="156"/>
      <c r="F62" s="156"/>
      <c r="G62" s="156"/>
      <c r="H62" s="156"/>
    </row>
    <row r="63" spans="5:8" s="25" customFormat="1" ht="14.25" customHeight="1">
      <c r="E63" s="156"/>
      <c r="F63" s="156"/>
      <c r="G63" s="156"/>
      <c r="H63" s="156"/>
    </row>
    <row r="64" spans="5:8" s="25" customFormat="1" ht="14.25" customHeight="1">
      <c r="E64" s="156"/>
      <c r="F64" s="156"/>
      <c r="G64" s="156"/>
      <c r="H64" s="156"/>
    </row>
    <row r="65" spans="5:8" s="25" customFormat="1" ht="14.25" customHeight="1">
      <c r="E65" s="156"/>
      <c r="F65" s="156"/>
      <c r="G65" s="156"/>
      <c r="H65" s="156"/>
    </row>
    <row r="66" spans="5:8" s="25" customFormat="1" ht="14.25" customHeight="1">
      <c r="E66" s="156"/>
      <c r="F66" s="156"/>
      <c r="G66" s="156"/>
      <c r="H66" s="156"/>
    </row>
    <row r="67" spans="5:8" s="25" customFormat="1" ht="14.25" customHeight="1">
      <c r="E67" s="156"/>
      <c r="F67" s="156"/>
      <c r="G67" s="156"/>
      <c r="H67" s="156"/>
    </row>
    <row r="68" spans="5:8" s="25" customFormat="1" ht="14.25" customHeight="1">
      <c r="E68" s="156"/>
      <c r="F68" s="156"/>
      <c r="G68" s="156"/>
      <c r="H68" s="156"/>
    </row>
    <row r="69" spans="5:8" s="25" customFormat="1" ht="14.25" customHeight="1">
      <c r="E69" s="156"/>
      <c r="F69" s="156"/>
      <c r="G69" s="156"/>
      <c r="H69" s="156"/>
    </row>
    <row r="70" spans="5:8" s="25" customFormat="1" ht="14.25" customHeight="1">
      <c r="E70" s="156"/>
      <c r="F70" s="156"/>
      <c r="G70" s="156"/>
      <c r="H70" s="156"/>
    </row>
    <row r="71" spans="5:8" s="25" customFormat="1" ht="14.25" customHeight="1">
      <c r="E71" s="156"/>
      <c r="F71" s="156"/>
      <c r="G71" s="156"/>
      <c r="H71" s="156"/>
    </row>
    <row r="72" spans="5:8" s="25" customFormat="1" ht="14.25" customHeight="1">
      <c r="E72" s="156"/>
      <c r="F72" s="156"/>
      <c r="G72" s="156"/>
      <c r="H72" s="156"/>
    </row>
    <row r="73" spans="5:8" s="25" customFormat="1" ht="14.25" customHeight="1">
      <c r="E73" s="156"/>
      <c r="F73" s="156"/>
      <c r="G73" s="156"/>
      <c r="H73" s="156"/>
    </row>
    <row r="74" spans="5:8" s="25" customFormat="1" ht="14.25" customHeight="1">
      <c r="E74" s="156"/>
      <c r="F74" s="156"/>
      <c r="G74" s="156"/>
      <c r="H74" s="156"/>
    </row>
    <row r="75" spans="5:8" s="25" customFormat="1" ht="14.25" customHeight="1">
      <c r="E75" s="156"/>
      <c r="F75" s="156"/>
      <c r="G75" s="156"/>
      <c r="H75" s="156"/>
    </row>
    <row r="76" spans="5:8" s="25" customFormat="1" ht="14.25" customHeight="1">
      <c r="E76" s="156"/>
      <c r="F76" s="156"/>
      <c r="G76" s="156"/>
      <c r="H76" s="156"/>
    </row>
    <row r="77" spans="5:8" s="25" customFormat="1" ht="14.25" customHeight="1">
      <c r="E77" s="156"/>
      <c r="F77" s="156"/>
      <c r="G77" s="156"/>
      <c r="H77" s="156"/>
    </row>
    <row r="78" spans="5:8" s="25" customFormat="1" ht="14.25" customHeight="1">
      <c r="E78" s="156"/>
      <c r="F78" s="156"/>
      <c r="G78" s="156"/>
      <c r="H78" s="156"/>
    </row>
    <row r="79" spans="5:8" s="25" customFormat="1" ht="14.25" customHeight="1">
      <c r="E79" s="156"/>
      <c r="F79" s="156"/>
      <c r="G79" s="156"/>
      <c r="H79" s="156"/>
    </row>
    <row r="80" spans="5:8" s="25" customFormat="1" ht="14.25" customHeight="1">
      <c r="E80" s="156"/>
      <c r="F80" s="156"/>
      <c r="G80" s="156"/>
      <c r="H80" s="156"/>
    </row>
    <row r="81" spans="5:8" s="25" customFormat="1" ht="14.25" customHeight="1">
      <c r="E81" s="156"/>
      <c r="F81" s="156"/>
      <c r="G81" s="156"/>
      <c r="H81" s="156"/>
    </row>
    <row r="82" spans="5:8" s="25" customFormat="1" ht="14.25" customHeight="1">
      <c r="E82" s="156"/>
      <c r="F82" s="156"/>
      <c r="G82" s="156"/>
      <c r="H82" s="156"/>
    </row>
    <row r="83" spans="5:8" s="25" customFormat="1" ht="14.25" customHeight="1">
      <c r="E83" s="156"/>
      <c r="F83" s="156"/>
      <c r="G83" s="156"/>
      <c r="H83" s="156"/>
    </row>
    <row r="84" spans="5:8" s="25" customFormat="1" ht="14.25" customHeight="1">
      <c r="E84" s="156"/>
      <c r="F84" s="156"/>
      <c r="G84" s="156"/>
      <c r="H84" s="156"/>
    </row>
    <row r="85" spans="5:8" s="25" customFormat="1" ht="14.25" customHeight="1">
      <c r="E85" s="156"/>
      <c r="F85" s="156"/>
      <c r="G85" s="156"/>
      <c r="H85" s="156"/>
    </row>
    <row r="86" spans="5:8" s="25" customFormat="1" ht="14.25" customHeight="1">
      <c r="E86" s="156"/>
      <c r="F86" s="156"/>
      <c r="G86" s="156"/>
      <c r="H86" s="156"/>
    </row>
    <row r="87" spans="5:8" s="25" customFormat="1" ht="14.25" customHeight="1">
      <c r="E87" s="156"/>
      <c r="F87" s="156"/>
      <c r="G87" s="156"/>
      <c r="H87" s="156"/>
    </row>
    <row r="88" spans="5:8" s="25" customFormat="1" ht="14.25" customHeight="1">
      <c r="E88" s="156"/>
      <c r="F88" s="156"/>
      <c r="G88" s="156"/>
      <c r="H88" s="156"/>
    </row>
    <row r="89" spans="5:8" s="25" customFormat="1" ht="14.25" customHeight="1">
      <c r="E89" s="156"/>
      <c r="F89" s="156"/>
      <c r="G89" s="156"/>
      <c r="H89" s="156"/>
    </row>
    <row r="90" spans="5:8" s="25" customFormat="1" ht="14.25" customHeight="1">
      <c r="E90" s="156"/>
      <c r="F90" s="156"/>
      <c r="G90" s="156"/>
      <c r="H90" s="156"/>
    </row>
    <row r="91" spans="5:8" s="25" customFormat="1" ht="14.25" customHeight="1">
      <c r="E91" s="156"/>
      <c r="F91" s="156"/>
      <c r="G91" s="156"/>
      <c r="H91" s="156"/>
    </row>
    <row r="92" spans="5:8" s="25" customFormat="1" ht="14.25" customHeight="1">
      <c r="E92" s="156"/>
      <c r="F92" s="156"/>
      <c r="G92" s="156"/>
      <c r="H92" s="156"/>
    </row>
    <row r="93" spans="5:8" s="25" customFormat="1" ht="14.25" customHeight="1">
      <c r="E93" s="156"/>
      <c r="F93" s="156"/>
      <c r="G93" s="156"/>
      <c r="H93" s="156"/>
    </row>
    <row r="94" spans="5:8" s="25" customFormat="1" ht="14.25" customHeight="1">
      <c r="E94" s="156"/>
      <c r="F94" s="156"/>
      <c r="G94" s="156"/>
      <c r="H94" s="156"/>
    </row>
    <row r="95" spans="5:8" s="25" customFormat="1" ht="14.25" customHeight="1">
      <c r="E95" s="156"/>
      <c r="F95" s="156"/>
      <c r="G95" s="156"/>
      <c r="H95" s="156"/>
    </row>
    <row r="96" spans="5:8" s="25" customFormat="1" ht="14.25" customHeight="1">
      <c r="E96" s="156"/>
      <c r="F96" s="156"/>
      <c r="G96" s="156"/>
      <c r="H96" s="156"/>
    </row>
    <row r="97" spans="5:8" s="25" customFormat="1" ht="14.25" customHeight="1">
      <c r="E97" s="156"/>
      <c r="F97" s="156"/>
      <c r="G97" s="156"/>
      <c r="H97" s="156"/>
    </row>
    <row r="98" spans="5:8" s="25" customFormat="1" ht="14.25" customHeight="1">
      <c r="E98" s="156"/>
      <c r="F98" s="156"/>
      <c r="G98" s="156"/>
      <c r="H98" s="156"/>
    </row>
    <row r="99" spans="5:8" s="25" customFormat="1" ht="14.25" customHeight="1">
      <c r="E99" s="156"/>
      <c r="F99" s="156"/>
      <c r="G99" s="156"/>
      <c r="H99" s="156"/>
    </row>
    <row r="100" spans="5:8" s="25" customFormat="1" ht="14.25" customHeight="1">
      <c r="E100" s="156"/>
      <c r="F100" s="156"/>
      <c r="G100" s="156"/>
      <c r="H100" s="156"/>
    </row>
    <row r="101" spans="5:8" s="25" customFormat="1" ht="14.25" customHeight="1">
      <c r="E101" s="156"/>
      <c r="F101" s="156"/>
      <c r="G101" s="156"/>
      <c r="H101" s="156"/>
    </row>
    <row r="102" spans="5:8" s="25" customFormat="1" ht="14.25" customHeight="1">
      <c r="E102" s="156"/>
      <c r="F102" s="156"/>
      <c r="G102" s="156"/>
      <c r="H102" s="156"/>
    </row>
    <row r="103" spans="5:8" s="25" customFormat="1" ht="14.25" customHeight="1">
      <c r="E103" s="156"/>
      <c r="F103" s="156"/>
      <c r="G103" s="156"/>
      <c r="H103" s="156"/>
    </row>
    <row r="104" spans="5:8" s="25" customFormat="1" ht="14.25" customHeight="1">
      <c r="E104" s="156"/>
      <c r="F104" s="156"/>
      <c r="G104" s="156"/>
      <c r="H104" s="156"/>
    </row>
    <row r="105" spans="5:8" s="25" customFormat="1" ht="14.25" customHeight="1">
      <c r="E105" s="156"/>
      <c r="F105" s="156"/>
      <c r="G105" s="156"/>
      <c r="H105" s="156"/>
    </row>
    <row r="106" spans="5:8" s="25" customFormat="1" ht="14.25" customHeight="1">
      <c r="E106" s="156"/>
      <c r="F106" s="156"/>
      <c r="G106" s="156"/>
      <c r="H106" s="156"/>
    </row>
    <row r="107" spans="5:8" s="25" customFormat="1" ht="14.25" customHeight="1">
      <c r="E107" s="156"/>
      <c r="F107" s="156"/>
      <c r="G107" s="156"/>
      <c r="H107" s="156"/>
    </row>
    <row r="108" spans="5:8" s="25" customFormat="1" ht="14.25" customHeight="1">
      <c r="E108" s="156"/>
      <c r="F108" s="156"/>
      <c r="G108" s="156"/>
      <c r="H108" s="156"/>
    </row>
    <row r="109" spans="5:8" s="25" customFormat="1" ht="14.25" customHeight="1">
      <c r="E109" s="156"/>
      <c r="F109" s="156"/>
      <c r="G109" s="156"/>
      <c r="H109" s="156"/>
    </row>
    <row r="110" spans="5:8" s="25" customFormat="1" ht="14.25" customHeight="1">
      <c r="E110" s="156"/>
      <c r="F110" s="156"/>
      <c r="G110" s="156"/>
      <c r="H110" s="156"/>
    </row>
    <row r="111" spans="5:8" s="25" customFormat="1" ht="14.25" customHeight="1">
      <c r="E111" s="156"/>
      <c r="F111" s="156"/>
      <c r="G111" s="156"/>
      <c r="H111" s="156"/>
    </row>
    <row r="112" spans="5:8" s="25" customFormat="1" ht="14.25" customHeight="1">
      <c r="E112" s="156"/>
      <c r="F112" s="156"/>
      <c r="G112" s="156"/>
      <c r="H112" s="156"/>
    </row>
    <row r="113" spans="5:8" s="25" customFormat="1" ht="14.25" customHeight="1">
      <c r="E113" s="156"/>
      <c r="F113" s="156"/>
      <c r="G113" s="156"/>
      <c r="H113" s="156"/>
    </row>
    <row r="114" spans="5:8" s="25" customFormat="1" ht="14.25" customHeight="1">
      <c r="E114" s="156"/>
      <c r="F114" s="156"/>
      <c r="G114" s="156"/>
      <c r="H114" s="156"/>
    </row>
    <row r="115" spans="5:8" s="25" customFormat="1" ht="14.25" customHeight="1">
      <c r="E115" s="156"/>
      <c r="F115" s="156"/>
      <c r="G115" s="156"/>
      <c r="H115" s="156"/>
    </row>
    <row r="116" spans="5:8" s="25" customFormat="1" ht="14.25" customHeight="1">
      <c r="E116" s="156"/>
      <c r="F116" s="156"/>
      <c r="G116" s="156"/>
      <c r="H116" s="156"/>
    </row>
    <row r="117" spans="5:8" s="25" customFormat="1" ht="14.25" customHeight="1">
      <c r="E117" s="156"/>
      <c r="F117" s="156"/>
      <c r="G117" s="156"/>
      <c r="H117" s="156"/>
    </row>
    <row r="118" spans="5:8" s="25" customFormat="1" ht="14.25" customHeight="1">
      <c r="E118" s="156"/>
      <c r="F118" s="156"/>
      <c r="G118" s="156"/>
      <c r="H118" s="156"/>
    </row>
    <row r="119" spans="5:8" s="25" customFormat="1" ht="14.25" customHeight="1">
      <c r="E119" s="156"/>
      <c r="F119" s="156"/>
      <c r="G119" s="156"/>
      <c r="H119" s="156"/>
    </row>
    <row r="120" spans="5:8" s="25" customFormat="1" ht="14.25" customHeight="1">
      <c r="E120" s="156"/>
      <c r="F120" s="156"/>
      <c r="G120" s="156"/>
      <c r="H120" s="156"/>
    </row>
    <row r="121" spans="5:8" s="25" customFormat="1" ht="14.25" customHeight="1">
      <c r="E121" s="156"/>
      <c r="F121" s="156"/>
      <c r="G121" s="156"/>
      <c r="H121" s="156"/>
    </row>
    <row r="122" spans="5:8" s="25" customFormat="1" ht="14.25" customHeight="1">
      <c r="E122" s="156"/>
      <c r="F122" s="156"/>
      <c r="G122" s="156"/>
      <c r="H122" s="156"/>
    </row>
    <row r="123" spans="5:8" s="25" customFormat="1" ht="14.25" customHeight="1">
      <c r="E123" s="156"/>
      <c r="F123" s="156"/>
      <c r="G123" s="156"/>
      <c r="H123" s="156"/>
    </row>
    <row r="124" spans="5:8" s="25" customFormat="1" ht="14.25" customHeight="1">
      <c r="E124" s="156"/>
      <c r="F124" s="156"/>
      <c r="G124" s="156"/>
      <c r="H124" s="156"/>
    </row>
    <row r="125" spans="5:8" s="25" customFormat="1" ht="14.25" customHeight="1">
      <c r="E125" s="156"/>
      <c r="F125" s="156"/>
      <c r="G125" s="156"/>
      <c r="H125" s="156"/>
    </row>
    <row r="126" spans="5:8" s="25" customFormat="1" ht="14.25" customHeight="1">
      <c r="E126" s="156"/>
      <c r="F126" s="156"/>
      <c r="G126" s="156"/>
      <c r="H126" s="156"/>
    </row>
    <row r="127" spans="5:8" s="25" customFormat="1" ht="14.25" customHeight="1">
      <c r="E127" s="156"/>
      <c r="F127" s="156"/>
      <c r="G127" s="156"/>
      <c r="H127" s="156"/>
    </row>
    <row r="128" spans="5:8" s="25" customFormat="1" ht="14.25" customHeight="1">
      <c r="E128" s="156"/>
      <c r="F128" s="156"/>
      <c r="G128" s="156"/>
      <c r="H128" s="156"/>
    </row>
    <row r="129" spans="5:8" s="25" customFormat="1" ht="14.25" customHeight="1">
      <c r="E129" s="156"/>
      <c r="F129" s="156"/>
      <c r="G129" s="156"/>
      <c r="H129" s="156"/>
    </row>
    <row r="130" spans="5:8" s="25" customFormat="1" ht="14.25" customHeight="1">
      <c r="E130" s="156"/>
      <c r="F130" s="156"/>
      <c r="G130" s="156"/>
      <c r="H130" s="156"/>
    </row>
    <row r="131" spans="5:8" s="25" customFormat="1" ht="14.25" customHeight="1">
      <c r="E131" s="156"/>
      <c r="F131" s="156"/>
      <c r="G131" s="156"/>
      <c r="H131" s="156"/>
    </row>
    <row r="132" spans="5:8" s="25" customFormat="1" ht="14.25" customHeight="1">
      <c r="E132" s="156"/>
      <c r="F132" s="156"/>
      <c r="G132" s="156"/>
      <c r="H132" s="156"/>
    </row>
    <row r="133" spans="5:8" s="25" customFormat="1" ht="14.25" customHeight="1">
      <c r="E133" s="156"/>
      <c r="F133" s="156"/>
      <c r="G133" s="156"/>
      <c r="H133" s="156"/>
    </row>
    <row r="134" spans="5:8" s="25" customFormat="1" ht="14.25" customHeight="1">
      <c r="E134" s="156"/>
      <c r="F134" s="156"/>
      <c r="G134" s="156"/>
      <c r="H134" s="156"/>
    </row>
    <row r="135" spans="5:8" s="25" customFormat="1" ht="14.25" customHeight="1">
      <c r="E135" s="156"/>
      <c r="F135" s="156"/>
      <c r="G135" s="156"/>
      <c r="H135" s="156"/>
    </row>
    <row r="136" spans="5:8" s="25" customFormat="1" ht="14.25" customHeight="1">
      <c r="E136" s="156"/>
      <c r="F136" s="156"/>
      <c r="G136" s="156"/>
      <c r="H136" s="156"/>
    </row>
    <row r="137" spans="5:8" s="25" customFormat="1" ht="14.25" customHeight="1">
      <c r="E137" s="156"/>
      <c r="F137" s="156"/>
      <c r="G137" s="156"/>
      <c r="H137" s="156"/>
    </row>
    <row r="138" spans="5:8" s="25" customFormat="1" ht="14.25" customHeight="1">
      <c r="E138" s="156"/>
      <c r="F138" s="156"/>
      <c r="G138" s="156"/>
      <c r="H138" s="156"/>
    </row>
    <row r="139" spans="5:8" s="25" customFormat="1" ht="14.25" customHeight="1">
      <c r="E139" s="156"/>
      <c r="F139" s="156"/>
      <c r="G139" s="156"/>
      <c r="H139" s="156"/>
    </row>
    <row r="140" spans="5:8" s="25" customFormat="1" ht="14.25" customHeight="1">
      <c r="E140" s="156"/>
      <c r="F140" s="156"/>
      <c r="G140" s="156"/>
      <c r="H140" s="156"/>
    </row>
    <row r="141" spans="5:8" s="25" customFormat="1" ht="14.25" customHeight="1">
      <c r="E141" s="156"/>
      <c r="F141" s="156"/>
      <c r="G141" s="156"/>
      <c r="H141" s="156"/>
    </row>
    <row r="142" spans="5:8" s="25" customFormat="1" ht="14.25" customHeight="1">
      <c r="E142" s="156"/>
      <c r="F142" s="156"/>
      <c r="G142" s="156"/>
      <c r="H142" s="156"/>
    </row>
    <row r="143" spans="5:8" s="25" customFormat="1" ht="14.25" customHeight="1">
      <c r="E143" s="156"/>
      <c r="F143" s="156"/>
      <c r="G143" s="156"/>
      <c r="H143" s="156"/>
    </row>
    <row r="144" spans="5:8" s="25" customFormat="1" ht="14.25" customHeight="1">
      <c r="E144" s="156"/>
      <c r="F144" s="156"/>
      <c r="G144" s="156"/>
      <c r="H144" s="156"/>
    </row>
    <row r="145" spans="5:8" s="25" customFormat="1" ht="14.25" customHeight="1">
      <c r="E145" s="156"/>
      <c r="F145" s="156"/>
      <c r="G145" s="156"/>
      <c r="H145" s="156"/>
    </row>
    <row r="146" spans="5:8" s="25" customFormat="1" ht="14.25" customHeight="1">
      <c r="E146" s="156"/>
      <c r="F146" s="156"/>
      <c r="G146" s="156"/>
      <c r="H146" s="156"/>
    </row>
    <row r="147" spans="5:8" s="25" customFormat="1" ht="14.25" customHeight="1">
      <c r="E147" s="156"/>
      <c r="F147" s="156"/>
      <c r="G147" s="156"/>
      <c r="H147" s="156"/>
    </row>
    <row r="148" spans="5:8" s="25" customFormat="1" ht="14.25" customHeight="1">
      <c r="E148" s="156"/>
      <c r="F148" s="156"/>
      <c r="G148" s="156"/>
      <c r="H148" s="156"/>
    </row>
    <row r="149" spans="5:8" s="25" customFormat="1" ht="14.25" customHeight="1">
      <c r="E149" s="156"/>
      <c r="F149" s="156"/>
      <c r="G149" s="156"/>
      <c r="H149" s="156"/>
    </row>
    <row r="150" spans="5:8" s="25" customFormat="1" ht="14.25" customHeight="1">
      <c r="E150" s="156"/>
      <c r="F150" s="156"/>
      <c r="G150" s="156"/>
      <c r="H150" s="156"/>
    </row>
    <row r="151" spans="5:8" s="25" customFormat="1" ht="14.25" customHeight="1">
      <c r="E151" s="156"/>
      <c r="F151" s="156"/>
      <c r="G151" s="156"/>
      <c r="H151" s="156"/>
    </row>
    <row r="152" spans="5:8" s="25" customFormat="1" ht="14.25" customHeight="1">
      <c r="E152" s="156"/>
      <c r="F152" s="156"/>
      <c r="G152" s="156"/>
      <c r="H152" s="156"/>
    </row>
    <row r="153" spans="5:8" s="25" customFormat="1" ht="14.25" customHeight="1">
      <c r="E153" s="156"/>
      <c r="F153" s="156"/>
      <c r="G153" s="156"/>
      <c r="H153" s="156"/>
    </row>
    <row r="154" spans="5:8" s="25" customFormat="1" ht="14.25" customHeight="1">
      <c r="E154" s="156"/>
      <c r="F154" s="156"/>
      <c r="G154" s="156"/>
      <c r="H154" s="156"/>
    </row>
    <row r="155" spans="5:8" s="25" customFormat="1" ht="14.25" customHeight="1">
      <c r="E155" s="156"/>
      <c r="F155" s="156"/>
      <c r="G155" s="156"/>
      <c r="H155" s="156"/>
    </row>
    <row r="156" spans="5:8" s="25" customFormat="1" ht="14.25" customHeight="1">
      <c r="E156" s="156"/>
      <c r="F156" s="156"/>
      <c r="G156" s="156"/>
      <c r="H156" s="156"/>
    </row>
    <row r="157" spans="5:8" s="25" customFormat="1" ht="14.25" customHeight="1">
      <c r="E157" s="156"/>
      <c r="F157" s="156"/>
      <c r="G157" s="156"/>
      <c r="H157" s="156"/>
    </row>
    <row r="158" spans="5:8" s="25" customFormat="1" ht="14.25" customHeight="1">
      <c r="E158" s="156"/>
      <c r="F158" s="156"/>
      <c r="G158" s="156"/>
      <c r="H158" s="156"/>
    </row>
    <row r="159" spans="5:8" s="25" customFormat="1" ht="14.25" customHeight="1">
      <c r="E159" s="156"/>
      <c r="F159" s="156"/>
      <c r="G159" s="156"/>
      <c r="H159" s="156"/>
    </row>
    <row r="160" spans="5:8" s="25" customFormat="1" ht="14.25" customHeight="1">
      <c r="E160" s="156"/>
      <c r="F160" s="156"/>
      <c r="G160" s="156"/>
      <c r="H160" s="156"/>
    </row>
    <row r="161" spans="5:8" s="25" customFormat="1" ht="14.25" customHeight="1">
      <c r="E161" s="156"/>
      <c r="F161" s="156"/>
      <c r="G161" s="156"/>
      <c r="H161" s="156"/>
    </row>
    <row r="162" spans="5:8" s="25" customFormat="1" ht="14.25" customHeight="1">
      <c r="E162" s="156"/>
      <c r="F162" s="156"/>
      <c r="G162" s="156"/>
      <c r="H162" s="156"/>
    </row>
    <row r="163" spans="5:8" s="25" customFormat="1" ht="14.25" customHeight="1">
      <c r="E163" s="156"/>
      <c r="F163" s="156"/>
      <c r="G163" s="156"/>
      <c r="H163" s="156"/>
    </row>
    <row r="164" spans="5:8" s="25" customFormat="1" ht="14.25" customHeight="1">
      <c r="E164" s="156"/>
      <c r="F164" s="156"/>
      <c r="G164" s="156"/>
      <c r="H164" s="156"/>
    </row>
    <row r="165" spans="5:8" s="25" customFormat="1" ht="14.25" customHeight="1">
      <c r="E165" s="156"/>
      <c r="F165" s="156"/>
      <c r="G165" s="156"/>
      <c r="H165" s="156"/>
    </row>
    <row r="166" spans="5:8" s="25" customFormat="1" ht="14.25" customHeight="1">
      <c r="E166" s="156"/>
      <c r="F166" s="156"/>
      <c r="G166" s="156"/>
      <c r="H166" s="156"/>
    </row>
    <row r="167" spans="5:8" s="25" customFormat="1" ht="14.25" customHeight="1">
      <c r="E167" s="156"/>
      <c r="F167" s="156"/>
      <c r="G167" s="156"/>
      <c r="H167" s="156"/>
    </row>
    <row r="168" spans="5:8" s="25" customFormat="1" ht="14.25" customHeight="1">
      <c r="E168" s="156"/>
      <c r="F168" s="156"/>
      <c r="G168" s="156"/>
      <c r="H168" s="156"/>
    </row>
    <row r="169" spans="5:8" s="25" customFormat="1" ht="14.25" customHeight="1">
      <c r="E169" s="156"/>
      <c r="F169" s="156"/>
      <c r="G169" s="156"/>
      <c r="H169" s="156"/>
    </row>
    <row r="170" spans="5:8" s="25" customFormat="1" ht="14.25" customHeight="1">
      <c r="E170" s="156"/>
      <c r="F170" s="156"/>
      <c r="G170" s="156"/>
      <c r="H170" s="156"/>
    </row>
    <row r="171" spans="5:8" s="25" customFormat="1" ht="14.25" customHeight="1">
      <c r="E171" s="156"/>
      <c r="F171" s="156"/>
      <c r="G171" s="156"/>
      <c r="H171" s="156"/>
    </row>
    <row r="172" spans="5:8" s="25" customFormat="1" ht="14.25" customHeight="1">
      <c r="E172" s="156"/>
      <c r="F172" s="156"/>
      <c r="G172" s="156"/>
      <c r="H172" s="156"/>
    </row>
    <row r="173" spans="5:8" s="25" customFormat="1" ht="14.25" customHeight="1">
      <c r="E173" s="156"/>
      <c r="F173" s="156"/>
      <c r="G173" s="156"/>
      <c r="H173" s="156"/>
    </row>
    <row r="174" spans="5:8" s="25" customFormat="1" ht="14.25" customHeight="1">
      <c r="E174" s="156"/>
      <c r="F174" s="156"/>
      <c r="G174" s="156"/>
      <c r="H174" s="156"/>
    </row>
    <row r="175" spans="5:8" s="25" customFormat="1" ht="14.25" customHeight="1">
      <c r="E175" s="156"/>
      <c r="F175" s="156"/>
      <c r="G175" s="156"/>
      <c r="H175" s="156"/>
    </row>
  </sheetData>
  <sheetProtection sheet="1" objects="1" scenarios="1"/>
  <phoneticPr fontId="10" type="noConversion"/>
  <conditionalFormatting sqref="E4:AG4 AI6:AM48">
    <cfRule type="cellIs" dxfId="18" priority="1" stopIfTrue="1" operator="equal">
      <formula>0</formula>
    </cfRule>
  </conditionalFormatting>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AN175"/>
  <sheetViews>
    <sheetView topLeftCell="J1" zoomScale="90" zoomScaleNormal="90" workbookViewId="0">
      <selection activeCell="AN32" sqref="AN32"/>
    </sheetView>
  </sheetViews>
  <sheetFormatPr defaultColWidth="11.5703125" defaultRowHeight="14.25" customHeight="1"/>
  <cols>
    <col min="1" max="1" width="2.5703125" customWidth="1"/>
    <col min="4" max="4" width="2.42578125" customWidth="1"/>
    <col min="5" max="19" width="11.28515625" customWidth="1"/>
    <col min="25" max="32" width="0" hidden="1" customWidth="1"/>
    <col min="33" max="33" width="11.28515625" customWidth="1"/>
  </cols>
  <sheetData>
    <row r="1" spans="2:40" s="25" customFormat="1" ht="14.25" customHeight="1"/>
    <row r="2" spans="2:40" s="148" customFormat="1" ht="14.25" customHeight="1">
      <c r="B2" s="149">
        <f>'Daily &amp; Weekly Totals'!B5</f>
        <v>43922</v>
      </c>
      <c r="E2" s="150" t="str">
        <f>IF('Monthly Statistics'!E$5&gt;0,'Monthly Statistics'!E$5," ")</f>
        <v xml:space="preserve"> </v>
      </c>
      <c r="F2" s="150" t="str">
        <f>IF('Monthly Statistics'!F$5&gt;0,'Monthly Statistics'!F$5," ")</f>
        <v xml:space="preserve"> </v>
      </c>
      <c r="G2" s="150" t="str">
        <f>IF('Monthly Statistics'!G$5&gt;0,'Monthly Statistics'!G$5," ")</f>
        <v xml:space="preserve"> </v>
      </c>
      <c r="H2" s="150" t="str">
        <f>IF('Monthly Statistics'!H$5&gt;0,'Monthly Statistics'!H$5," ")</f>
        <v xml:space="preserve"> </v>
      </c>
      <c r="I2" s="150" t="str">
        <f>IF('Monthly Statistics'!I$5&gt;0,'Monthly Statistics'!I$5," ")</f>
        <v xml:space="preserve"> </v>
      </c>
      <c r="J2" s="150" t="str">
        <f>IF('Monthly Statistics'!J$5&gt;0,'Monthly Statistics'!J$5," ")</f>
        <v xml:space="preserve"> </v>
      </c>
      <c r="K2" s="150" t="str">
        <f>IF('Monthly Statistics'!K$5&gt;0,'Monthly Statistics'!K$5," ")</f>
        <v xml:space="preserve"> </v>
      </c>
      <c r="L2" s="150" t="str">
        <f>IF('Monthly Statistics'!L$5&gt;0,'Monthly Statistics'!L$5," ")</f>
        <v xml:space="preserve"> </v>
      </c>
      <c r="M2" s="150" t="str">
        <f>IF('Monthly Statistics'!M$5&gt;0,'Monthly Statistics'!M$5," ")</f>
        <v xml:space="preserve"> </v>
      </c>
      <c r="N2" s="150" t="str">
        <f>IF('Monthly Statistics'!N$5&gt;0,'Monthly Statistics'!N$5," ")</f>
        <v xml:space="preserve"> </v>
      </c>
      <c r="O2" s="150" t="str">
        <f>IF('Monthly Statistics'!O$5&gt;0,'Monthly Statistics'!O$5," ")</f>
        <v xml:space="preserve"> </v>
      </c>
      <c r="P2" s="150" t="str">
        <f>IF('Monthly Statistics'!P$5&gt;0,'Monthly Statistics'!P$5," ")</f>
        <v xml:space="preserve"> </v>
      </c>
      <c r="Q2" s="150" t="str">
        <f>IF('Monthly Statistics'!Q$5&gt;0,'Monthly Statistics'!Q$5," ")</f>
        <v xml:space="preserve"> </v>
      </c>
      <c r="R2" s="150" t="str">
        <f>IF('Monthly Statistics'!R$5&gt;0,'Monthly Statistics'!R$5," ")</f>
        <v xml:space="preserve"> </v>
      </c>
      <c r="S2" s="150" t="str">
        <f>IF('Monthly Statistics'!S$5&gt;0,'Monthly Statistics'!S$5," ")</f>
        <v xml:space="preserve"> </v>
      </c>
      <c r="T2" s="150" t="str">
        <f>IF('Monthly Statistics'!T$5&gt;0,'Monthly Statistics'!T$5," ")</f>
        <v xml:space="preserve"> </v>
      </c>
      <c r="U2" s="150" t="str">
        <f>IF('Monthly Statistics'!U$5&gt;0,'Monthly Statistics'!U$5," ")</f>
        <v xml:space="preserve"> </v>
      </c>
      <c r="V2" s="150" t="str">
        <f>IF('Monthly Statistics'!V$5&gt;0,'Monthly Statistics'!V$5," ")</f>
        <v xml:space="preserve"> </v>
      </c>
      <c r="W2" s="150" t="str">
        <f>IF('Monthly Statistics'!W$5&gt;0,'Monthly Statistics'!W$5," ")</f>
        <v xml:space="preserve"> </v>
      </c>
      <c r="X2" s="150" t="str">
        <f>IF('Monthly Statistics'!X$5&gt;0,'Monthly Statistics'!X$5," ")</f>
        <v xml:space="preserve"> </v>
      </c>
      <c r="Y2" s="149" t="e">
        <f>IF('Monthly Statistics'!Y$5&gt;0,'Monthly Statistics'!Y$5," ")</f>
        <v>#REF!</v>
      </c>
      <c r="Z2" s="152" t="e">
        <f>IF('Monthly Statistics'!Z$5&gt;0,'Monthly Statistics'!Z$5," ")</f>
        <v>#REF!</v>
      </c>
      <c r="AA2" s="152" t="e">
        <f>IF('Monthly Statistics'!AA$5&gt;0,'Monthly Statistics'!AA$5," ")</f>
        <v>#REF!</v>
      </c>
      <c r="AB2" s="152" t="e">
        <f>IF('Monthly Statistics'!AB$5&gt;0,'Monthly Statistics'!AB$5," ")</f>
        <v>#REF!</v>
      </c>
      <c r="AC2" s="152" t="e">
        <f>IF('Monthly Statistics'!AC$5&gt;0,'Monthly Statistics'!AC$5," ")</f>
        <v>#REF!</v>
      </c>
      <c r="AD2" s="152" t="e">
        <f>IF('Monthly Statistics'!AD$5&gt;0,'Monthly Statistics'!AD$5," ")</f>
        <v>#REF!</v>
      </c>
      <c r="AE2" s="152" t="e">
        <f>IF('Monthly Statistics'!AE$5&gt;0,'Monthly Statistics'!AE$5," ")</f>
        <v>#REF!</v>
      </c>
      <c r="AF2" s="152" t="e">
        <f>IF('Monthly Statistics'!AF$5&gt;0,'Monthly Statistics'!AF$5," ")</f>
        <v>#REF!</v>
      </c>
      <c r="AG2" s="152" t="str">
        <f>IF('Monthly Statistics'!AG$5&gt;0,'Monthly Statistics'!AG$5," ")</f>
        <v>Refunds From</v>
      </c>
    </row>
    <row r="3" spans="2:40" s="148" customFormat="1" ht="14.25" customHeight="1">
      <c r="B3" s="149">
        <f>'Daily &amp; Weekly Totals'!B6</f>
        <v>43951</v>
      </c>
      <c r="E3" s="152" t="str">
        <f>IF('Monthly Statistics'!E$5&gt;0,'Monthly Statistics'!E6," ")</f>
        <v xml:space="preserve"> </v>
      </c>
      <c r="F3" s="152" t="str">
        <f>IF('Monthly Statistics'!F$5&gt;0,'Monthly Statistics'!F6," ")</f>
        <v xml:space="preserve"> </v>
      </c>
      <c r="G3" s="152" t="str">
        <f>IF('Monthly Statistics'!G$5&gt;0,'Monthly Statistics'!G6," ")</f>
        <v xml:space="preserve"> </v>
      </c>
      <c r="H3" s="152" t="str">
        <f>IF('Monthly Statistics'!H$5&gt;0,'Monthly Statistics'!H6," ")</f>
        <v xml:space="preserve"> </v>
      </c>
      <c r="I3" s="152" t="str">
        <f>IF('Monthly Statistics'!I$5&gt;0,'Monthly Statistics'!I6," ")</f>
        <v xml:space="preserve"> </v>
      </c>
      <c r="J3" s="152" t="str">
        <f>IF('Monthly Statistics'!J$5&gt;0,'Monthly Statistics'!J6," ")</f>
        <v xml:space="preserve"> </v>
      </c>
      <c r="K3" s="152" t="str">
        <f>IF('Monthly Statistics'!K$5&gt;0,'Monthly Statistics'!K6," ")</f>
        <v xml:space="preserve"> </v>
      </c>
      <c r="L3" s="152" t="str">
        <f>IF('Monthly Statistics'!L$5&gt;0,'Monthly Statistics'!L6," ")</f>
        <v xml:space="preserve"> </v>
      </c>
      <c r="M3" s="152" t="str">
        <f>IF('Monthly Statistics'!M$5&gt;0,'Monthly Statistics'!M6," ")</f>
        <v xml:space="preserve"> </v>
      </c>
      <c r="N3" s="152" t="str">
        <f>IF('Monthly Statistics'!N$5&gt;0,'Monthly Statistics'!N6," ")</f>
        <v xml:space="preserve"> </v>
      </c>
      <c r="O3" s="152" t="str">
        <f>IF('Monthly Statistics'!O$5&gt;0,'Monthly Statistics'!O6," ")</f>
        <v xml:space="preserve"> </v>
      </c>
      <c r="P3" s="152" t="str">
        <f>IF('Monthly Statistics'!P$5&gt;0,'Monthly Statistics'!P6," ")</f>
        <v xml:space="preserve"> </v>
      </c>
      <c r="Q3" s="152" t="str">
        <f>IF('Monthly Statistics'!Q$5&gt;0,'Monthly Statistics'!Q6," ")</f>
        <v xml:space="preserve"> </v>
      </c>
      <c r="R3" s="152" t="str">
        <f>IF('Monthly Statistics'!R$5&gt;0,'Monthly Statistics'!R6," ")</f>
        <v xml:space="preserve"> </v>
      </c>
      <c r="S3" s="152" t="str">
        <f>IF('Monthly Statistics'!S$5&gt;0,'Monthly Statistics'!S6," ")</f>
        <v xml:space="preserve"> </v>
      </c>
      <c r="T3" s="152" t="str">
        <f>IF('Monthly Statistics'!T$5&gt;0,'Monthly Statistics'!T6," ")</f>
        <v xml:space="preserve"> </v>
      </c>
      <c r="U3" s="152" t="str">
        <f>IF('Monthly Statistics'!U$5&gt;0,'Monthly Statistics'!U6," ")</f>
        <v xml:space="preserve"> </v>
      </c>
      <c r="V3" s="152" t="str">
        <f>IF('Monthly Statistics'!V$5&gt;0,'Monthly Statistics'!V6," ")</f>
        <v xml:space="preserve"> </v>
      </c>
      <c r="W3" s="152" t="str">
        <f>IF('Monthly Statistics'!W$5&gt;0,'Monthly Statistics'!W6," ")</f>
        <v xml:space="preserve"> </v>
      </c>
      <c r="X3" s="152" t="str">
        <f>IF('Monthly Statistics'!X$5&gt;0,'Monthly Statistics'!X6," ")</f>
        <v xml:space="preserve"> </v>
      </c>
      <c r="Y3" s="152" t="e">
        <f>IF('Monthly Statistics'!Y$5&gt;0,'Monthly Statistics'!Y6," ")</f>
        <v>#REF!</v>
      </c>
      <c r="Z3" s="152" t="e">
        <f>IF('Monthly Statistics'!Z$5&gt;0,'Monthly Statistics'!Z6," ")</f>
        <v>#REF!</v>
      </c>
      <c r="AA3" s="152" t="e">
        <f>IF('Monthly Statistics'!AA$5&gt;0,'Monthly Statistics'!AA6," ")</f>
        <v>#REF!</v>
      </c>
      <c r="AB3" s="152" t="e">
        <f>IF('Monthly Statistics'!AB$5&gt;0,'Monthly Statistics'!AB6," ")</f>
        <v>#REF!</v>
      </c>
      <c r="AC3" s="152" t="e">
        <f>IF('Monthly Statistics'!AC$5&gt;0,'Monthly Statistics'!AC6," ")</f>
        <v>#REF!</v>
      </c>
      <c r="AD3" s="152" t="e">
        <f>IF('Monthly Statistics'!AD$5&gt;0,'Monthly Statistics'!AD6," ")</f>
        <v>#REF!</v>
      </c>
      <c r="AE3" s="152" t="e">
        <f>IF('Monthly Statistics'!AE$5&gt;0,'Monthly Statistics'!AE6," ")</f>
        <v>#REF!</v>
      </c>
      <c r="AF3" s="152" t="e">
        <f>IF('Monthly Statistics'!AF$5&gt;0,'Monthly Statistics'!AF6," ")</f>
        <v>#REF!</v>
      </c>
      <c r="AG3" s="152" t="str">
        <f>IF('Monthly Statistics'!AG$5&gt;0,'Monthly Statistics'!AG6," ")</f>
        <v>Other Stores</v>
      </c>
      <c r="AI3" s="149" t="s">
        <v>20</v>
      </c>
      <c r="AJ3" s="149" t="s">
        <v>21</v>
      </c>
      <c r="AK3" s="149" t="s">
        <v>22</v>
      </c>
      <c r="AL3" s="149" t="s">
        <v>23</v>
      </c>
      <c r="AM3" s="149" t="s">
        <v>24</v>
      </c>
      <c r="AN3" s="149" t="s">
        <v>166</v>
      </c>
    </row>
    <row r="4" spans="2:40" s="148" customFormat="1" ht="14.25" customHeight="1">
      <c r="E4" s="163">
        <f t="shared" ref="E4:X4" si="0">SUMIF($C$6:$C$47,"&gt;="&amp;$B$2,E6:E47)-SUMIF($C$6:$C$47,"&gt;"&amp;$B$3,E6:E47)</f>
        <v>0</v>
      </c>
      <c r="F4" s="163">
        <f t="shared" si="0"/>
        <v>0</v>
      </c>
      <c r="G4" s="163">
        <f t="shared" si="0"/>
        <v>0</v>
      </c>
      <c r="H4" s="163">
        <f t="shared" si="0"/>
        <v>0</v>
      </c>
      <c r="I4" s="163">
        <f t="shared" si="0"/>
        <v>0</v>
      </c>
      <c r="J4" s="163">
        <f t="shared" si="0"/>
        <v>0</v>
      </c>
      <c r="K4" s="163">
        <f t="shared" si="0"/>
        <v>0</v>
      </c>
      <c r="L4" s="163">
        <f t="shared" si="0"/>
        <v>0</v>
      </c>
      <c r="M4" s="163">
        <f t="shared" si="0"/>
        <v>0</v>
      </c>
      <c r="N4" s="163">
        <f t="shared" si="0"/>
        <v>0</v>
      </c>
      <c r="O4" s="163">
        <f t="shared" si="0"/>
        <v>0</v>
      </c>
      <c r="P4" s="163">
        <f t="shared" si="0"/>
        <v>0</v>
      </c>
      <c r="Q4" s="163">
        <f t="shared" si="0"/>
        <v>0</v>
      </c>
      <c r="R4" s="163">
        <f t="shared" si="0"/>
        <v>0</v>
      </c>
      <c r="S4" s="163">
        <f t="shared" si="0"/>
        <v>0</v>
      </c>
      <c r="T4" s="163">
        <f t="shared" si="0"/>
        <v>0</v>
      </c>
      <c r="U4" s="163">
        <f t="shared" si="0"/>
        <v>0</v>
      </c>
      <c r="V4" s="163">
        <f t="shared" si="0"/>
        <v>0</v>
      </c>
      <c r="W4" s="163">
        <f t="shared" si="0"/>
        <v>0</v>
      </c>
      <c r="X4" s="163">
        <f t="shared" si="0"/>
        <v>0</v>
      </c>
      <c r="Y4" s="153">
        <f t="array" ref="Y4">SUM(($C6:$C47&gt;=$B$2)*($C6:$C47&lt;=$B$3)*Y6:Y47)</f>
        <v>0</v>
      </c>
      <c r="Z4" s="153">
        <f t="array" ref="Z4">SUM(($C6:$C47&gt;=$B$2)*($C6:$C47&lt;=$B$3)*Z6:Z47)</f>
        <v>0</v>
      </c>
      <c r="AA4" s="153">
        <f t="array" ref="AA4">SUM(($C6:$C47&gt;=$B$2)*($C6:$C47&lt;=$B$3)*AA6:AA47)</f>
        <v>0</v>
      </c>
      <c r="AB4" s="153">
        <f t="array" ref="AB4">SUM(($C6:$C47&gt;=$B$2)*($C6:$C47&lt;=$B$3)*AB6:AB47)</f>
        <v>0</v>
      </c>
      <c r="AC4" s="153">
        <f t="array" ref="AC4">SUM(($C6:$C47&gt;=$B$2)*($C6:$C47&lt;=$B$3)*AC6:AC47)</f>
        <v>0</v>
      </c>
      <c r="AD4" s="153">
        <f t="array" ref="AD4">SUM(($C6:$C47&gt;=$B$2)*($C6:$C47&lt;=$B$3)*AD6:AD47)</f>
        <v>0</v>
      </c>
      <c r="AE4" s="153">
        <f t="array" ref="AE4">SUM(($C6:$C47&gt;=$B$2)*($C6:$C47&lt;=$B$3)*AE6:AE47)</f>
        <v>0</v>
      </c>
      <c r="AF4" s="153">
        <f t="array" ref="AF4">SUM(($C6:$C47&gt;=$B$2)*($C6:$C47&lt;=$B$3)*AF6:AF47)</f>
        <v>0</v>
      </c>
      <c r="AG4" s="153">
        <f t="array" ref="AG4">SUM(($C6:$C47&gt;=$B$2)*($C6:$C47&lt;=$B$3)*AG6:AG47)</f>
        <v>0</v>
      </c>
    </row>
    <row r="5" spans="2:40" s="25" customFormat="1" ht="14.25" customHeight="1"/>
    <row r="6" spans="2:40" s="25" customFormat="1" ht="14.25" customHeight="1">
      <c r="B6" s="154" t="s">
        <v>26</v>
      </c>
      <c r="C6" s="155">
        <f>'Daily &amp; Weekly Totals'!E5</f>
        <v>43920</v>
      </c>
      <c r="E6" s="10" t="str">
        <f>IF(Friedman!K3=0,"",Friedman!K3)</f>
        <v/>
      </c>
      <c r="F6" s="10" t="str">
        <f>IF(Friedman!O3=0,"",Friedman!O3)</f>
        <v/>
      </c>
      <c r="G6" s="10" t="str">
        <f>IF(Friedman!S3=0,"",Friedman!S3)</f>
        <v/>
      </c>
      <c r="H6" s="10" t="str">
        <f>IF(Friedman!W3=0,"",Friedman!W3)</f>
        <v/>
      </c>
      <c r="I6" s="10" t="str">
        <f>IF(Friedman!AA3=0,"",Friedman!AA3)</f>
        <v/>
      </c>
      <c r="J6" s="10" t="str">
        <f>IF(Friedman!AE3=0,"",Friedman!AE3)</f>
        <v/>
      </c>
      <c r="K6" s="10" t="str">
        <f>IF(Friedman!AI3=0,"",Friedman!AI3)</f>
        <v/>
      </c>
      <c r="L6" s="10" t="str">
        <f>IF(Friedman!AM3=0,"",Friedman!AM3)</f>
        <v/>
      </c>
      <c r="M6" s="10" t="str">
        <f>IF(Friedman!AQ3=0,"",Friedman!AQ3)</f>
        <v/>
      </c>
      <c r="N6" s="10" t="str">
        <f>IF(Friedman!AU3=0,"",Friedman!AU3)</f>
        <v/>
      </c>
      <c r="O6" s="10" t="str">
        <f>IF(Friedman!AY3=0,"",Friedman!AY3)</f>
        <v/>
      </c>
      <c r="P6" s="10" t="str">
        <f>IF(Friedman!BC3=0,"",Friedman!BC3)</f>
        <v/>
      </c>
      <c r="Q6" s="10" t="str">
        <f>IF(Friedman!BG3=0,"",Friedman!BG3)</f>
        <v/>
      </c>
      <c r="R6" s="10" t="str">
        <f>IF(Friedman!BK3=0,"",Friedman!BK3)</f>
        <v/>
      </c>
      <c r="S6" s="10" t="str">
        <f>IF(Friedman!BO3=0,"",Friedman!BO3)</f>
        <v/>
      </c>
      <c r="T6" s="10" t="str">
        <f>IF(Friedman!BS3=0,"",Friedman!BS3)</f>
        <v/>
      </c>
      <c r="U6" s="10" t="str">
        <f>IF(Friedman!BW3=0,"",Friedman!BW3)</f>
        <v/>
      </c>
      <c r="V6" s="10" t="str">
        <f>IF(Friedman!CA3=0,"",Friedman!CA3)</f>
        <v/>
      </c>
      <c r="W6" s="10" t="str">
        <f>IF(Friedman!CE3=0,"",Friedman!CE3)</f>
        <v/>
      </c>
      <c r="X6" s="10" t="str">
        <f>IF(Friedman!CI3=0,"",Friedman!CI3)</f>
        <v/>
      </c>
      <c r="Y6"/>
      <c r="Z6"/>
      <c r="AA6"/>
      <c r="AB6"/>
      <c r="AC6"/>
      <c r="AD6"/>
      <c r="AE6"/>
      <c r="AF6"/>
      <c r="AI6" s="154">
        <f t="shared" ref="AI6:AM15" si="1">SUMIF($E$3:$AG$3,AI$3,$E6:$AG6)</f>
        <v>0</v>
      </c>
      <c r="AJ6" s="154">
        <f t="shared" si="1"/>
        <v>0</v>
      </c>
      <c r="AK6" s="154">
        <f t="shared" si="1"/>
        <v>0</v>
      </c>
      <c r="AL6" s="154">
        <f t="shared" si="1"/>
        <v>0</v>
      </c>
      <c r="AM6" s="154">
        <f t="shared" si="1"/>
        <v>0</v>
      </c>
      <c r="AN6" s="163">
        <f>SUM(E6:X6)</f>
        <v>0</v>
      </c>
    </row>
    <row r="7" spans="2:40" s="25" customFormat="1" ht="14.25" customHeight="1">
      <c r="B7" s="154" t="s">
        <v>27</v>
      </c>
      <c r="C7" s="155">
        <f>'Daily &amp; Weekly Totals'!E6</f>
        <v>43921</v>
      </c>
      <c r="E7" s="10" t="str">
        <f>IF(Friedman!K4=0,"",Friedman!K4)</f>
        <v/>
      </c>
      <c r="F7" s="10" t="str">
        <f>IF(Friedman!O4=0,"",Friedman!O4)</f>
        <v/>
      </c>
      <c r="G7" s="10" t="str">
        <f>IF(Friedman!S4=0,"",Friedman!S4)</f>
        <v/>
      </c>
      <c r="H7" s="10" t="str">
        <f>IF(Friedman!W4=0,"",Friedman!W4)</f>
        <v/>
      </c>
      <c r="I7" s="10" t="str">
        <f>IF(Friedman!AA4=0,"",Friedman!AA4)</f>
        <v/>
      </c>
      <c r="J7" s="10" t="str">
        <f>IF(Friedman!AE4=0,"",Friedman!AE4)</f>
        <v/>
      </c>
      <c r="K7" s="10" t="str">
        <f>IF(Friedman!AI4=0,"",Friedman!AI4)</f>
        <v/>
      </c>
      <c r="L7" s="10" t="str">
        <f>IF(Friedman!AM4=0,"",Friedman!AM4)</f>
        <v/>
      </c>
      <c r="M7" s="10" t="str">
        <f>IF(Friedman!AQ4=0,"",Friedman!AQ4)</f>
        <v/>
      </c>
      <c r="N7" s="10" t="str">
        <f>IF(Friedman!AU4=0,"",Friedman!AU4)</f>
        <v/>
      </c>
      <c r="O7" s="10" t="str">
        <f>IF(Friedman!AY4=0,"",Friedman!AY4)</f>
        <v/>
      </c>
      <c r="P7" s="10" t="str">
        <f>IF(Friedman!BC4=0,"",Friedman!BC4)</f>
        <v/>
      </c>
      <c r="Q7" s="10" t="str">
        <f>IF(Friedman!BG4=0,"",Friedman!BG4)</f>
        <v/>
      </c>
      <c r="R7" s="10" t="str">
        <f>IF(Friedman!BK4=0,"",Friedman!BK4)</f>
        <v/>
      </c>
      <c r="S7" s="10" t="str">
        <f>IF(Friedman!BO4=0,"",Friedman!BO4)</f>
        <v/>
      </c>
      <c r="T7" s="10" t="str">
        <f>IF(Friedman!BS4=0,"",Friedman!BS4)</f>
        <v/>
      </c>
      <c r="U7" s="10" t="str">
        <f>IF(Friedman!BW4=0,"",Friedman!BW4)</f>
        <v/>
      </c>
      <c r="V7" s="10" t="str">
        <f>IF(Friedman!CA4=0,"",Friedman!CA4)</f>
        <v/>
      </c>
      <c r="W7" s="10" t="str">
        <f>IF(Friedman!CE4=0,"",Friedman!CE4)</f>
        <v/>
      </c>
      <c r="X7" s="10" t="str">
        <f>IF(Friedman!CI4=0,"",Friedman!CI4)</f>
        <v/>
      </c>
      <c r="Y7"/>
      <c r="Z7"/>
      <c r="AA7"/>
      <c r="AB7"/>
      <c r="AC7"/>
      <c r="AD7"/>
      <c r="AE7"/>
      <c r="AF7"/>
      <c r="AI7" s="154">
        <f t="shared" si="1"/>
        <v>0</v>
      </c>
      <c r="AJ7" s="154">
        <f t="shared" si="1"/>
        <v>0</v>
      </c>
      <c r="AK7" s="154">
        <f t="shared" si="1"/>
        <v>0</v>
      </c>
      <c r="AL7" s="154">
        <f t="shared" si="1"/>
        <v>0</v>
      </c>
      <c r="AM7" s="154">
        <f t="shared" si="1"/>
        <v>0</v>
      </c>
      <c r="AN7" s="163">
        <f t="shared" ref="AN7:AN47" si="2">SUM(E7:X7)</f>
        <v>0</v>
      </c>
    </row>
    <row r="8" spans="2:40" s="25" customFormat="1" ht="14.25" customHeight="1">
      <c r="B8" s="154" t="s">
        <v>28</v>
      </c>
      <c r="C8" s="155">
        <f>'Daily &amp; Weekly Totals'!E7</f>
        <v>43922</v>
      </c>
      <c r="E8" s="10" t="str">
        <f>IF(Friedman!K5=0,"",Friedman!K5)</f>
        <v/>
      </c>
      <c r="F8" s="10" t="str">
        <f>IF(Friedman!O5=0,"",Friedman!O5)</f>
        <v/>
      </c>
      <c r="G8" s="10" t="str">
        <f>IF(Friedman!S5=0,"",Friedman!S5)</f>
        <v/>
      </c>
      <c r="H8" s="10" t="str">
        <f>IF(Friedman!W5=0,"",Friedman!W5)</f>
        <v/>
      </c>
      <c r="I8" s="10" t="str">
        <f>IF(Friedman!AA5=0,"",Friedman!AA5)</f>
        <v/>
      </c>
      <c r="J8" s="10" t="str">
        <f>IF(Friedman!AE5=0,"",Friedman!AE5)</f>
        <v/>
      </c>
      <c r="K8" s="10" t="str">
        <f>IF(Friedman!AI5=0,"",Friedman!AI5)</f>
        <v/>
      </c>
      <c r="L8" s="10" t="str">
        <f>IF(Friedman!AM5=0,"",Friedman!AM5)</f>
        <v/>
      </c>
      <c r="M8" s="10" t="str">
        <f>IF(Friedman!AQ5=0,"",Friedman!AQ5)</f>
        <v/>
      </c>
      <c r="N8" s="10" t="str">
        <f>IF(Friedman!AU5=0,"",Friedman!AU5)</f>
        <v/>
      </c>
      <c r="O8" s="10" t="str">
        <f>IF(Friedman!AY5=0,"",Friedman!AY5)</f>
        <v/>
      </c>
      <c r="P8" s="10" t="str">
        <f>IF(Friedman!BC5=0,"",Friedman!BC5)</f>
        <v/>
      </c>
      <c r="Q8" s="10" t="str">
        <f>IF(Friedman!BG5=0,"",Friedman!BG5)</f>
        <v/>
      </c>
      <c r="R8" s="10" t="str">
        <f>IF(Friedman!BK5=0,"",Friedman!BK5)</f>
        <v/>
      </c>
      <c r="S8" s="10" t="str">
        <f>IF(Friedman!BO5=0,"",Friedman!BO5)</f>
        <v/>
      </c>
      <c r="T8" s="10" t="str">
        <f>IF(Friedman!BS5=0,"",Friedman!BS5)</f>
        <v/>
      </c>
      <c r="U8" s="10" t="str">
        <f>IF(Friedman!BW5=0,"",Friedman!BW5)</f>
        <v/>
      </c>
      <c r="V8" s="10" t="str">
        <f>IF(Friedman!CA5=0,"",Friedman!CA5)</f>
        <v/>
      </c>
      <c r="W8" s="10" t="str">
        <f>IF(Friedman!CE5=0,"",Friedman!CE5)</f>
        <v/>
      </c>
      <c r="X8" s="10" t="str">
        <f>IF(Friedman!CI5=0,"",Friedman!CI5)</f>
        <v/>
      </c>
      <c r="Y8"/>
      <c r="Z8"/>
      <c r="AA8"/>
      <c r="AB8"/>
      <c r="AC8"/>
      <c r="AD8"/>
      <c r="AE8"/>
      <c r="AF8"/>
      <c r="AI8" s="154">
        <f t="shared" si="1"/>
        <v>0</v>
      </c>
      <c r="AJ8" s="154">
        <f t="shared" si="1"/>
        <v>0</v>
      </c>
      <c r="AK8" s="154">
        <f t="shared" si="1"/>
        <v>0</v>
      </c>
      <c r="AL8" s="154">
        <f t="shared" si="1"/>
        <v>0</v>
      </c>
      <c r="AM8" s="154">
        <f t="shared" si="1"/>
        <v>0</v>
      </c>
      <c r="AN8" s="163">
        <f t="shared" si="2"/>
        <v>0</v>
      </c>
    </row>
    <row r="9" spans="2:40" s="25" customFormat="1" ht="14.25" customHeight="1">
      <c r="B9" s="154" t="s">
        <v>29</v>
      </c>
      <c r="C9" s="155">
        <f>'Daily &amp; Weekly Totals'!E8</f>
        <v>43923</v>
      </c>
      <c r="E9" s="10" t="str">
        <f>IF(Friedman!K6=0,"",Friedman!K6)</f>
        <v/>
      </c>
      <c r="F9" s="10" t="str">
        <f>IF(Friedman!O6=0,"",Friedman!O6)</f>
        <v/>
      </c>
      <c r="G9" s="10" t="str">
        <f>IF(Friedman!S6=0,"",Friedman!S6)</f>
        <v/>
      </c>
      <c r="H9" s="10" t="str">
        <f>IF(Friedman!W6=0,"",Friedman!W6)</f>
        <v/>
      </c>
      <c r="I9" s="10" t="str">
        <f>IF(Friedman!AA6=0,"",Friedman!AA6)</f>
        <v/>
      </c>
      <c r="J9" s="10" t="str">
        <f>IF(Friedman!AE6=0,"",Friedman!AE6)</f>
        <v/>
      </c>
      <c r="K9" s="10" t="str">
        <f>IF(Friedman!AI6=0,"",Friedman!AI6)</f>
        <v/>
      </c>
      <c r="L9" s="10" t="str">
        <f>IF(Friedman!AM6=0,"",Friedman!AM6)</f>
        <v/>
      </c>
      <c r="M9" s="10" t="str">
        <f>IF(Friedman!AQ6=0,"",Friedman!AQ6)</f>
        <v/>
      </c>
      <c r="N9" s="10" t="str">
        <f>IF(Friedman!AU6=0,"",Friedman!AU6)</f>
        <v/>
      </c>
      <c r="O9" s="10" t="str">
        <f>IF(Friedman!AY6=0,"",Friedman!AY6)</f>
        <v/>
      </c>
      <c r="P9" s="10" t="str">
        <f>IF(Friedman!BC6=0,"",Friedman!BC6)</f>
        <v/>
      </c>
      <c r="Q9" s="10" t="str">
        <f>IF(Friedman!BG6=0,"",Friedman!BG6)</f>
        <v/>
      </c>
      <c r="R9" s="10" t="str">
        <f>IF(Friedman!BK6=0,"",Friedman!BK6)</f>
        <v/>
      </c>
      <c r="S9" s="10" t="str">
        <f>IF(Friedman!BO6=0,"",Friedman!BO6)</f>
        <v/>
      </c>
      <c r="T9" s="10" t="str">
        <f>IF(Friedman!BS6=0,"",Friedman!BS6)</f>
        <v/>
      </c>
      <c r="U9" s="10" t="str">
        <f>IF(Friedman!BW6=0,"",Friedman!BW6)</f>
        <v/>
      </c>
      <c r="V9" s="10" t="str">
        <f>IF(Friedman!CA6=0,"",Friedman!CA6)</f>
        <v/>
      </c>
      <c r="W9" s="10" t="str">
        <f>IF(Friedman!CE6=0,"",Friedman!CE6)</f>
        <v/>
      </c>
      <c r="X9" s="10" t="str">
        <f>IF(Friedman!CI6=0,"",Friedman!CI6)</f>
        <v/>
      </c>
      <c r="Y9"/>
      <c r="Z9"/>
      <c r="AA9"/>
      <c r="AB9"/>
      <c r="AC9"/>
      <c r="AD9"/>
      <c r="AE9"/>
      <c r="AF9"/>
      <c r="AI9" s="154">
        <f t="shared" si="1"/>
        <v>0</v>
      </c>
      <c r="AJ9" s="154">
        <f t="shared" si="1"/>
        <v>0</v>
      </c>
      <c r="AK9" s="154">
        <f t="shared" si="1"/>
        <v>0</v>
      </c>
      <c r="AL9" s="154">
        <f t="shared" si="1"/>
        <v>0</v>
      </c>
      <c r="AM9" s="154">
        <f t="shared" si="1"/>
        <v>0</v>
      </c>
      <c r="AN9" s="163">
        <f t="shared" si="2"/>
        <v>0</v>
      </c>
    </row>
    <row r="10" spans="2:40" s="25" customFormat="1" ht="14.25" customHeight="1">
      <c r="B10" s="154" t="s">
        <v>30</v>
      </c>
      <c r="C10" s="155">
        <f>'Daily &amp; Weekly Totals'!E9</f>
        <v>43924</v>
      </c>
      <c r="E10" s="10" t="str">
        <f>IF(Friedman!K7=0,"",Friedman!K7)</f>
        <v/>
      </c>
      <c r="F10" s="10" t="str">
        <f>IF(Friedman!O7=0,"",Friedman!O7)</f>
        <v/>
      </c>
      <c r="G10" s="10" t="str">
        <f>IF(Friedman!S7=0,"",Friedman!S7)</f>
        <v/>
      </c>
      <c r="H10" s="10" t="str">
        <f>IF(Friedman!W7=0,"",Friedman!W7)</f>
        <v/>
      </c>
      <c r="I10" s="10" t="str">
        <f>IF(Friedman!AA7=0,"",Friedman!AA7)</f>
        <v/>
      </c>
      <c r="J10" s="10" t="str">
        <f>IF(Friedman!AE7=0,"",Friedman!AE7)</f>
        <v/>
      </c>
      <c r="K10" s="10" t="str">
        <f>IF(Friedman!AI7=0,"",Friedman!AI7)</f>
        <v/>
      </c>
      <c r="L10" s="10" t="str">
        <f>IF(Friedman!AM7=0,"",Friedman!AM7)</f>
        <v/>
      </c>
      <c r="M10" s="10" t="str">
        <f>IF(Friedman!AQ7=0,"",Friedman!AQ7)</f>
        <v/>
      </c>
      <c r="N10" s="10" t="str">
        <f>IF(Friedman!AU7=0,"",Friedman!AU7)</f>
        <v/>
      </c>
      <c r="O10" s="10" t="str">
        <f>IF(Friedman!AY7=0,"",Friedman!AY7)</f>
        <v/>
      </c>
      <c r="P10" s="10" t="str">
        <f>IF(Friedman!BC7=0,"",Friedman!BC7)</f>
        <v/>
      </c>
      <c r="Q10" s="10" t="str">
        <f>IF(Friedman!BG7=0,"",Friedman!BG7)</f>
        <v/>
      </c>
      <c r="R10" s="10" t="str">
        <f>IF(Friedman!BK7=0,"",Friedman!BK7)</f>
        <v/>
      </c>
      <c r="S10" s="10" t="str">
        <f>IF(Friedman!BO7=0,"",Friedman!BO7)</f>
        <v/>
      </c>
      <c r="T10" s="10" t="str">
        <f>IF(Friedman!BS7=0,"",Friedman!BS7)</f>
        <v/>
      </c>
      <c r="U10" s="10" t="str">
        <f>IF(Friedman!BW7=0,"",Friedman!BW7)</f>
        <v/>
      </c>
      <c r="V10" s="10" t="str">
        <f>IF(Friedman!CA7=0,"",Friedman!CA7)</f>
        <v/>
      </c>
      <c r="W10" s="10" t="str">
        <f>IF(Friedman!CE7=0,"",Friedman!CE7)</f>
        <v/>
      </c>
      <c r="X10" s="10" t="str">
        <f>IF(Friedman!CI7=0,"",Friedman!CI7)</f>
        <v/>
      </c>
      <c r="Y10"/>
      <c r="Z10"/>
      <c r="AA10"/>
      <c r="AB10"/>
      <c r="AC10"/>
      <c r="AD10"/>
      <c r="AE10"/>
      <c r="AF10"/>
      <c r="AI10" s="154">
        <f t="shared" si="1"/>
        <v>0</v>
      </c>
      <c r="AJ10" s="154">
        <f t="shared" si="1"/>
        <v>0</v>
      </c>
      <c r="AK10" s="154">
        <f t="shared" si="1"/>
        <v>0</v>
      </c>
      <c r="AL10" s="154">
        <f t="shared" si="1"/>
        <v>0</v>
      </c>
      <c r="AM10" s="154">
        <f t="shared" si="1"/>
        <v>0</v>
      </c>
      <c r="AN10" s="163">
        <f t="shared" si="2"/>
        <v>0</v>
      </c>
    </row>
    <row r="11" spans="2:40" s="25" customFormat="1" ht="14.25" customHeight="1">
      <c r="B11" s="154" t="s">
        <v>31</v>
      </c>
      <c r="C11" s="155">
        <f>'Daily &amp; Weekly Totals'!E10</f>
        <v>43925</v>
      </c>
      <c r="E11" s="10" t="str">
        <f>IF(Friedman!K8=0,"",Friedman!K8)</f>
        <v/>
      </c>
      <c r="F11" s="10" t="str">
        <f>IF(Friedman!O8=0,"",Friedman!O8)</f>
        <v/>
      </c>
      <c r="G11" s="10" t="str">
        <f>IF(Friedman!S8=0,"",Friedman!S8)</f>
        <v/>
      </c>
      <c r="H11" s="10" t="str">
        <f>IF(Friedman!W8=0,"",Friedman!W8)</f>
        <v/>
      </c>
      <c r="I11" s="10" t="str">
        <f>IF(Friedman!AA8=0,"",Friedman!AA8)</f>
        <v/>
      </c>
      <c r="J11" s="10" t="str">
        <f>IF(Friedman!AE8=0,"",Friedman!AE8)</f>
        <v/>
      </c>
      <c r="K11" s="10" t="str">
        <f>IF(Friedman!AI8=0,"",Friedman!AI8)</f>
        <v/>
      </c>
      <c r="L11" s="10" t="str">
        <f>IF(Friedman!AM8=0,"",Friedman!AM8)</f>
        <v/>
      </c>
      <c r="M11" s="10" t="str">
        <f>IF(Friedman!AQ8=0,"",Friedman!AQ8)</f>
        <v/>
      </c>
      <c r="N11" s="10" t="str">
        <f>IF(Friedman!AU8=0,"",Friedman!AU8)</f>
        <v/>
      </c>
      <c r="O11" s="10" t="str">
        <f>IF(Friedman!AY8=0,"",Friedman!AY8)</f>
        <v/>
      </c>
      <c r="P11" s="10" t="str">
        <f>IF(Friedman!BC8=0,"",Friedman!BC8)</f>
        <v/>
      </c>
      <c r="Q11" s="10" t="str">
        <f>IF(Friedman!BG8=0,"",Friedman!BG8)</f>
        <v/>
      </c>
      <c r="R11" s="10" t="str">
        <f>IF(Friedman!BK8=0,"",Friedman!BK8)</f>
        <v/>
      </c>
      <c r="S11" s="10" t="str">
        <f>IF(Friedman!BO8=0,"",Friedman!BO8)</f>
        <v/>
      </c>
      <c r="T11" s="10" t="str">
        <f>IF(Friedman!BS8=0,"",Friedman!BS8)</f>
        <v/>
      </c>
      <c r="U11" s="10" t="str">
        <f>IF(Friedman!BW8=0,"",Friedman!BW8)</f>
        <v/>
      </c>
      <c r="V11" s="10" t="str">
        <f>IF(Friedman!CA8=0,"",Friedman!CA8)</f>
        <v/>
      </c>
      <c r="W11" s="10" t="str">
        <f>IF(Friedman!CE8=0,"",Friedman!CE8)</f>
        <v/>
      </c>
      <c r="X11" s="10" t="str">
        <f>IF(Friedman!CI8=0,"",Friedman!CI8)</f>
        <v/>
      </c>
      <c r="Y11"/>
      <c r="Z11"/>
      <c r="AA11"/>
      <c r="AB11"/>
      <c r="AC11"/>
      <c r="AD11"/>
      <c r="AE11"/>
      <c r="AF11"/>
      <c r="AI11" s="154">
        <f t="shared" si="1"/>
        <v>0</v>
      </c>
      <c r="AJ11" s="154">
        <f t="shared" si="1"/>
        <v>0</v>
      </c>
      <c r="AK11" s="154">
        <f t="shared" si="1"/>
        <v>0</v>
      </c>
      <c r="AL11" s="154">
        <f t="shared" si="1"/>
        <v>0</v>
      </c>
      <c r="AM11" s="154">
        <f t="shared" si="1"/>
        <v>0</v>
      </c>
      <c r="AN11" s="163">
        <f t="shared" si="2"/>
        <v>0</v>
      </c>
    </row>
    <row r="12" spans="2:40" s="25" customFormat="1" ht="14.25" customHeight="1">
      <c r="B12" s="154" t="s">
        <v>32</v>
      </c>
      <c r="C12" s="155">
        <f>'Daily &amp; Weekly Totals'!E11</f>
        <v>43926</v>
      </c>
      <c r="E12" s="10" t="str">
        <f>IF(Friedman!K9=0,"",Friedman!K9)</f>
        <v/>
      </c>
      <c r="F12" s="10" t="str">
        <f>IF(Friedman!O9=0,"",Friedman!O9)</f>
        <v/>
      </c>
      <c r="G12" s="10" t="str">
        <f>IF(Friedman!S9=0,"",Friedman!S9)</f>
        <v/>
      </c>
      <c r="H12" s="10" t="str">
        <f>IF(Friedman!W9=0,"",Friedman!W9)</f>
        <v/>
      </c>
      <c r="I12" s="10" t="str">
        <f>IF(Friedman!AA9=0,"",Friedman!AA9)</f>
        <v/>
      </c>
      <c r="J12" s="10" t="str">
        <f>IF(Friedman!AE9=0,"",Friedman!AE9)</f>
        <v/>
      </c>
      <c r="K12" s="10" t="str">
        <f>IF(Friedman!AI9=0,"",Friedman!AI9)</f>
        <v/>
      </c>
      <c r="L12" s="10" t="str">
        <f>IF(Friedman!AM9=0,"",Friedman!AM9)</f>
        <v/>
      </c>
      <c r="M12" s="10" t="str">
        <f>IF(Friedman!AQ9=0,"",Friedman!AQ9)</f>
        <v/>
      </c>
      <c r="N12" s="10" t="str">
        <f>IF(Friedman!AU9=0,"",Friedman!AU9)</f>
        <v/>
      </c>
      <c r="O12" s="10" t="str">
        <f>IF(Friedman!AY9=0,"",Friedman!AY9)</f>
        <v/>
      </c>
      <c r="P12" s="10" t="str">
        <f>IF(Friedman!BC9=0,"",Friedman!BC9)</f>
        <v/>
      </c>
      <c r="Q12" s="10" t="str">
        <f>IF(Friedman!BG9=0,"",Friedman!BG9)</f>
        <v/>
      </c>
      <c r="R12" s="10" t="str">
        <f>IF(Friedman!BK9=0,"",Friedman!BK9)</f>
        <v/>
      </c>
      <c r="S12" s="10" t="str">
        <f>IF(Friedman!BO9=0,"",Friedman!BO9)</f>
        <v/>
      </c>
      <c r="T12" s="10" t="str">
        <f>IF(Friedman!BS9=0,"",Friedman!BS9)</f>
        <v/>
      </c>
      <c r="U12" s="10" t="str">
        <f>IF(Friedman!BW9=0,"",Friedman!BW9)</f>
        <v/>
      </c>
      <c r="V12" s="10" t="str">
        <f>IF(Friedman!CA9=0,"",Friedman!CA9)</f>
        <v/>
      </c>
      <c r="W12" s="10" t="str">
        <f>IF(Friedman!CE9=0,"",Friedman!CE9)</f>
        <v/>
      </c>
      <c r="X12" s="10" t="str">
        <f>IF(Friedman!CI9=0,"",Friedman!CI9)</f>
        <v/>
      </c>
      <c r="Y12"/>
      <c r="Z12"/>
      <c r="AA12"/>
      <c r="AB12"/>
      <c r="AC12"/>
      <c r="AD12"/>
      <c r="AE12"/>
      <c r="AF12"/>
      <c r="AI12" s="154">
        <f t="shared" si="1"/>
        <v>0</v>
      </c>
      <c r="AJ12" s="154">
        <f t="shared" si="1"/>
        <v>0</v>
      </c>
      <c r="AK12" s="154">
        <f t="shared" si="1"/>
        <v>0</v>
      </c>
      <c r="AL12" s="154">
        <f t="shared" si="1"/>
        <v>0</v>
      </c>
      <c r="AM12" s="154">
        <f t="shared" si="1"/>
        <v>0</v>
      </c>
      <c r="AN12" s="163">
        <f t="shared" si="2"/>
        <v>0</v>
      </c>
    </row>
    <row r="13" spans="2:40" s="25" customFormat="1" ht="14.25" customHeight="1">
      <c r="B13" s="154" t="s">
        <v>26</v>
      </c>
      <c r="C13" s="155">
        <f>'Daily &amp; Weekly Totals'!E15</f>
        <v>43927</v>
      </c>
      <c r="E13" s="10" t="str">
        <f>IF(Friedman!K10=0,"",Friedman!K10)</f>
        <v/>
      </c>
      <c r="F13" s="10" t="str">
        <f>IF(Friedman!O10=0,"",Friedman!O10)</f>
        <v/>
      </c>
      <c r="G13" s="10" t="str">
        <f>IF(Friedman!S10=0,"",Friedman!S10)</f>
        <v/>
      </c>
      <c r="H13" s="10" t="str">
        <f>IF(Friedman!W10=0,"",Friedman!W10)</f>
        <v/>
      </c>
      <c r="I13" s="10" t="str">
        <f>IF(Friedman!AA10=0,"",Friedman!AA10)</f>
        <v/>
      </c>
      <c r="J13" s="10" t="str">
        <f>IF(Friedman!AE10=0,"",Friedman!AE10)</f>
        <v/>
      </c>
      <c r="K13" s="10" t="str">
        <f>IF(Friedman!AI10=0,"",Friedman!AI10)</f>
        <v/>
      </c>
      <c r="L13" s="10" t="str">
        <f>IF(Friedman!AM10=0,"",Friedman!AM10)</f>
        <v/>
      </c>
      <c r="M13" s="10" t="str">
        <f>IF(Friedman!AQ10=0,"",Friedman!AQ10)</f>
        <v/>
      </c>
      <c r="N13" s="10" t="str">
        <f>IF(Friedman!AU10=0,"",Friedman!AU10)</f>
        <v/>
      </c>
      <c r="O13" s="10" t="str">
        <f>IF(Friedman!AY10=0,"",Friedman!AY10)</f>
        <v/>
      </c>
      <c r="P13" s="10" t="str">
        <f>IF(Friedman!BC10=0,"",Friedman!BC10)</f>
        <v/>
      </c>
      <c r="Q13" s="10" t="str">
        <f>IF(Friedman!BG10=0,"",Friedman!BG10)</f>
        <v/>
      </c>
      <c r="R13" s="10" t="str">
        <f>IF(Friedman!BK10=0,"",Friedman!BK10)</f>
        <v/>
      </c>
      <c r="S13" s="10" t="str">
        <f>IF(Friedman!BO10=0,"",Friedman!BO10)</f>
        <v/>
      </c>
      <c r="T13" s="10" t="str">
        <f>IF(Friedman!BS10=0,"",Friedman!BS10)</f>
        <v/>
      </c>
      <c r="U13" s="10" t="str">
        <f>IF(Friedman!BW10=0,"",Friedman!BW10)</f>
        <v/>
      </c>
      <c r="V13" s="10" t="str">
        <f>IF(Friedman!CA10=0,"",Friedman!CA10)</f>
        <v/>
      </c>
      <c r="W13" s="10" t="str">
        <f>IF(Friedman!CE10=0,"",Friedman!CE10)</f>
        <v/>
      </c>
      <c r="X13" s="10" t="str">
        <f>IF(Friedman!CI10=0,"",Friedman!CI10)</f>
        <v/>
      </c>
      <c r="Y13"/>
      <c r="Z13"/>
      <c r="AA13"/>
      <c r="AB13"/>
      <c r="AC13"/>
      <c r="AD13"/>
      <c r="AE13"/>
      <c r="AF13"/>
      <c r="AI13" s="154">
        <f t="shared" si="1"/>
        <v>0</v>
      </c>
      <c r="AJ13" s="154">
        <f t="shared" si="1"/>
        <v>0</v>
      </c>
      <c r="AK13" s="154">
        <f t="shared" si="1"/>
        <v>0</v>
      </c>
      <c r="AL13" s="154">
        <f t="shared" si="1"/>
        <v>0</v>
      </c>
      <c r="AM13" s="154">
        <f t="shared" si="1"/>
        <v>0</v>
      </c>
      <c r="AN13" s="163">
        <f t="shared" si="2"/>
        <v>0</v>
      </c>
    </row>
    <row r="14" spans="2:40" s="25" customFormat="1" ht="14.25" customHeight="1">
      <c r="B14" s="154" t="s">
        <v>27</v>
      </c>
      <c r="C14" s="155">
        <f>'Daily &amp; Weekly Totals'!E16</f>
        <v>43928</v>
      </c>
      <c r="E14" s="10" t="str">
        <f>IF(Friedman!K11=0,"",Friedman!K11)</f>
        <v/>
      </c>
      <c r="F14" s="10" t="str">
        <f>IF(Friedman!O11=0,"",Friedman!O11)</f>
        <v/>
      </c>
      <c r="G14" s="10" t="str">
        <f>IF(Friedman!S11=0,"",Friedman!S11)</f>
        <v/>
      </c>
      <c r="H14" s="10" t="str">
        <f>IF(Friedman!W11=0,"",Friedman!W11)</f>
        <v/>
      </c>
      <c r="I14" s="10" t="str">
        <f>IF(Friedman!AA11=0,"",Friedman!AA11)</f>
        <v/>
      </c>
      <c r="J14" s="10" t="str">
        <f>IF(Friedman!AE11=0,"",Friedman!AE11)</f>
        <v/>
      </c>
      <c r="K14" s="10" t="str">
        <f>IF(Friedman!AI11=0,"",Friedman!AI11)</f>
        <v/>
      </c>
      <c r="L14" s="10" t="str">
        <f>IF(Friedman!AM11=0,"",Friedman!AM11)</f>
        <v/>
      </c>
      <c r="M14" s="10" t="str">
        <f>IF(Friedman!AQ11=0,"",Friedman!AQ11)</f>
        <v/>
      </c>
      <c r="N14" s="10" t="str">
        <f>IF(Friedman!AU11=0,"",Friedman!AU11)</f>
        <v/>
      </c>
      <c r="O14" s="10" t="str">
        <f>IF(Friedman!AY11=0,"",Friedman!AY11)</f>
        <v/>
      </c>
      <c r="P14" s="10" t="str">
        <f>IF(Friedman!BC11=0,"",Friedman!BC11)</f>
        <v/>
      </c>
      <c r="Q14" s="10" t="str">
        <f>IF(Friedman!BG11=0,"",Friedman!BG11)</f>
        <v/>
      </c>
      <c r="R14" s="10" t="str">
        <f>IF(Friedman!BK11=0,"",Friedman!BK11)</f>
        <v/>
      </c>
      <c r="S14" s="10" t="str">
        <f>IF(Friedman!BO11=0,"",Friedman!BO11)</f>
        <v/>
      </c>
      <c r="T14" s="10" t="str">
        <f>IF(Friedman!BS11=0,"",Friedman!BS11)</f>
        <v/>
      </c>
      <c r="U14" s="10" t="str">
        <f>IF(Friedman!BW11=0,"",Friedman!BW11)</f>
        <v/>
      </c>
      <c r="V14" s="10" t="str">
        <f>IF(Friedman!CA11=0,"",Friedman!CA11)</f>
        <v/>
      </c>
      <c r="W14" s="10" t="str">
        <f>IF(Friedman!CE11=0,"",Friedman!CE11)</f>
        <v/>
      </c>
      <c r="X14" s="10" t="str">
        <f>IF(Friedman!CI11=0,"",Friedman!CI11)</f>
        <v/>
      </c>
      <c r="Y14"/>
      <c r="Z14"/>
      <c r="AA14"/>
      <c r="AB14"/>
      <c r="AC14"/>
      <c r="AD14"/>
      <c r="AE14"/>
      <c r="AF14"/>
      <c r="AI14" s="154">
        <f t="shared" si="1"/>
        <v>0</v>
      </c>
      <c r="AJ14" s="154">
        <f t="shared" si="1"/>
        <v>0</v>
      </c>
      <c r="AK14" s="154">
        <f t="shared" si="1"/>
        <v>0</v>
      </c>
      <c r="AL14" s="154">
        <f t="shared" si="1"/>
        <v>0</v>
      </c>
      <c r="AM14" s="154">
        <f t="shared" si="1"/>
        <v>0</v>
      </c>
      <c r="AN14" s="163">
        <f t="shared" si="2"/>
        <v>0</v>
      </c>
    </row>
    <row r="15" spans="2:40" s="25" customFormat="1" ht="14.25" customHeight="1">
      <c r="B15" s="154" t="s">
        <v>28</v>
      </c>
      <c r="C15" s="155">
        <f>'Daily &amp; Weekly Totals'!E17</f>
        <v>43929</v>
      </c>
      <c r="E15" s="10" t="str">
        <f>IF(Friedman!K12=0,"",Friedman!K12)</f>
        <v/>
      </c>
      <c r="F15" s="10" t="str">
        <f>IF(Friedman!O12=0,"",Friedman!O12)</f>
        <v/>
      </c>
      <c r="G15" s="10" t="str">
        <f>IF(Friedman!S12=0,"",Friedman!S12)</f>
        <v/>
      </c>
      <c r="H15" s="10" t="str">
        <f>IF(Friedman!W12=0,"",Friedman!W12)</f>
        <v/>
      </c>
      <c r="I15" s="10" t="str">
        <f>IF(Friedman!AA12=0,"",Friedman!AA12)</f>
        <v/>
      </c>
      <c r="J15" s="10" t="str">
        <f>IF(Friedman!AE12=0,"",Friedman!AE12)</f>
        <v/>
      </c>
      <c r="K15" s="10" t="str">
        <f>IF(Friedman!AI12=0,"",Friedman!AI12)</f>
        <v/>
      </c>
      <c r="L15" s="10" t="str">
        <f>IF(Friedman!AM12=0,"",Friedman!AM12)</f>
        <v/>
      </c>
      <c r="M15" s="10" t="str">
        <f>IF(Friedman!AQ12=0,"",Friedman!AQ12)</f>
        <v/>
      </c>
      <c r="N15" s="10" t="str">
        <f>IF(Friedman!AU12=0,"",Friedman!AU12)</f>
        <v/>
      </c>
      <c r="O15" s="10" t="str">
        <f>IF(Friedman!AY12=0,"",Friedman!AY12)</f>
        <v/>
      </c>
      <c r="P15" s="10" t="str">
        <f>IF(Friedman!BC12=0,"",Friedman!BC12)</f>
        <v/>
      </c>
      <c r="Q15" s="10" t="str">
        <f>IF(Friedman!BG12=0,"",Friedman!BG12)</f>
        <v/>
      </c>
      <c r="R15" s="10" t="str">
        <f>IF(Friedman!BK12=0,"",Friedman!BK12)</f>
        <v/>
      </c>
      <c r="S15" s="10" t="str">
        <f>IF(Friedman!BO12=0,"",Friedman!BO12)</f>
        <v/>
      </c>
      <c r="T15" s="10" t="str">
        <f>IF(Friedman!BS12=0,"",Friedman!BS12)</f>
        <v/>
      </c>
      <c r="U15" s="10" t="str">
        <f>IF(Friedman!BW12=0,"",Friedman!BW12)</f>
        <v/>
      </c>
      <c r="V15" s="10" t="str">
        <f>IF(Friedman!CA12=0,"",Friedman!CA12)</f>
        <v/>
      </c>
      <c r="W15" s="10" t="str">
        <f>IF(Friedman!CE12=0,"",Friedman!CE12)</f>
        <v/>
      </c>
      <c r="X15" s="10" t="str">
        <f>IF(Friedman!CI12=0,"",Friedman!CI12)</f>
        <v/>
      </c>
      <c r="Y15"/>
      <c r="Z15"/>
      <c r="AA15"/>
      <c r="AB15"/>
      <c r="AC15"/>
      <c r="AD15"/>
      <c r="AE15"/>
      <c r="AF15"/>
      <c r="AI15" s="154">
        <f t="shared" si="1"/>
        <v>0</v>
      </c>
      <c r="AJ15" s="154">
        <f t="shared" si="1"/>
        <v>0</v>
      </c>
      <c r="AK15" s="154">
        <f t="shared" si="1"/>
        <v>0</v>
      </c>
      <c r="AL15" s="154">
        <f t="shared" si="1"/>
        <v>0</v>
      </c>
      <c r="AM15" s="154">
        <f t="shared" si="1"/>
        <v>0</v>
      </c>
      <c r="AN15" s="163">
        <f t="shared" si="2"/>
        <v>0</v>
      </c>
    </row>
    <row r="16" spans="2:40" s="25" customFormat="1" ht="14.25" customHeight="1">
      <c r="B16" s="154" t="s">
        <v>29</v>
      </c>
      <c r="C16" s="155">
        <f>'Daily &amp; Weekly Totals'!E18</f>
        <v>43930</v>
      </c>
      <c r="E16" s="10" t="str">
        <f>IF(Friedman!K13=0,"",Friedman!K13)</f>
        <v/>
      </c>
      <c r="F16" s="10" t="str">
        <f>IF(Friedman!O13=0,"",Friedman!O13)</f>
        <v/>
      </c>
      <c r="G16" s="10" t="str">
        <f>IF(Friedman!S13=0,"",Friedman!S13)</f>
        <v/>
      </c>
      <c r="H16" s="10" t="str">
        <f>IF(Friedman!W13=0,"",Friedman!W13)</f>
        <v/>
      </c>
      <c r="I16" s="10" t="str">
        <f>IF(Friedman!AA13=0,"",Friedman!AA13)</f>
        <v/>
      </c>
      <c r="J16" s="10" t="str">
        <f>IF(Friedman!AE13=0,"",Friedman!AE13)</f>
        <v/>
      </c>
      <c r="K16" s="10" t="str">
        <f>IF(Friedman!AI13=0,"",Friedman!AI13)</f>
        <v/>
      </c>
      <c r="L16" s="10" t="str">
        <f>IF(Friedman!AM13=0,"",Friedman!AM13)</f>
        <v/>
      </c>
      <c r="M16" s="10" t="str">
        <f>IF(Friedman!AQ13=0,"",Friedman!AQ13)</f>
        <v/>
      </c>
      <c r="N16" s="10" t="str">
        <f>IF(Friedman!AU13=0,"",Friedman!AU13)</f>
        <v/>
      </c>
      <c r="O16" s="10" t="str">
        <f>IF(Friedman!AY13=0,"",Friedman!AY13)</f>
        <v/>
      </c>
      <c r="P16" s="10" t="str">
        <f>IF(Friedman!BC13=0,"",Friedman!BC13)</f>
        <v/>
      </c>
      <c r="Q16" s="10" t="str">
        <f>IF(Friedman!BG13=0,"",Friedman!BG13)</f>
        <v/>
      </c>
      <c r="R16" s="10" t="str">
        <f>IF(Friedman!BK13=0,"",Friedman!BK13)</f>
        <v/>
      </c>
      <c r="S16" s="10" t="str">
        <f>IF(Friedman!BO13=0,"",Friedman!BO13)</f>
        <v/>
      </c>
      <c r="T16" s="10" t="str">
        <f>IF(Friedman!BS13=0,"",Friedman!BS13)</f>
        <v/>
      </c>
      <c r="U16" s="10" t="str">
        <f>IF(Friedman!BW13=0,"",Friedman!BW13)</f>
        <v/>
      </c>
      <c r="V16" s="10" t="str">
        <f>IF(Friedman!CA13=0,"",Friedman!CA13)</f>
        <v/>
      </c>
      <c r="W16" s="10" t="str">
        <f>IF(Friedman!CE13=0,"",Friedman!CE13)</f>
        <v/>
      </c>
      <c r="X16" s="10" t="str">
        <f>IF(Friedman!CI13=0,"",Friedman!CI13)</f>
        <v/>
      </c>
      <c r="Y16"/>
      <c r="Z16"/>
      <c r="AA16"/>
      <c r="AB16"/>
      <c r="AC16"/>
      <c r="AD16"/>
      <c r="AE16"/>
      <c r="AF16"/>
      <c r="AI16" s="154">
        <f t="shared" ref="AI16:AM25" si="3">SUMIF($E$3:$AG$3,AI$3,$E16:$AG16)</f>
        <v>0</v>
      </c>
      <c r="AJ16" s="154">
        <f t="shared" si="3"/>
        <v>0</v>
      </c>
      <c r="AK16" s="154">
        <f t="shared" si="3"/>
        <v>0</v>
      </c>
      <c r="AL16" s="154">
        <f t="shared" si="3"/>
        <v>0</v>
      </c>
      <c r="AM16" s="154">
        <f t="shared" si="3"/>
        <v>0</v>
      </c>
      <c r="AN16" s="163">
        <f t="shared" si="2"/>
        <v>0</v>
      </c>
    </row>
    <row r="17" spans="2:40" s="25" customFormat="1" ht="14.25" customHeight="1">
      <c r="B17" s="154" t="s">
        <v>30</v>
      </c>
      <c r="C17" s="155">
        <f>'Daily &amp; Weekly Totals'!E19</f>
        <v>43931</v>
      </c>
      <c r="E17" s="10" t="str">
        <f>IF(Friedman!K14=0,"",Friedman!K14)</f>
        <v/>
      </c>
      <c r="F17" s="10" t="str">
        <f>IF(Friedman!O14=0,"",Friedman!O14)</f>
        <v/>
      </c>
      <c r="G17" s="10" t="str">
        <f>IF(Friedman!S14=0,"",Friedman!S14)</f>
        <v/>
      </c>
      <c r="H17" s="10" t="str">
        <f>IF(Friedman!W14=0,"",Friedman!W14)</f>
        <v/>
      </c>
      <c r="I17" s="10" t="str">
        <f>IF(Friedman!AA14=0,"",Friedman!AA14)</f>
        <v/>
      </c>
      <c r="J17" s="10" t="str">
        <f>IF(Friedman!AE14=0,"",Friedman!AE14)</f>
        <v/>
      </c>
      <c r="K17" s="10" t="str">
        <f>IF(Friedman!AI14=0,"",Friedman!AI14)</f>
        <v/>
      </c>
      <c r="L17" s="10" t="str">
        <f>IF(Friedman!AM14=0,"",Friedman!AM14)</f>
        <v/>
      </c>
      <c r="M17" s="10" t="str">
        <f>IF(Friedman!AQ14=0,"",Friedman!AQ14)</f>
        <v/>
      </c>
      <c r="N17" s="10" t="str">
        <f>IF(Friedman!AU14=0,"",Friedman!AU14)</f>
        <v/>
      </c>
      <c r="O17" s="10" t="str">
        <f>IF(Friedman!AY14=0,"",Friedman!AY14)</f>
        <v/>
      </c>
      <c r="P17" s="10" t="str">
        <f>IF(Friedman!BC14=0,"",Friedman!BC14)</f>
        <v/>
      </c>
      <c r="Q17" s="10" t="str">
        <f>IF(Friedman!BG14=0,"",Friedman!BG14)</f>
        <v/>
      </c>
      <c r="R17" s="10" t="str">
        <f>IF(Friedman!BK14=0,"",Friedman!BK14)</f>
        <v/>
      </c>
      <c r="S17" s="10" t="str">
        <f>IF(Friedman!BO14=0,"",Friedman!BO14)</f>
        <v/>
      </c>
      <c r="T17" s="10" t="str">
        <f>IF(Friedman!BS14=0,"",Friedman!BS14)</f>
        <v/>
      </c>
      <c r="U17" s="10" t="str">
        <f>IF(Friedman!BW14=0,"",Friedman!BW14)</f>
        <v/>
      </c>
      <c r="V17" s="10" t="str">
        <f>IF(Friedman!CA14=0,"",Friedman!CA14)</f>
        <v/>
      </c>
      <c r="W17" s="10" t="str">
        <f>IF(Friedman!CE14=0,"",Friedman!CE14)</f>
        <v/>
      </c>
      <c r="X17" s="10" t="str">
        <f>IF(Friedman!CI14=0,"",Friedman!CI14)</f>
        <v/>
      </c>
      <c r="Y17"/>
      <c r="Z17"/>
      <c r="AA17"/>
      <c r="AB17"/>
      <c r="AC17"/>
      <c r="AD17"/>
      <c r="AE17"/>
      <c r="AF17"/>
      <c r="AI17" s="154">
        <f t="shared" si="3"/>
        <v>0</v>
      </c>
      <c r="AJ17" s="154">
        <f t="shared" si="3"/>
        <v>0</v>
      </c>
      <c r="AK17" s="154">
        <f t="shared" si="3"/>
        <v>0</v>
      </c>
      <c r="AL17" s="154">
        <f t="shared" si="3"/>
        <v>0</v>
      </c>
      <c r="AM17" s="154">
        <f t="shared" si="3"/>
        <v>0</v>
      </c>
      <c r="AN17" s="163">
        <f t="shared" si="2"/>
        <v>0</v>
      </c>
    </row>
    <row r="18" spans="2:40" s="25" customFormat="1" ht="14.25" customHeight="1">
      <c r="B18" s="154" t="s">
        <v>31</v>
      </c>
      <c r="C18" s="155">
        <f>'Daily &amp; Weekly Totals'!E20</f>
        <v>43932</v>
      </c>
      <c r="E18" s="10" t="str">
        <f>IF(Friedman!K15=0,"",Friedman!K15)</f>
        <v/>
      </c>
      <c r="F18" s="10" t="str">
        <f>IF(Friedman!O15=0,"",Friedman!O15)</f>
        <v/>
      </c>
      <c r="G18" s="10" t="str">
        <f>IF(Friedman!S15=0,"",Friedman!S15)</f>
        <v/>
      </c>
      <c r="H18" s="10" t="str">
        <f>IF(Friedman!W15=0,"",Friedman!W15)</f>
        <v/>
      </c>
      <c r="I18" s="10" t="str">
        <f>IF(Friedman!AA15=0,"",Friedman!AA15)</f>
        <v/>
      </c>
      <c r="J18" s="10" t="str">
        <f>IF(Friedman!AE15=0,"",Friedman!AE15)</f>
        <v/>
      </c>
      <c r="K18" s="10" t="str">
        <f>IF(Friedman!AI15=0,"",Friedman!AI15)</f>
        <v/>
      </c>
      <c r="L18" s="10" t="str">
        <f>IF(Friedman!AM15=0,"",Friedman!AM15)</f>
        <v/>
      </c>
      <c r="M18" s="10" t="str">
        <f>IF(Friedman!AQ15=0,"",Friedman!AQ15)</f>
        <v/>
      </c>
      <c r="N18" s="10" t="str">
        <f>IF(Friedman!AU15=0,"",Friedman!AU15)</f>
        <v/>
      </c>
      <c r="O18" s="10" t="str">
        <f>IF(Friedman!AY15=0,"",Friedman!AY15)</f>
        <v/>
      </c>
      <c r="P18" s="10" t="str">
        <f>IF(Friedman!BC15=0,"",Friedman!BC15)</f>
        <v/>
      </c>
      <c r="Q18" s="10" t="str">
        <f>IF(Friedman!BG15=0,"",Friedman!BG15)</f>
        <v/>
      </c>
      <c r="R18" s="10" t="str">
        <f>IF(Friedman!BK15=0,"",Friedman!BK15)</f>
        <v/>
      </c>
      <c r="S18" s="10" t="str">
        <f>IF(Friedman!BO15=0,"",Friedman!BO15)</f>
        <v/>
      </c>
      <c r="T18" s="10" t="str">
        <f>IF(Friedman!BS15=0,"",Friedman!BS15)</f>
        <v/>
      </c>
      <c r="U18" s="10" t="str">
        <f>IF(Friedman!BW15=0,"",Friedman!BW15)</f>
        <v/>
      </c>
      <c r="V18" s="10" t="str">
        <f>IF(Friedman!CA15=0,"",Friedman!CA15)</f>
        <v/>
      </c>
      <c r="W18" s="10" t="str">
        <f>IF(Friedman!CE15=0,"",Friedman!CE15)</f>
        <v/>
      </c>
      <c r="X18" s="10" t="str">
        <f>IF(Friedman!CI15=0,"",Friedman!CI15)</f>
        <v/>
      </c>
      <c r="Y18"/>
      <c r="Z18"/>
      <c r="AA18"/>
      <c r="AB18"/>
      <c r="AC18"/>
      <c r="AD18"/>
      <c r="AE18"/>
      <c r="AF18"/>
      <c r="AI18" s="154">
        <f t="shared" si="3"/>
        <v>0</v>
      </c>
      <c r="AJ18" s="154">
        <f t="shared" si="3"/>
        <v>0</v>
      </c>
      <c r="AK18" s="154">
        <f t="shared" si="3"/>
        <v>0</v>
      </c>
      <c r="AL18" s="154">
        <f t="shared" si="3"/>
        <v>0</v>
      </c>
      <c r="AM18" s="154">
        <f t="shared" si="3"/>
        <v>0</v>
      </c>
      <c r="AN18" s="163">
        <f t="shared" si="2"/>
        <v>0</v>
      </c>
    </row>
    <row r="19" spans="2:40" s="25" customFormat="1" ht="14.25" customHeight="1">
      <c r="B19" s="154" t="s">
        <v>32</v>
      </c>
      <c r="C19" s="155">
        <f>'Daily &amp; Weekly Totals'!E21</f>
        <v>43933</v>
      </c>
      <c r="E19" s="10" t="str">
        <f>IF(Friedman!K16=0,"",Friedman!K16)</f>
        <v/>
      </c>
      <c r="F19" s="10" t="str">
        <f>IF(Friedman!O16=0,"",Friedman!O16)</f>
        <v/>
      </c>
      <c r="G19" s="10" t="str">
        <f>IF(Friedman!S16=0,"",Friedman!S16)</f>
        <v/>
      </c>
      <c r="H19" s="10" t="str">
        <f>IF(Friedman!W16=0,"",Friedman!W16)</f>
        <v/>
      </c>
      <c r="I19" s="10" t="str">
        <f>IF(Friedman!AA16=0,"",Friedman!AA16)</f>
        <v/>
      </c>
      <c r="J19" s="10" t="str">
        <f>IF(Friedman!AE16=0,"",Friedman!AE16)</f>
        <v/>
      </c>
      <c r="K19" s="10" t="str">
        <f>IF(Friedman!AI16=0,"",Friedman!AI16)</f>
        <v/>
      </c>
      <c r="L19" s="10" t="str">
        <f>IF(Friedman!AM16=0,"",Friedman!AM16)</f>
        <v/>
      </c>
      <c r="M19" s="10" t="str">
        <f>IF(Friedman!AQ16=0,"",Friedman!AQ16)</f>
        <v/>
      </c>
      <c r="N19" s="10" t="str">
        <f>IF(Friedman!AU16=0,"",Friedman!AU16)</f>
        <v/>
      </c>
      <c r="O19" s="10" t="str">
        <f>IF(Friedman!AY16=0,"",Friedman!AY16)</f>
        <v/>
      </c>
      <c r="P19" s="10" t="str">
        <f>IF(Friedman!BC16=0,"",Friedman!BC16)</f>
        <v/>
      </c>
      <c r="Q19" s="10" t="str">
        <f>IF(Friedman!BG16=0,"",Friedman!BG16)</f>
        <v/>
      </c>
      <c r="R19" s="10" t="str">
        <f>IF(Friedman!BK16=0,"",Friedman!BK16)</f>
        <v/>
      </c>
      <c r="S19" s="10" t="str">
        <f>IF(Friedman!BO16=0,"",Friedman!BO16)</f>
        <v/>
      </c>
      <c r="T19" s="10" t="str">
        <f>IF(Friedman!BS16=0,"",Friedman!BS16)</f>
        <v/>
      </c>
      <c r="U19" s="10" t="str">
        <f>IF(Friedman!BW16=0,"",Friedman!BW16)</f>
        <v/>
      </c>
      <c r="V19" s="10" t="str">
        <f>IF(Friedman!CA16=0,"",Friedman!CA16)</f>
        <v/>
      </c>
      <c r="W19" s="10" t="str">
        <f>IF(Friedman!CE16=0,"",Friedman!CE16)</f>
        <v/>
      </c>
      <c r="X19" s="10" t="str">
        <f>IF(Friedman!CI16=0,"",Friedman!CI16)</f>
        <v/>
      </c>
      <c r="Y19"/>
      <c r="Z19"/>
      <c r="AA19"/>
      <c r="AB19"/>
      <c r="AC19"/>
      <c r="AD19"/>
      <c r="AE19"/>
      <c r="AF19"/>
      <c r="AI19" s="154">
        <f t="shared" si="3"/>
        <v>0</v>
      </c>
      <c r="AJ19" s="154">
        <f t="shared" si="3"/>
        <v>0</v>
      </c>
      <c r="AK19" s="154">
        <f t="shared" si="3"/>
        <v>0</v>
      </c>
      <c r="AL19" s="154">
        <f t="shared" si="3"/>
        <v>0</v>
      </c>
      <c r="AM19" s="154">
        <f t="shared" si="3"/>
        <v>0</v>
      </c>
      <c r="AN19" s="163">
        <f t="shared" si="2"/>
        <v>0</v>
      </c>
    </row>
    <row r="20" spans="2:40" s="25" customFormat="1" ht="14.25" customHeight="1">
      <c r="B20" s="154" t="s">
        <v>26</v>
      </c>
      <c r="C20" s="155">
        <f>'Daily &amp; Weekly Totals'!E25</f>
        <v>43934</v>
      </c>
      <c r="E20" s="10" t="str">
        <f>IF(Friedman!K17=0,"",Friedman!K17)</f>
        <v/>
      </c>
      <c r="F20" s="10" t="str">
        <f>IF(Friedman!O17=0,"",Friedman!O17)</f>
        <v/>
      </c>
      <c r="G20" s="10" t="str">
        <f>IF(Friedman!S17=0,"",Friedman!S17)</f>
        <v/>
      </c>
      <c r="H20" s="10" t="str">
        <f>IF(Friedman!W17=0,"",Friedman!W17)</f>
        <v/>
      </c>
      <c r="I20" s="10" t="str">
        <f>IF(Friedman!AA17=0,"",Friedman!AA17)</f>
        <v/>
      </c>
      <c r="J20" s="10" t="str">
        <f>IF(Friedman!AE17=0,"",Friedman!AE17)</f>
        <v/>
      </c>
      <c r="K20" s="10" t="str">
        <f>IF(Friedman!AI17=0,"",Friedman!AI17)</f>
        <v/>
      </c>
      <c r="L20" s="10" t="str">
        <f>IF(Friedman!AM17=0,"",Friedman!AM17)</f>
        <v/>
      </c>
      <c r="M20" s="10" t="str">
        <f>IF(Friedman!AQ17=0,"",Friedman!AQ17)</f>
        <v/>
      </c>
      <c r="N20" s="10" t="str">
        <f>IF(Friedman!AU17=0,"",Friedman!AU17)</f>
        <v/>
      </c>
      <c r="O20" s="10" t="str">
        <f>IF(Friedman!AY17=0,"",Friedman!AY17)</f>
        <v/>
      </c>
      <c r="P20" s="10" t="str">
        <f>IF(Friedman!BC17=0,"",Friedman!BC17)</f>
        <v/>
      </c>
      <c r="Q20" s="10" t="str">
        <f>IF(Friedman!BG17=0,"",Friedman!BG17)</f>
        <v/>
      </c>
      <c r="R20" s="10" t="str">
        <f>IF(Friedman!BK17=0,"",Friedman!BK17)</f>
        <v/>
      </c>
      <c r="S20" s="10" t="str">
        <f>IF(Friedman!BO17=0,"",Friedman!BO17)</f>
        <v/>
      </c>
      <c r="T20" s="10" t="str">
        <f>IF(Friedman!BS17=0,"",Friedman!BS17)</f>
        <v/>
      </c>
      <c r="U20" s="10" t="str">
        <f>IF(Friedman!BW17=0,"",Friedman!BW17)</f>
        <v/>
      </c>
      <c r="V20" s="10" t="str">
        <f>IF(Friedman!CA17=0,"",Friedman!CA17)</f>
        <v/>
      </c>
      <c r="W20" s="10" t="str">
        <f>IF(Friedman!CE17=0,"",Friedman!CE17)</f>
        <v/>
      </c>
      <c r="X20" s="10" t="str">
        <f>IF(Friedman!CI17=0,"",Friedman!CI17)</f>
        <v/>
      </c>
      <c r="Y20"/>
      <c r="Z20" s="164"/>
      <c r="AA20"/>
      <c r="AB20"/>
      <c r="AC20"/>
      <c r="AD20"/>
      <c r="AE20"/>
      <c r="AF20"/>
      <c r="AI20" s="154">
        <f t="shared" si="3"/>
        <v>0</v>
      </c>
      <c r="AJ20" s="154">
        <f t="shared" si="3"/>
        <v>0</v>
      </c>
      <c r="AK20" s="154">
        <f t="shared" si="3"/>
        <v>0</v>
      </c>
      <c r="AL20" s="154">
        <f t="shared" si="3"/>
        <v>0</v>
      </c>
      <c r="AM20" s="154">
        <f t="shared" si="3"/>
        <v>0</v>
      </c>
      <c r="AN20" s="163">
        <f t="shared" si="2"/>
        <v>0</v>
      </c>
    </row>
    <row r="21" spans="2:40" s="25" customFormat="1" ht="14.25" customHeight="1">
      <c r="B21" s="154" t="s">
        <v>27</v>
      </c>
      <c r="C21" s="155">
        <f>'Daily &amp; Weekly Totals'!E26</f>
        <v>43935</v>
      </c>
      <c r="E21" s="10" t="str">
        <f>IF(Friedman!K18=0,"",Friedman!K18)</f>
        <v/>
      </c>
      <c r="F21" s="10" t="str">
        <f>IF(Friedman!O18=0,"",Friedman!O18)</f>
        <v/>
      </c>
      <c r="G21" s="10" t="str">
        <f>IF(Friedman!S18=0,"",Friedman!S18)</f>
        <v/>
      </c>
      <c r="H21" s="10" t="str">
        <f>IF(Friedman!W18=0,"",Friedman!W18)</f>
        <v/>
      </c>
      <c r="I21" s="10" t="str">
        <f>IF(Friedman!AA18=0,"",Friedman!AA18)</f>
        <v/>
      </c>
      <c r="J21" s="10" t="str">
        <f>IF(Friedman!AE18=0,"",Friedman!AE18)</f>
        <v/>
      </c>
      <c r="K21" s="10" t="str">
        <f>IF(Friedman!AI18=0,"",Friedman!AI18)</f>
        <v/>
      </c>
      <c r="L21" s="10" t="str">
        <f>IF(Friedman!AM18=0,"",Friedman!AM18)</f>
        <v/>
      </c>
      <c r="M21" s="10" t="str">
        <f>IF(Friedman!AQ18=0,"",Friedman!AQ18)</f>
        <v/>
      </c>
      <c r="N21" s="10" t="str">
        <f>IF(Friedman!AU18=0,"",Friedman!AU18)</f>
        <v/>
      </c>
      <c r="O21" s="10" t="str">
        <f>IF(Friedman!AY18=0,"",Friedman!AY18)</f>
        <v/>
      </c>
      <c r="P21" s="10" t="str">
        <f>IF(Friedman!BC18=0,"",Friedman!BC18)</f>
        <v/>
      </c>
      <c r="Q21" s="10" t="str">
        <f>IF(Friedman!BG18=0,"",Friedman!BG18)</f>
        <v/>
      </c>
      <c r="R21" s="10" t="str">
        <f>IF(Friedman!BK18=0,"",Friedman!BK18)</f>
        <v/>
      </c>
      <c r="S21" s="10" t="str">
        <f>IF(Friedman!BO18=0,"",Friedman!BO18)</f>
        <v/>
      </c>
      <c r="T21" s="10" t="str">
        <f>IF(Friedman!BS18=0,"",Friedman!BS18)</f>
        <v/>
      </c>
      <c r="U21" s="10" t="str">
        <f>IF(Friedman!BW18=0,"",Friedman!BW18)</f>
        <v/>
      </c>
      <c r="V21" s="10" t="str">
        <f>IF(Friedman!CA18=0,"",Friedman!CA18)</f>
        <v/>
      </c>
      <c r="W21" s="10" t="str">
        <f>IF(Friedman!CE18=0,"",Friedman!CE18)</f>
        <v/>
      </c>
      <c r="X21" s="10" t="str">
        <f>IF(Friedman!CI18=0,"",Friedman!CI18)</f>
        <v/>
      </c>
      <c r="Y21"/>
      <c r="Z21" s="164"/>
      <c r="AA21"/>
      <c r="AB21"/>
      <c r="AC21"/>
      <c r="AD21"/>
      <c r="AE21"/>
      <c r="AF21"/>
      <c r="AI21" s="154">
        <f t="shared" si="3"/>
        <v>0</v>
      </c>
      <c r="AJ21" s="154">
        <f t="shared" si="3"/>
        <v>0</v>
      </c>
      <c r="AK21" s="154">
        <f t="shared" si="3"/>
        <v>0</v>
      </c>
      <c r="AL21" s="154">
        <f t="shared" si="3"/>
        <v>0</v>
      </c>
      <c r="AM21" s="154">
        <f t="shared" si="3"/>
        <v>0</v>
      </c>
      <c r="AN21" s="163">
        <f t="shared" si="2"/>
        <v>0</v>
      </c>
    </row>
    <row r="22" spans="2:40" s="25" customFormat="1" ht="14.25" customHeight="1">
      <c r="B22" s="154" t="s">
        <v>28</v>
      </c>
      <c r="C22" s="155">
        <f>'Daily &amp; Weekly Totals'!E27</f>
        <v>43936</v>
      </c>
      <c r="E22" s="10" t="str">
        <f>IF(Friedman!K19=0,"",Friedman!K19)</f>
        <v/>
      </c>
      <c r="F22" s="10" t="str">
        <f>IF(Friedman!O19=0,"",Friedman!O19)</f>
        <v/>
      </c>
      <c r="G22" s="10" t="str">
        <f>IF(Friedman!S19=0,"",Friedman!S19)</f>
        <v/>
      </c>
      <c r="H22" s="10" t="str">
        <f>IF(Friedman!W19=0,"",Friedman!W19)</f>
        <v/>
      </c>
      <c r="I22" s="10" t="str">
        <f>IF(Friedman!AA19=0,"",Friedman!AA19)</f>
        <v/>
      </c>
      <c r="J22" s="10" t="str">
        <f>IF(Friedman!AE19=0,"",Friedman!AE19)</f>
        <v/>
      </c>
      <c r="K22" s="10" t="str">
        <f>IF(Friedman!AI19=0,"",Friedman!AI19)</f>
        <v/>
      </c>
      <c r="L22" s="10" t="str">
        <f>IF(Friedman!AM19=0,"",Friedman!AM19)</f>
        <v/>
      </c>
      <c r="M22" s="10" t="str">
        <f>IF(Friedman!AQ19=0,"",Friedman!AQ19)</f>
        <v/>
      </c>
      <c r="N22" s="10" t="str">
        <f>IF(Friedman!AU19=0,"",Friedman!AU19)</f>
        <v/>
      </c>
      <c r="O22" s="10" t="str">
        <f>IF(Friedman!AY19=0,"",Friedman!AY19)</f>
        <v/>
      </c>
      <c r="P22" s="10" t="str">
        <f>IF(Friedman!BC19=0,"",Friedman!BC19)</f>
        <v/>
      </c>
      <c r="Q22" s="10" t="str">
        <f>IF(Friedman!BG19=0,"",Friedman!BG19)</f>
        <v/>
      </c>
      <c r="R22" s="10" t="str">
        <f>IF(Friedman!BK19=0,"",Friedman!BK19)</f>
        <v/>
      </c>
      <c r="S22" s="10" t="str">
        <f>IF(Friedman!BO19=0,"",Friedman!BO19)</f>
        <v/>
      </c>
      <c r="T22" s="10" t="str">
        <f>IF(Friedman!BS19=0,"",Friedman!BS19)</f>
        <v/>
      </c>
      <c r="U22" s="10" t="str">
        <f>IF(Friedman!BW19=0,"",Friedman!BW19)</f>
        <v/>
      </c>
      <c r="V22" s="10" t="str">
        <f>IF(Friedman!CA19=0,"",Friedman!CA19)</f>
        <v/>
      </c>
      <c r="W22" s="10" t="str">
        <f>IF(Friedman!CE19=0,"",Friedman!CE19)</f>
        <v/>
      </c>
      <c r="X22" s="10" t="str">
        <f>IF(Friedman!CI19=0,"",Friedman!CI19)</f>
        <v/>
      </c>
      <c r="Y22"/>
      <c r="Z22" s="164"/>
      <c r="AA22"/>
      <c r="AB22"/>
      <c r="AC22"/>
      <c r="AD22"/>
      <c r="AE22"/>
      <c r="AF22"/>
      <c r="AI22" s="154">
        <f t="shared" si="3"/>
        <v>0</v>
      </c>
      <c r="AJ22" s="154">
        <f t="shared" si="3"/>
        <v>0</v>
      </c>
      <c r="AK22" s="154">
        <f t="shared" si="3"/>
        <v>0</v>
      </c>
      <c r="AL22" s="154">
        <f t="shared" si="3"/>
        <v>0</v>
      </c>
      <c r="AM22" s="154">
        <f t="shared" si="3"/>
        <v>0</v>
      </c>
      <c r="AN22" s="163">
        <f t="shared" si="2"/>
        <v>0</v>
      </c>
    </row>
    <row r="23" spans="2:40" s="25" customFormat="1" ht="14.25" customHeight="1">
      <c r="B23" s="154" t="s">
        <v>29</v>
      </c>
      <c r="C23" s="155">
        <f>'Daily &amp; Weekly Totals'!E28</f>
        <v>43937</v>
      </c>
      <c r="E23" s="10" t="str">
        <f>IF(Friedman!K20=0,"",Friedman!K20)</f>
        <v/>
      </c>
      <c r="F23" s="10" t="str">
        <f>IF(Friedman!O20=0,"",Friedman!O20)</f>
        <v/>
      </c>
      <c r="G23" s="10" t="str">
        <f>IF(Friedman!S20=0,"",Friedman!S20)</f>
        <v/>
      </c>
      <c r="H23" s="10" t="str">
        <f>IF(Friedman!W20=0,"",Friedman!W20)</f>
        <v/>
      </c>
      <c r="I23" s="10" t="str">
        <f>IF(Friedman!AA20=0,"",Friedman!AA20)</f>
        <v/>
      </c>
      <c r="J23" s="10" t="str">
        <f>IF(Friedman!AE20=0,"",Friedman!AE20)</f>
        <v/>
      </c>
      <c r="K23" s="10" t="str">
        <f>IF(Friedman!AI20=0,"",Friedman!AI20)</f>
        <v/>
      </c>
      <c r="L23" s="10" t="str">
        <f>IF(Friedman!AM20=0,"",Friedman!AM20)</f>
        <v/>
      </c>
      <c r="M23" s="10" t="str">
        <f>IF(Friedman!AQ20=0,"",Friedman!AQ20)</f>
        <v/>
      </c>
      <c r="N23" s="10" t="str">
        <f>IF(Friedman!AU20=0,"",Friedman!AU20)</f>
        <v/>
      </c>
      <c r="O23" s="10" t="str">
        <f>IF(Friedman!AY20=0,"",Friedman!AY20)</f>
        <v/>
      </c>
      <c r="P23" s="10" t="str">
        <f>IF(Friedman!BC20=0,"",Friedman!BC20)</f>
        <v/>
      </c>
      <c r="Q23" s="10" t="str">
        <f>IF(Friedman!BG20=0,"",Friedman!BG20)</f>
        <v/>
      </c>
      <c r="R23" s="10" t="str">
        <f>IF(Friedman!BK20=0,"",Friedman!BK20)</f>
        <v/>
      </c>
      <c r="S23" s="10" t="str">
        <f>IF(Friedman!BO20=0,"",Friedman!BO20)</f>
        <v/>
      </c>
      <c r="T23" s="10" t="str">
        <f>IF(Friedman!BS20=0,"",Friedman!BS20)</f>
        <v/>
      </c>
      <c r="U23" s="10" t="str">
        <f>IF(Friedman!BW20=0,"",Friedman!BW20)</f>
        <v/>
      </c>
      <c r="V23" s="10" t="str">
        <f>IF(Friedman!CA20=0,"",Friedman!CA20)</f>
        <v/>
      </c>
      <c r="W23" s="10" t="str">
        <f>IF(Friedman!CE20=0,"",Friedman!CE20)</f>
        <v/>
      </c>
      <c r="X23" s="10" t="str">
        <f>IF(Friedman!CI20=0,"",Friedman!CI20)</f>
        <v/>
      </c>
      <c r="Y23"/>
      <c r="Z23" s="164"/>
      <c r="AA23"/>
      <c r="AB23"/>
      <c r="AC23"/>
      <c r="AD23"/>
      <c r="AE23"/>
      <c r="AF23"/>
      <c r="AI23" s="154">
        <f t="shared" si="3"/>
        <v>0</v>
      </c>
      <c r="AJ23" s="154">
        <f t="shared" si="3"/>
        <v>0</v>
      </c>
      <c r="AK23" s="154">
        <f t="shared" si="3"/>
        <v>0</v>
      </c>
      <c r="AL23" s="154">
        <f t="shared" si="3"/>
        <v>0</v>
      </c>
      <c r="AM23" s="154">
        <f t="shared" si="3"/>
        <v>0</v>
      </c>
      <c r="AN23" s="163">
        <f t="shared" si="2"/>
        <v>0</v>
      </c>
    </row>
    <row r="24" spans="2:40" s="25" customFormat="1" ht="14.25" customHeight="1">
      <c r="B24" s="154" t="s">
        <v>30</v>
      </c>
      <c r="C24" s="155">
        <f>'Daily &amp; Weekly Totals'!E29</f>
        <v>43938</v>
      </c>
      <c r="E24" s="10" t="str">
        <f>IF(Friedman!K21=0,"",Friedman!K21)</f>
        <v/>
      </c>
      <c r="F24" s="10" t="str">
        <f>IF(Friedman!O21=0,"",Friedman!O21)</f>
        <v/>
      </c>
      <c r="G24" s="10" t="str">
        <f>IF(Friedman!S21=0,"",Friedman!S21)</f>
        <v/>
      </c>
      <c r="H24" s="10" t="str">
        <f>IF(Friedman!W21=0,"",Friedman!W21)</f>
        <v/>
      </c>
      <c r="I24" s="10" t="str">
        <f>IF(Friedman!AA21=0,"",Friedman!AA21)</f>
        <v/>
      </c>
      <c r="J24" s="10" t="str">
        <f>IF(Friedman!AE21=0,"",Friedman!AE21)</f>
        <v/>
      </c>
      <c r="K24" s="10" t="str">
        <f>IF(Friedman!AI21=0,"",Friedman!AI21)</f>
        <v/>
      </c>
      <c r="L24" s="10" t="str">
        <f>IF(Friedman!AM21=0,"",Friedman!AM21)</f>
        <v/>
      </c>
      <c r="M24" s="10" t="str">
        <f>IF(Friedman!AQ21=0,"",Friedman!AQ21)</f>
        <v/>
      </c>
      <c r="N24" s="10" t="str">
        <f>IF(Friedman!AU21=0,"",Friedman!AU21)</f>
        <v/>
      </c>
      <c r="O24" s="10" t="str">
        <f>IF(Friedman!AY21=0,"",Friedman!AY21)</f>
        <v/>
      </c>
      <c r="P24" s="10" t="str">
        <f>IF(Friedman!BC21=0,"",Friedman!BC21)</f>
        <v/>
      </c>
      <c r="Q24" s="10" t="str">
        <f>IF(Friedman!BG21=0,"",Friedman!BG21)</f>
        <v/>
      </c>
      <c r="R24" s="10" t="str">
        <f>IF(Friedman!BK21=0,"",Friedman!BK21)</f>
        <v/>
      </c>
      <c r="S24" s="10" t="str">
        <f>IF(Friedman!BO21=0,"",Friedman!BO21)</f>
        <v/>
      </c>
      <c r="T24" s="10" t="str">
        <f>IF(Friedman!BS21=0,"",Friedman!BS21)</f>
        <v/>
      </c>
      <c r="U24" s="10" t="str">
        <f>IF(Friedman!BW21=0,"",Friedman!BW21)</f>
        <v/>
      </c>
      <c r="V24" s="10" t="str">
        <f>IF(Friedman!CA21=0,"",Friedman!CA21)</f>
        <v/>
      </c>
      <c r="W24" s="10" t="str">
        <f>IF(Friedman!CE21=0,"",Friedman!CE21)</f>
        <v/>
      </c>
      <c r="X24" s="10" t="str">
        <f>IF(Friedman!CI21=0,"",Friedman!CI21)</f>
        <v/>
      </c>
      <c r="Y24"/>
      <c r="Z24" s="164"/>
      <c r="AA24"/>
      <c r="AB24"/>
      <c r="AC24"/>
      <c r="AD24"/>
      <c r="AE24"/>
      <c r="AF24"/>
      <c r="AI24" s="154">
        <f t="shared" si="3"/>
        <v>0</v>
      </c>
      <c r="AJ24" s="154">
        <f t="shared" si="3"/>
        <v>0</v>
      </c>
      <c r="AK24" s="154">
        <f t="shared" si="3"/>
        <v>0</v>
      </c>
      <c r="AL24" s="154">
        <f t="shared" si="3"/>
        <v>0</v>
      </c>
      <c r="AM24" s="154">
        <f t="shared" si="3"/>
        <v>0</v>
      </c>
      <c r="AN24" s="163">
        <f t="shared" si="2"/>
        <v>0</v>
      </c>
    </row>
    <row r="25" spans="2:40" s="25" customFormat="1" ht="14.25" customHeight="1">
      <c r="B25" s="154" t="s">
        <v>31</v>
      </c>
      <c r="C25" s="155">
        <f>'Daily &amp; Weekly Totals'!E30</f>
        <v>43939</v>
      </c>
      <c r="E25" s="10" t="str">
        <f>IF(Friedman!K22=0,"",Friedman!K22)</f>
        <v/>
      </c>
      <c r="F25" s="10" t="str">
        <f>IF(Friedman!O22=0,"",Friedman!O22)</f>
        <v/>
      </c>
      <c r="G25" s="10" t="str">
        <f>IF(Friedman!S22=0,"",Friedman!S22)</f>
        <v/>
      </c>
      <c r="H25" s="10" t="str">
        <f>IF(Friedman!W22=0,"",Friedman!W22)</f>
        <v/>
      </c>
      <c r="I25" s="10" t="str">
        <f>IF(Friedman!AA22=0,"",Friedman!AA22)</f>
        <v/>
      </c>
      <c r="J25" s="10" t="str">
        <f>IF(Friedman!AE22=0,"",Friedman!AE22)</f>
        <v/>
      </c>
      <c r="K25" s="10" t="str">
        <f>IF(Friedman!AI22=0,"",Friedman!AI22)</f>
        <v/>
      </c>
      <c r="L25" s="10" t="str">
        <f>IF(Friedman!AM22=0,"",Friedman!AM22)</f>
        <v/>
      </c>
      <c r="M25" s="10" t="str">
        <f>IF(Friedman!AQ22=0,"",Friedman!AQ22)</f>
        <v/>
      </c>
      <c r="N25" s="10" t="str">
        <f>IF(Friedman!AU22=0,"",Friedman!AU22)</f>
        <v/>
      </c>
      <c r="O25" s="10" t="str">
        <f>IF(Friedman!AY22=0,"",Friedman!AY22)</f>
        <v/>
      </c>
      <c r="P25" s="10" t="str">
        <f>IF(Friedman!BC22=0,"",Friedman!BC22)</f>
        <v/>
      </c>
      <c r="Q25" s="10" t="str">
        <f>IF(Friedman!BG22=0,"",Friedman!BG22)</f>
        <v/>
      </c>
      <c r="R25" s="10" t="str">
        <f>IF(Friedman!BK22=0,"",Friedman!BK22)</f>
        <v/>
      </c>
      <c r="S25" s="10" t="str">
        <f>IF(Friedman!BO22=0,"",Friedman!BO22)</f>
        <v/>
      </c>
      <c r="T25" s="10" t="str">
        <f>IF(Friedman!BS22=0,"",Friedman!BS22)</f>
        <v/>
      </c>
      <c r="U25" s="10" t="str">
        <f>IF(Friedman!BW22=0,"",Friedman!BW22)</f>
        <v/>
      </c>
      <c r="V25" s="10" t="str">
        <f>IF(Friedman!CA22=0,"",Friedman!CA22)</f>
        <v/>
      </c>
      <c r="W25" s="10" t="str">
        <f>IF(Friedman!CE22=0,"",Friedman!CE22)</f>
        <v/>
      </c>
      <c r="X25" s="10" t="str">
        <f>IF(Friedman!CI22=0,"",Friedman!CI22)</f>
        <v/>
      </c>
      <c r="Y25"/>
      <c r="Z25" s="164"/>
      <c r="AA25"/>
      <c r="AB25"/>
      <c r="AC25"/>
      <c r="AD25"/>
      <c r="AE25"/>
      <c r="AF25"/>
      <c r="AI25" s="154">
        <f t="shared" si="3"/>
        <v>0</v>
      </c>
      <c r="AJ25" s="154">
        <f t="shared" si="3"/>
        <v>0</v>
      </c>
      <c r="AK25" s="154">
        <f t="shared" si="3"/>
        <v>0</v>
      </c>
      <c r="AL25" s="154">
        <f t="shared" si="3"/>
        <v>0</v>
      </c>
      <c r="AM25" s="154">
        <f t="shared" si="3"/>
        <v>0</v>
      </c>
      <c r="AN25" s="163">
        <f t="shared" si="2"/>
        <v>0</v>
      </c>
    </row>
    <row r="26" spans="2:40" s="25" customFormat="1" ht="14.25" customHeight="1">
      <c r="B26" s="154" t="s">
        <v>32</v>
      </c>
      <c r="C26" s="155">
        <f>'Daily &amp; Weekly Totals'!E31</f>
        <v>43940</v>
      </c>
      <c r="E26" s="10" t="str">
        <f>IF(Friedman!K23=0,"",Friedman!K23)</f>
        <v/>
      </c>
      <c r="F26" s="10" t="str">
        <f>IF(Friedman!O23=0,"",Friedman!O23)</f>
        <v/>
      </c>
      <c r="G26" s="10" t="str">
        <f>IF(Friedman!S23=0,"",Friedman!S23)</f>
        <v/>
      </c>
      <c r="H26" s="10" t="str">
        <f>IF(Friedman!W23=0,"",Friedman!W23)</f>
        <v/>
      </c>
      <c r="I26" s="10" t="str">
        <f>IF(Friedman!AA23=0,"",Friedman!AA23)</f>
        <v/>
      </c>
      <c r="J26" s="10" t="str">
        <f>IF(Friedman!AE23=0,"",Friedman!AE23)</f>
        <v/>
      </c>
      <c r="K26" s="10" t="str">
        <f>IF(Friedman!AI23=0,"",Friedman!AI23)</f>
        <v/>
      </c>
      <c r="L26" s="10" t="str">
        <f>IF(Friedman!AM23=0,"",Friedman!AM23)</f>
        <v/>
      </c>
      <c r="M26" s="10" t="str">
        <f>IF(Friedman!AQ23=0,"",Friedman!AQ23)</f>
        <v/>
      </c>
      <c r="N26" s="10" t="str">
        <f>IF(Friedman!AU23=0,"",Friedman!AU23)</f>
        <v/>
      </c>
      <c r="O26" s="10" t="str">
        <f>IF(Friedman!AY23=0,"",Friedman!AY23)</f>
        <v/>
      </c>
      <c r="P26" s="10" t="str">
        <f>IF(Friedman!BC23=0,"",Friedman!BC23)</f>
        <v/>
      </c>
      <c r="Q26" s="10" t="str">
        <f>IF(Friedman!BG23=0,"",Friedman!BG23)</f>
        <v/>
      </c>
      <c r="R26" s="10" t="str">
        <f>IF(Friedman!BK23=0,"",Friedman!BK23)</f>
        <v/>
      </c>
      <c r="S26" s="10" t="str">
        <f>IF(Friedman!BO23=0,"",Friedman!BO23)</f>
        <v/>
      </c>
      <c r="T26" s="10" t="str">
        <f>IF(Friedman!BS23=0,"",Friedman!BS23)</f>
        <v/>
      </c>
      <c r="U26" s="10" t="str">
        <f>IF(Friedman!BW23=0,"",Friedman!BW23)</f>
        <v/>
      </c>
      <c r="V26" s="10" t="str">
        <f>IF(Friedman!CA23=0,"",Friedman!CA23)</f>
        <v/>
      </c>
      <c r="W26" s="10" t="str">
        <f>IF(Friedman!CE23=0,"",Friedman!CE23)</f>
        <v/>
      </c>
      <c r="X26" s="10" t="str">
        <f>IF(Friedman!CI23=0,"",Friedman!CI23)</f>
        <v/>
      </c>
      <c r="Y26"/>
      <c r="Z26" s="164"/>
      <c r="AA26"/>
      <c r="AB26"/>
      <c r="AC26"/>
      <c r="AD26"/>
      <c r="AE26"/>
      <c r="AF26"/>
      <c r="AI26" s="154">
        <f t="shared" ref="AI26:AM35" si="4">SUMIF($E$3:$AG$3,AI$3,$E26:$AG26)</f>
        <v>0</v>
      </c>
      <c r="AJ26" s="154">
        <f t="shared" si="4"/>
        <v>0</v>
      </c>
      <c r="AK26" s="154">
        <f t="shared" si="4"/>
        <v>0</v>
      </c>
      <c r="AL26" s="154">
        <f t="shared" si="4"/>
        <v>0</v>
      </c>
      <c r="AM26" s="154">
        <f t="shared" si="4"/>
        <v>0</v>
      </c>
      <c r="AN26" s="163">
        <f t="shared" si="2"/>
        <v>0</v>
      </c>
    </row>
    <row r="27" spans="2:40" s="25" customFormat="1" ht="14.25" customHeight="1">
      <c r="B27" s="154" t="s">
        <v>26</v>
      </c>
      <c r="C27" s="155">
        <f>'Daily &amp; Weekly Totals'!E35</f>
        <v>43941</v>
      </c>
      <c r="E27" s="10" t="str">
        <f>IF(Friedman!K24=0,"",Friedman!K24)</f>
        <v/>
      </c>
      <c r="F27" s="10" t="str">
        <f>IF(Friedman!O24=0,"",Friedman!O24)</f>
        <v/>
      </c>
      <c r="G27" s="10" t="str">
        <f>IF(Friedman!S24=0,"",Friedman!S24)</f>
        <v/>
      </c>
      <c r="H27" s="10" t="str">
        <f>IF(Friedman!W24=0,"",Friedman!W24)</f>
        <v/>
      </c>
      <c r="I27" s="10" t="str">
        <f>IF(Friedman!AA24=0,"",Friedman!AA24)</f>
        <v/>
      </c>
      <c r="J27" s="10" t="str">
        <f>IF(Friedman!AE24=0,"",Friedman!AE24)</f>
        <v/>
      </c>
      <c r="K27" s="10" t="str">
        <f>IF(Friedman!AI24=0,"",Friedman!AI24)</f>
        <v/>
      </c>
      <c r="L27" s="10" t="str">
        <f>IF(Friedman!AM24=0,"",Friedman!AM24)</f>
        <v/>
      </c>
      <c r="M27" s="10" t="str">
        <f>IF(Friedman!AQ24=0,"",Friedman!AQ24)</f>
        <v/>
      </c>
      <c r="N27" s="10" t="str">
        <f>IF(Friedman!AU24=0,"",Friedman!AU24)</f>
        <v/>
      </c>
      <c r="O27" s="10" t="str">
        <f>IF(Friedman!AY24=0,"",Friedman!AY24)</f>
        <v/>
      </c>
      <c r="P27" s="10" t="str">
        <f>IF(Friedman!BC24=0,"",Friedman!BC24)</f>
        <v/>
      </c>
      <c r="Q27" s="10" t="str">
        <f>IF(Friedman!BG24=0,"",Friedman!BG24)</f>
        <v/>
      </c>
      <c r="R27" s="10" t="str">
        <f>IF(Friedman!BK24=0,"",Friedman!BK24)</f>
        <v/>
      </c>
      <c r="S27" s="10" t="str">
        <f>IF(Friedman!BO24=0,"",Friedman!BO24)</f>
        <v/>
      </c>
      <c r="T27" s="10" t="str">
        <f>IF(Friedman!BS24=0,"",Friedman!BS24)</f>
        <v/>
      </c>
      <c r="U27" s="10" t="str">
        <f>IF(Friedman!BW24=0,"",Friedman!BW24)</f>
        <v/>
      </c>
      <c r="V27" s="10" t="str">
        <f>IF(Friedman!CA24=0,"",Friedman!CA24)</f>
        <v/>
      </c>
      <c r="W27" s="10" t="str">
        <f>IF(Friedman!CE24=0,"",Friedman!CE24)</f>
        <v/>
      </c>
      <c r="X27" s="10" t="str">
        <f>IF(Friedman!CI24=0,"",Friedman!CI24)</f>
        <v/>
      </c>
      <c r="Y27"/>
      <c r="Z27" s="164"/>
      <c r="AA27"/>
      <c r="AB27"/>
      <c r="AC27"/>
      <c r="AD27"/>
      <c r="AE27"/>
      <c r="AF27"/>
      <c r="AI27" s="154">
        <f t="shared" si="4"/>
        <v>0</v>
      </c>
      <c r="AJ27" s="154">
        <f t="shared" si="4"/>
        <v>0</v>
      </c>
      <c r="AK27" s="154">
        <f t="shared" si="4"/>
        <v>0</v>
      </c>
      <c r="AL27" s="154">
        <f t="shared" si="4"/>
        <v>0</v>
      </c>
      <c r="AM27" s="154">
        <f t="shared" si="4"/>
        <v>0</v>
      </c>
      <c r="AN27" s="163">
        <f t="shared" si="2"/>
        <v>0</v>
      </c>
    </row>
    <row r="28" spans="2:40" s="25" customFormat="1" ht="14.25" customHeight="1">
      <c r="B28" s="154" t="s">
        <v>27</v>
      </c>
      <c r="C28" s="155">
        <f>'Daily &amp; Weekly Totals'!E36</f>
        <v>43942</v>
      </c>
      <c r="E28" s="10" t="str">
        <f>IF(Friedman!K25=0,"",Friedman!K25)</f>
        <v/>
      </c>
      <c r="F28" s="10" t="str">
        <f>IF(Friedman!O25=0,"",Friedman!O25)</f>
        <v/>
      </c>
      <c r="G28" s="10" t="str">
        <f>IF(Friedman!S25=0,"",Friedman!S25)</f>
        <v/>
      </c>
      <c r="H28" s="10" t="str">
        <f>IF(Friedman!W25=0,"",Friedman!W25)</f>
        <v/>
      </c>
      <c r="I28" s="10" t="str">
        <f>IF(Friedman!AA25=0,"",Friedman!AA25)</f>
        <v/>
      </c>
      <c r="J28" s="10" t="str">
        <f>IF(Friedman!AE25=0,"",Friedman!AE25)</f>
        <v/>
      </c>
      <c r="K28" s="10" t="str">
        <f>IF(Friedman!AI25=0,"",Friedman!AI25)</f>
        <v/>
      </c>
      <c r="L28" s="10" t="str">
        <f>IF(Friedman!AM25=0,"",Friedman!AM25)</f>
        <v/>
      </c>
      <c r="M28" s="10" t="str">
        <f>IF(Friedman!AQ25=0,"",Friedman!AQ25)</f>
        <v/>
      </c>
      <c r="N28" s="10" t="str">
        <f>IF(Friedman!AU25=0,"",Friedman!AU25)</f>
        <v/>
      </c>
      <c r="O28" s="10" t="str">
        <f>IF(Friedman!AY25=0,"",Friedman!AY25)</f>
        <v/>
      </c>
      <c r="P28" s="10" t="str">
        <f>IF(Friedman!BC25=0,"",Friedman!BC25)</f>
        <v/>
      </c>
      <c r="Q28" s="10" t="str">
        <f>IF(Friedman!BG25=0,"",Friedman!BG25)</f>
        <v/>
      </c>
      <c r="R28" s="10" t="str">
        <f>IF(Friedman!BK25=0,"",Friedman!BK25)</f>
        <v/>
      </c>
      <c r="S28" s="10" t="str">
        <f>IF(Friedman!BO25=0,"",Friedman!BO25)</f>
        <v/>
      </c>
      <c r="T28" s="10" t="str">
        <f>IF(Friedman!BS25=0,"",Friedman!BS25)</f>
        <v/>
      </c>
      <c r="U28" s="10" t="str">
        <f>IF(Friedman!BW25=0,"",Friedman!BW25)</f>
        <v/>
      </c>
      <c r="V28" s="10" t="str">
        <f>IF(Friedman!CA25=0,"",Friedman!CA25)</f>
        <v/>
      </c>
      <c r="W28" s="10" t="str">
        <f>IF(Friedman!CE25=0,"",Friedman!CE25)</f>
        <v/>
      </c>
      <c r="X28" s="10" t="str">
        <f>IF(Friedman!CI25=0,"",Friedman!CI25)</f>
        <v/>
      </c>
      <c r="Y28"/>
      <c r="Z28" s="164"/>
      <c r="AA28"/>
      <c r="AB28"/>
      <c r="AC28"/>
      <c r="AD28"/>
      <c r="AE28"/>
      <c r="AF28"/>
      <c r="AI28" s="154">
        <f t="shared" si="4"/>
        <v>0</v>
      </c>
      <c r="AJ28" s="154">
        <f t="shared" si="4"/>
        <v>0</v>
      </c>
      <c r="AK28" s="154">
        <f t="shared" si="4"/>
        <v>0</v>
      </c>
      <c r="AL28" s="154">
        <f t="shared" si="4"/>
        <v>0</v>
      </c>
      <c r="AM28" s="154">
        <f t="shared" si="4"/>
        <v>0</v>
      </c>
      <c r="AN28" s="163">
        <f t="shared" si="2"/>
        <v>0</v>
      </c>
    </row>
    <row r="29" spans="2:40" s="25" customFormat="1" ht="14.25" customHeight="1">
      <c r="B29" s="154" t="s">
        <v>28</v>
      </c>
      <c r="C29" s="155">
        <f>'Daily &amp; Weekly Totals'!E37</f>
        <v>43943</v>
      </c>
      <c r="E29" s="10" t="str">
        <f>IF(Friedman!K26=0,"",Friedman!K26)</f>
        <v/>
      </c>
      <c r="F29" s="10" t="str">
        <f>IF(Friedman!O26=0,"",Friedman!O26)</f>
        <v/>
      </c>
      <c r="G29" s="10" t="str">
        <f>IF(Friedman!S26=0,"",Friedman!S26)</f>
        <v/>
      </c>
      <c r="H29" s="10" t="str">
        <f>IF(Friedman!W26=0,"",Friedman!W26)</f>
        <v/>
      </c>
      <c r="I29" s="10" t="str">
        <f>IF(Friedman!AA26=0,"",Friedman!AA26)</f>
        <v/>
      </c>
      <c r="J29" s="10" t="str">
        <f>IF(Friedman!AE26=0,"",Friedman!AE26)</f>
        <v/>
      </c>
      <c r="K29" s="10" t="str">
        <f>IF(Friedman!AI26=0,"",Friedman!AI26)</f>
        <v/>
      </c>
      <c r="L29" s="10" t="str">
        <f>IF(Friedman!AM26=0,"",Friedman!AM26)</f>
        <v/>
      </c>
      <c r="M29" s="10" t="str">
        <f>IF(Friedman!AQ26=0,"",Friedman!AQ26)</f>
        <v/>
      </c>
      <c r="N29" s="10" t="str">
        <f>IF(Friedman!AU26=0,"",Friedman!AU26)</f>
        <v/>
      </c>
      <c r="O29" s="10" t="str">
        <f>IF(Friedman!AY26=0,"",Friedman!AY26)</f>
        <v/>
      </c>
      <c r="P29" s="10" t="str">
        <f>IF(Friedman!BC26=0,"",Friedman!BC26)</f>
        <v/>
      </c>
      <c r="Q29" s="10" t="str">
        <f>IF(Friedman!BG26=0,"",Friedman!BG26)</f>
        <v/>
      </c>
      <c r="R29" s="10" t="str">
        <f>IF(Friedman!BK26=0,"",Friedman!BK26)</f>
        <v/>
      </c>
      <c r="S29" s="10" t="str">
        <f>IF(Friedman!BO26=0,"",Friedman!BO26)</f>
        <v/>
      </c>
      <c r="T29" s="10" t="str">
        <f>IF(Friedman!BS26=0,"",Friedman!BS26)</f>
        <v/>
      </c>
      <c r="U29" s="10" t="str">
        <f>IF(Friedman!BW26=0,"",Friedman!BW26)</f>
        <v/>
      </c>
      <c r="V29" s="10" t="str">
        <f>IF(Friedman!CA26=0,"",Friedman!CA26)</f>
        <v/>
      </c>
      <c r="W29" s="10" t="str">
        <f>IF(Friedman!CE26=0,"",Friedman!CE26)</f>
        <v/>
      </c>
      <c r="X29" s="10" t="str">
        <f>IF(Friedman!CI26=0,"",Friedman!CI26)</f>
        <v/>
      </c>
      <c r="Y29"/>
      <c r="Z29" s="164"/>
      <c r="AA29"/>
      <c r="AB29"/>
      <c r="AC29"/>
      <c r="AD29"/>
      <c r="AE29"/>
      <c r="AF29"/>
      <c r="AI29" s="154">
        <f t="shared" si="4"/>
        <v>0</v>
      </c>
      <c r="AJ29" s="154">
        <f t="shared" si="4"/>
        <v>0</v>
      </c>
      <c r="AK29" s="154">
        <f t="shared" si="4"/>
        <v>0</v>
      </c>
      <c r="AL29" s="154">
        <f t="shared" si="4"/>
        <v>0</v>
      </c>
      <c r="AM29" s="154">
        <f t="shared" si="4"/>
        <v>0</v>
      </c>
      <c r="AN29" s="163">
        <f t="shared" si="2"/>
        <v>0</v>
      </c>
    </row>
    <row r="30" spans="2:40" s="25" customFormat="1" ht="14.25" customHeight="1">
      <c r="B30" s="154" t="s">
        <v>29</v>
      </c>
      <c r="C30" s="155">
        <f>'Daily &amp; Weekly Totals'!E38</f>
        <v>43944</v>
      </c>
      <c r="E30" s="10" t="str">
        <f>IF(Friedman!K27=0,"",Friedman!K27)</f>
        <v/>
      </c>
      <c r="F30" s="10" t="str">
        <f>IF(Friedman!O27=0,"",Friedman!O27)</f>
        <v/>
      </c>
      <c r="G30" s="10" t="str">
        <f>IF(Friedman!S27=0,"",Friedman!S27)</f>
        <v/>
      </c>
      <c r="H30" s="10" t="str">
        <f>IF(Friedman!W27=0,"",Friedman!W27)</f>
        <v/>
      </c>
      <c r="I30" s="10" t="str">
        <f>IF(Friedman!AA27=0,"",Friedman!AA27)</f>
        <v/>
      </c>
      <c r="J30" s="10" t="str">
        <f>IF(Friedman!AE27=0,"",Friedman!AE27)</f>
        <v/>
      </c>
      <c r="K30" s="10" t="str">
        <f>IF(Friedman!AI27=0,"",Friedman!AI27)</f>
        <v/>
      </c>
      <c r="L30" s="10" t="str">
        <f>IF(Friedman!AM27=0,"",Friedman!AM27)</f>
        <v/>
      </c>
      <c r="M30" s="10" t="str">
        <f>IF(Friedman!AQ27=0,"",Friedman!AQ27)</f>
        <v/>
      </c>
      <c r="N30" s="10" t="str">
        <f>IF(Friedman!AU27=0,"",Friedman!AU27)</f>
        <v/>
      </c>
      <c r="O30" s="10" t="str">
        <f>IF(Friedman!AY27=0,"",Friedman!AY27)</f>
        <v/>
      </c>
      <c r="P30" s="10" t="str">
        <f>IF(Friedman!BC27=0,"",Friedman!BC27)</f>
        <v/>
      </c>
      <c r="Q30" s="10" t="str">
        <f>IF(Friedman!BG27=0,"",Friedman!BG27)</f>
        <v/>
      </c>
      <c r="R30" s="10" t="str">
        <f>IF(Friedman!BK27=0,"",Friedman!BK27)</f>
        <v/>
      </c>
      <c r="S30" s="10" t="str">
        <f>IF(Friedman!BO27=0,"",Friedman!BO27)</f>
        <v/>
      </c>
      <c r="T30" s="10" t="str">
        <f>IF(Friedman!BS27=0,"",Friedman!BS27)</f>
        <v/>
      </c>
      <c r="U30" s="10" t="str">
        <f>IF(Friedman!BW27=0,"",Friedman!BW27)</f>
        <v/>
      </c>
      <c r="V30" s="10" t="str">
        <f>IF(Friedman!CA27=0,"",Friedman!CA27)</f>
        <v/>
      </c>
      <c r="W30" s="10" t="str">
        <f>IF(Friedman!CE27=0,"",Friedman!CE27)</f>
        <v/>
      </c>
      <c r="X30" s="10" t="str">
        <f>IF(Friedman!CI27=0,"",Friedman!CI27)</f>
        <v/>
      </c>
      <c r="Y30"/>
      <c r="Z30" s="164"/>
      <c r="AA30"/>
      <c r="AB30"/>
      <c r="AC30"/>
      <c r="AD30"/>
      <c r="AE30"/>
      <c r="AF30"/>
      <c r="AI30" s="154">
        <f t="shared" si="4"/>
        <v>0</v>
      </c>
      <c r="AJ30" s="154">
        <f t="shared" si="4"/>
        <v>0</v>
      </c>
      <c r="AK30" s="154">
        <f t="shared" si="4"/>
        <v>0</v>
      </c>
      <c r="AL30" s="154">
        <f t="shared" si="4"/>
        <v>0</v>
      </c>
      <c r="AM30" s="154">
        <f t="shared" si="4"/>
        <v>0</v>
      </c>
      <c r="AN30" s="163">
        <f t="shared" si="2"/>
        <v>0</v>
      </c>
    </row>
    <row r="31" spans="2:40" s="25" customFormat="1" ht="14.25" customHeight="1">
      <c r="B31" s="154" t="s">
        <v>30</v>
      </c>
      <c r="C31" s="155">
        <f>'Daily &amp; Weekly Totals'!E39</f>
        <v>43945</v>
      </c>
      <c r="E31" s="10" t="str">
        <f>IF(Friedman!K28=0,"",Friedman!K28)</f>
        <v/>
      </c>
      <c r="F31" s="10" t="str">
        <f>IF(Friedman!O28=0,"",Friedman!O28)</f>
        <v/>
      </c>
      <c r="G31" s="10" t="str">
        <f>IF(Friedman!S28=0,"",Friedman!S28)</f>
        <v/>
      </c>
      <c r="H31" s="10" t="str">
        <f>IF(Friedman!W28=0,"",Friedman!W28)</f>
        <v/>
      </c>
      <c r="I31" s="10" t="str">
        <f>IF(Friedman!AA28=0,"",Friedman!AA28)</f>
        <v/>
      </c>
      <c r="J31" s="10" t="str">
        <f>IF(Friedman!AE28=0,"",Friedman!AE28)</f>
        <v/>
      </c>
      <c r="K31" s="10" t="str">
        <f>IF(Friedman!AI28=0,"",Friedman!AI28)</f>
        <v/>
      </c>
      <c r="L31" s="10" t="str">
        <f>IF(Friedman!AM28=0,"",Friedman!AM28)</f>
        <v/>
      </c>
      <c r="M31" s="10" t="str">
        <f>IF(Friedman!AQ28=0,"",Friedman!AQ28)</f>
        <v/>
      </c>
      <c r="N31" s="10" t="str">
        <f>IF(Friedman!AU28=0,"",Friedman!AU28)</f>
        <v/>
      </c>
      <c r="O31" s="10" t="str">
        <f>IF(Friedman!AY28=0,"",Friedman!AY28)</f>
        <v/>
      </c>
      <c r="P31" s="10" t="str">
        <f>IF(Friedman!BC28=0,"",Friedman!BC28)</f>
        <v/>
      </c>
      <c r="Q31" s="10" t="str">
        <f>IF(Friedman!BG28=0,"",Friedman!BG28)</f>
        <v/>
      </c>
      <c r="R31" s="10" t="str">
        <f>IF(Friedman!BK28=0,"",Friedman!BK28)</f>
        <v/>
      </c>
      <c r="S31" s="10" t="str">
        <f>IF(Friedman!BO28=0,"",Friedman!BO28)</f>
        <v/>
      </c>
      <c r="T31" s="10" t="str">
        <f>IF(Friedman!BS28=0,"",Friedman!BS28)</f>
        <v/>
      </c>
      <c r="U31" s="10" t="str">
        <f>IF(Friedman!BW28=0,"",Friedman!BW28)</f>
        <v/>
      </c>
      <c r="V31" s="10" t="str">
        <f>IF(Friedman!CA28=0,"",Friedman!CA28)</f>
        <v/>
      </c>
      <c r="W31" s="10" t="str">
        <f>IF(Friedman!CE28=0,"",Friedman!CE28)</f>
        <v/>
      </c>
      <c r="X31" s="10" t="str">
        <f>IF(Friedman!CI28=0,"",Friedman!CI28)</f>
        <v/>
      </c>
      <c r="Y31"/>
      <c r="Z31" s="164"/>
      <c r="AA31"/>
      <c r="AB31"/>
      <c r="AC31"/>
      <c r="AD31"/>
      <c r="AE31"/>
      <c r="AF31"/>
      <c r="AI31" s="154">
        <f t="shared" si="4"/>
        <v>0</v>
      </c>
      <c r="AJ31" s="154">
        <f t="shared" si="4"/>
        <v>0</v>
      </c>
      <c r="AK31" s="154">
        <f t="shared" si="4"/>
        <v>0</v>
      </c>
      <c r="AL31" s="154">
        <f t="shared" si="4"/>
        <v>0</v>
      </c>
      <c r="AM31" s="154">
        <f t="shared" si="4"/>
        <v>0</v>
      </c>
      <c r="AN31" s="163">
        <f t="shared" si="2"/>
        <v>0</v>
      </c>
    </row>
    <row r="32" spans="2:40" s="25" customFormat="1" ht="14.25" customHeight="1">
      <c r="B32" s="154" t="s">
        <v>31</v>
      </c>
      <c r="C32" s="155">
        <f>'Daily &amp; Weekly Totals'!E40</f>
        <v>43946</v>
      </c>
      <c r="E32" s="10" t="str">
        <f>IF(Friedman!K29=0,"",Friedman!K29)</f>
        <v/>
      </c>
      <c r="F32" s="10" t="str">
        <f>IF(Friedman!O29=0,"",Friedman!O29)</f>
        <v/>
      </c>
      <c r="G32" s="10" t="str">
        <f>IF(Friedman!S29=0,"",Friedman!S29)</f>
        <v/>
      </c>
      <c r="H32" s="10" t="str">
        <f>IF(Friedman!W29=0,"",Friedman!W29)</f>
        <v/>
      </c>
      <c r="I32" s="10" t="str">
        <f>IF(Friedman!AA29=0,"",Friedman!AA29)</f>
        <v/>
      </c>
      <c r="J32" s="10" t="str">
        <f>IF(Friedman!AE29=0,"",Friedman!AE29)</f>
        <v/>
      </c>
      <c r="K32" s="10" t="str">
        <f>IF(Friedman!AI29=0,"",Friedman!AI29)</f>
        <v/>
      </c>
      <c r="L32" s="10" t="str">
        <f>IF(Friedman!AM29=0,"",Friedman!AM29)</f>
        <v/>
      </c>
      <c r="M32" s="10" t="str">
        <f>IF(Friedman!AQ29=0,"",Friedman!AQ29)</f>
        <v/>
      </c>
      <c r="N32" s="10" t="str">
        <f>IF(Friedman!AU29=0,"",Friedman!AU29)</f>
        <v/>
      </c>
      <c r="O32" s="10" t="str">
        <f>IF(Friedman!AY29=0,"",Friedman!AY29)</f>
        <v/>
      </c>
      <c r="P32" s="10" t="str">
        <f>IF(Friedman!BC29=0,"",Friedman!BC29)</f>
        <v/>
      </c>
      <c r="Q32" s="10" t="str">
        <f>IF(Friedman!BG29=0,"",Friedman!BG29)</f>
        <v/>
      </c>
      <c r="R32" s="10" t="str">
        <f>IF(Friedman!BK29=0,"",Friedman!BK29)</f>
        <v/>
      </c>
      <c r="S32" s="10" t="str">
        <f>IF(Friedman!BO29=0,"",Friedman!BO29)</f>
        <v/>
      </c>
      <c r="T32" s="10" t="str">
        <f>IF(Friedman!BS29=0,"",Friedman!BS29)</f>
        <v/>
      </c>
      <c r="U32" s="10" t="str">
        <f>IF(Friedman!BW29=0,"",Friedman!BW29)</f>
        <v/>
      </c>
      <c r="V32" s="10" t="str">
        <f>IF(Friedman!CA29=0,"",Friedman!CA29)</f>
        <v/>
      </c>
      <c r="W32" s="10" t="str">
        <f>IF(Friedman!CE29=0,"",Friedman!CE29)</f>
        <v/>
      </c>
      <c r="X32" s="10" t="str">
        <f>IF(Friedman!CI29=0,"",Friedman!CI29)</f>
        <v/>
      </c>
      <c r="Y32"/>
      <c r="Z32" s="164"/>
      <c r="AA32"/>
      <c r="AB32"/>
      <c r="AC32"/>
      <c r="AD32"/>
      <c r="AE32"/>
      <c r="AF32"/>
      <c r="AI32" s="154">
        <f t="shared" si="4"/>
        <v>0</v>
      </c>
      <c r="AJ32" s="154">
        <f t="shared" si="4"/>
        <v>0</v>
      </c>
      <c r="AK32" s="154">
        <f t="shared" si="4"/>
        <v>0</v>
      </c>
      <c r="AL32" s="154">
        <f t="shared" si="4"/>
        <v>0</v>
      </c>
      <c r="AM32" s="154">
        <f t="shared" si="4"/>
        <v>0</v>
      </c>
      <c r="AN32" s="163">
        <f t="shared" si="2"/>
        <v>0</v>
      </c>
    </row>
    <row r="33" spans="2:40" s="25" customFormat="1" ht="14.25" customHeight="1">
      <c r="B33" s="154" t="s">
        <v>32</v>
      </c>
      <c r="C33" s="155">
        <f>'Daily &amp; Weekly Totals'!E41</f>
        <v>43947</v>
      </c>
      <c r="E33" s="10" t="str">
        <f>IF(Friedman!K30=0,"",Friedman!K30)</f>
        <v/>
      </c>
      <c r="F33" s="10" t="str">
        <f>IF(Friedman!O30=0,"",Friedman!O30)</f>
        <v/>
      </c>
      <c r="G33" s="10" t="str">
        <f>IF(Friedman!S30=0,"",Friedman!S30)</f>
        <v/>
      </c>
      <c r="H33" s="10" t="str">
        <f>IF(Friedman!W30=0,"",Friedman!W30)</f>
        <v/>
      </c>
      <c r="I33" s="10" t="str">
        <f>IF(Friedman!AA30=0,"",Friedman!AA30)</f>
        <v/>
      </c>
      <c r="J33" s="10" t="str">
        <f>IF(Friedman!AE30=0,"",Friedman!AE30)</f>
        <v/>
      </c>
      <c r="K33" s="10" t="str">
        <f>IF(Friedman!AI30=0,"",Friedman!AI30)</f>
        <v/>
      </c>
      <c r="L33" s="10" t="str">
        <f>IF(Friedman!AM30=0,"",Friedman!AM30)</f>
        <v/>
      </c>
      <c r="M33" s="10" t="str">
        <f>IF(Friedman!AQ30=0,"",Friedman!AQ30)</f>
        <v/>
      </c>
      <c r="N33" s="10" t="str">
        <f>IF(Friedman!AU30=0,"",Friedman!AU30)</f>
        <v/>
      </c>
      <c r="O33" s="10" t="str">
        <f>IF(Friedman!AY30=0,"",Friedman!AY30)</f>
        <v/>
      </c>
      <c r="P33" s="10" t="str">
        <f>IF(Friedman!BC30=0,"",Friedman!BC30)</f>
        <v/>
      </c>
      <c r="Q33" s="10" t="str">
        <f>IF(Friedman!BG30=0,"",Friedman!BG30)</f>
        <v/>
      </c>
      <c r="R33" s="10" t="str">
        <f>IF(Friedman!BK30=0,"",Friedman!BK30)</f>
        <v/>
      </c>
      <c r="S33" s="10" t="str">
        <f>IF(Friedman!BO30=0,"",Friedman!BO30)</f>
        <v/>
      </c>
      <c r="T33" s="10" t="str">
        <f>IF(Friedman!BS30=0,"",Friedman!BS30)</f>
        <v/>
      </c>
      <c r="U33" s="10" t="str">
        <f>IF(Friedman!BW30=0,"",Friedman!BW30)</f>
        <v/>
      </c>
      <c r="V33" s="10" t="str">
        <f>IF(Friedman!CA30=0,"",Friedman!CA30)</f>
        <v/>
      </c>
      <c r="W33" s="10" t="str">
        <f>IF(Friedman!CE30=0,"",Friedman!CE30)</f>
        <v/>
      </c>
      <c r="X33" s="10" t="str">
        <f>IF(Friedman!CI30=0,"",Friedman!CI30)</f>
        <v/>
      </c>
      <c r="Y33"/>
      <c r="Z33" s="164"/>
      <c r="AA33"/>
      <c r="AB33"/>
      <c r="AC33"/>
      <c r="AD33"/>
      <c r="AE33"/>
      <c r="AF33"/>
      <c r="AI33" s="154">
        <f t="shared" si="4"/>
        <v>0</v>
      </c>
      <c r="AJ33" s="154">
        <f t="shared" si="4"/>
        <v>0</v>
      </c>
      <c r="AK33" s="154">
        <f t="shared" si="4"/>
        <v>0</v>
      </c>
      <c r="AL33" s="154">
        <f t="shared" si="4"/>
        <v>0</v>
      </c>
      <c r="AM33" s="154">
        <f t="shared" si="4"/>
        <v>0</v>
      </c>
      <c r="AN33" s="163">
        <f t="shared" si="2"/>
        <v>0</v>
      </c>
    </row>
    <row r="34" spans="2:40" s="25" customFormat="1" ht="14.25" customHeight="1">
      <c r="B34" s="154" t="s">
        <v>26</v>
      </c>
      <c r="C34" s="155">
        <f>'Daily &amp; Weekly Totals'!E45</f>
        <v>43948</v>
      </c>
      <c r="E34" s="10" t="str">
        <f>IF(Friedman!K31=0,"",Friedman!K31)</f>
        <v/>
      </c>
      <c r="F34" s="10" t="str">
        <f>IF(Friedman!O31=0,"",Friedman!O31)</f>
        <v/>
      </c>
      <c r="G34" s="10" t="str">
        <f>IF(Friedman!S31=0,"",Friedman!S31)</f>
        <v/>
      </c>
      <c r="H34" s="10" t="str">
        <f>IF(Friedman!W31=0,"",Friedman!W31)</f>
        <v/>
      </c>
      <c r="I34" s="10" t="str">
        <f>IF(Friedman!AA31=0,"",Friedman!AA31)</f>
        <v/>
      </c>
      <c r="J34" s="10" t="str">
        <f>IF(Friedman!AE31=0,"",Friedman!AE31)</f>
        <v/>
      </c>
      <c r="K34" s="10" t="str">
        <f>IF(Friedman!AI31=0,"",Friedman!AI31)</f>
        <v/>
      </c>
      <c r="L34" s="10" t="str">
        <f>IF(Friedman!AM31=0,"",Friedman!AM31)</f>
        <v/>
      </c>
      <c r="M34" s="10" t="str">
        <f>IF(Friedman!AQ31=0,"",Friedman!AQ31)</f>
        <v/>
      </c>
      <c r="N34" s="10" t="str">
        <f>IF(Friedman!AU31=0,"",Friedman!AU31)</f>
        <v/>
      </c>
      <c r="O34" s="10" t="str">
        <f>IF(Friedman!AY31=0,"",Friedman!AY31)</f>
        <v/>
      </c>
      <c r="P34" s="10" t="str">
        <f>IF(Friedman!BC31=0,"",Friedman!BC31)</f>
        <v/>
      </c>
      <c r="Q34" s="10" t="str">
        <f>IF(Friedman!BG31=0,"",Friedman!BG31)</f>
        <v/>
      </c>
      <c r="R34" s="10" t="str">
        <f>IF(Friedman!BK31=0,"",Friedman!BK31)</f>
        <v/>
      </c>
      <c r="S34" s="10" t="str">
        <f>IF(Friedman!BO31=0,"",Friedman!BO31)</f>
        <v/>
      </c>
      <c r="T34" s="10" t="str">
        <f>IF(Friedman!BS31=0,"",Friedman!BS31)</f>
        <v/>
      </c>
      <c r="U34" s="10" t="str">
        <f>IF(Friedman!BW31=0,"",Friedman!BW31)</f>
        <v/>
      </c>
      <c r="V34" s="10" t="str">
        <f>IF(Friedman!CA31=0,"",Friedman!CA31)</f>
        <v/>
      </c>
      <c r="W34" s="10" t="str">
        <f>IF(Friedman!CE31=0,"",Friedman!CE31)</f>
        <v/>
      </c>
      <c r="X34" s="10" t="str">
        <f>IF(Friedman!CI31=0,"",Friedman!CI31)</f>
        <v/>
      </c>
      <c r="Y34"/>
      <c r="Z34"/>
      <c r="AA34"/>
      <c r="AB34"/>
      <c r="AC34"/>
      <c r="AD34"/>
      <c r="AE34"/>
      <c r="AF34"/>
      <c r="AI34" s="154">
        <f t="shared" si="4"/>
        <v>0</v>
      </c>
      <c r="AJ34" s="154">
        <f t="shared" si="4"/>
        <v>0</v>
      </c>
      <c r="AK34" s="154">
        <f t="shared" si="4"/>
        <v>0</v>
      </c>
      <c r="AL34" s="154">
        <f t="shared" si="4"/>
        <v>0</v>
      </c>
      <c r="AM34" s="154">
        <f t="shared" si="4"/>
        <v>0</v>
      </c>
      <c r="AN34" s="163">
        <f t="shared" si="2"/>
        <v>0</v>
      </c>
    </row>
    <row r="35" spans="2:40" s="25" customFormat="1" ht="14.25" customHeight="1">
      <c r="B35" s="154" t="s">
        <v>27</v>
      </c>
      <c r="C35" s="155">
        <f>'Daily &amp; Weekly Totals'!E46</f>
        <v>43949</v>
      </c>
      <c r="E35" s="10" t="str">
        <f>IF(Friedman!K32=0,"",Friedman!K32)</f>
        <v/>
      </c>
      <c r="F35" s="10" t="str">
        <f>IF(Friedman!O32=0,"",Friedman!O32)</f>
        <v/>
      </c>
      <c r="G35" s="10" t="str">
        <f>IF(Friedman!S32=0,"",Friedman!S32)</f>
        <v/>
      </c>
      <c r="H35" s="10" t="str">
        <f>IF(Friedman!W32=0,"",Friedman!W32)</f>
        <v/>
      </c>
      <c r="I35" s="10" t="str">
        <f>IF(Friedman!AA32=0,"",Friedman!AA32)</f>
        <v/>
      </c>
      <c r="J35" s="10" t="str">
        <f>IF(Friedman!AE32=0,"",Friedman!AE32)</f>
        <v/>
      </c>
      <c r="K35" s="10" t="str">
        <f>IF(Friedman!AI32=0,"",Friedman!AI32)</f>
        <v/>
      </c>
      <c r="L35" s="10" t="str">
        <f>IF(Friedman!AM32=0,"",Friedman!AM32)</f>
        <v/>
      </c>
      <c r="M35" s="10" t="str">
        <f>IF(Friedman!AQ32=0,"",Friedman!AQ32)</f>
        <v/>
      </c>
      <c r="N35" s="10" t="str">
        <f>IF(Friedman!AU32=0,"",Friedman!AU32)</f>
        <v/>
      </c>
      <c r="O35" s="10" t="str">
        <f>IF(Friedman!AY32=0,"",Friedman!AY32)</f>
        <v/>
      </c>
      <c r="P35" s="10" t="str">
        <f>IF(Friedman!BC32=0,"",Friedman!BC32)</f>
        <v/>
      </c>
      <c r="Q35" s="10" t="str">
        <f>IF(Friedman!BG32=0,"",Friedman!BG32)</f>
        <v/>
      </c>
      <c r="R35" s="10" t="str">
        <f>IF(Friedman!BK32=0,"",Friedman!BK32)</f>
        <v/>
      </c>
      <c r="S35" s="10" t="str">
        <f>IF(Friedman!BO32=0,"",Friedman!BO32)</f>
        <v/>
      </c>
      <c r="T35" s="10" t="str">
        <f>IF(Friedman!BS32=0,"",Friedman!BS32)</f>
        <v/>
      </c>
      <c r="U35" s="10" t="str">
        <f>IF(Friedman!BW32=0,"",Friedman!BW32)</f>
        <v/>
      </c>
      <c r="V35" s="10" t="str">
        <f>IF(Friedman!CA32=0,"",Friedman!CA32)</f>
        <v/>
      </c>
      <c r="W35" s="10" t="str">
        <f>IF(Friedman!CE32=0,"",Friedman!CE32)</f>
        <v/>
      </c>
      <c r="X35" s="10" t="str">
        <f>IF(Friedman!CI32=0,"",Friedman!CI32)</f>
        <v/>
      </c>
      <c r="Y35"/>
      <c r="Z35"/>
      <c r="AA35"/>
      <c r="AB35"/>
      <c r="AC35"/>
      <c r="AD35"/>
      <c r="AE35"/>
      <c r="AF35"/>
      <c r="AI35" s="154">
        <f t="shared" si="4"/>
        <v>0</v>
      </c>
      <c r="AJ35" s="154">
        <f t="shared" si="4"/>
        <v>0</v>
      </c>
      <c r="AK35" s="154">
        <f t="shared" si="4"/>
        <v>0</v>
      </c>
      <c r="AL35" s="154">
        <f t="shared" si="4"/>
        <v>0</v>
      </c>
      <c r="AM35" s="154">
        <f t="shared" si="4"/>
        <v>0</v>
      </c>
      <c r="AN35" s="163">
        <f t="shared" si="2"/>
        <v>0</v>
      </c>
    </row>
    <row r="36" spans="2:40" s="25" customFormat="1" ht="14.25" customHeight="1">
      <c r="B36" s="154" t="s">
        <v>28</v>
      </c>
      <c r="C36" s="155">
        <f>'Daily &amp; Weekly Totals'!E47</f>
        <v>43950</v>
      </c>
      <c r="E36" s="10" t="str">
        <f>IF(Friedman!K33=0,"",Friedman!K33)</f>
        <v/>
      </c>
      <c r="F36" s="10" t="str">
        <f>IF(Friedman!O33=0,"",Friedman!O33)</f>
        <v/>
      </c>
      <c r="G36" s="10" t="str">
        <f>IF(Friedman!S33=0,"",Friedman!S33)</f>
        <v/>
      </c>
      <c r="H36" s="10" t="str">
        <f>IF(Friedman!W33=0,"",Friedman!W33)</f>
        <v/>
      </c>
      <c r="I36" s="10" t="str">
        <f>IF(Friedman!AA33=0,"",Friedman!AA33)</f>
        <v/>
      </c>
      <c r="J36" s="10" t="str">
        <f>IF(Friedman!AE33=0,"",Friedman!AE33)</f>
        <v/>
      </c>
      <c r="K36" s="10" t="str">
        <f>IF(Friedman!AI33=0,"",Friedman!AI33)</f>
        <v/>
      </c>
      <c r="L36" s="10" t="str">
        <f>IF(Friedman!AM33=0,"",Friedman!AM33)</f>
        <v/>
      </c>
      <c r="M36" s="10" t="str">
        <f>IF(Friedman!AQ33=0,"",Friedman!AQ33)</f>
        <v/>
      </c>
      <c r="N36" s="10" t="str">
        <f>IF(Friedman!AU33=0,"",Friedman!AU33)</f>
        <v/>
      </c>
      <c r="O36" s="10" t="str">
        <f>IF(Friedman!AY33=0,"",Friedman!AY33)</f>
        <v/>
      </c>
      <c r="P36" s="10" t="str">
        <f>IF(Friedman!BC33=0,"",Friedman!BC33)</f>
        <v/>
      </c>
      <c r="Q36" s="10" t="str">
        <f>IF(Friedman!BG33=0,"",Friedman!BG33)</f>
        <v/>
      </c>
      <c r="R36" s="10" t="str">
        <f>IF(Friedman!BK33=0,"",Friedman!BK33)</f>
        <v/>
      </c>
      <c r="S36" s="10" t="str">
        <f>IF(Friedman!BO33=0,"",Friedman!BO33)</f>
        <v/>
      </c>
      <c r="T36" s="10" t="str">
        <f>IF(Friedman!BS33=0,"",Friedman!BS33)</f>
        <v/>
      </c>
      <c r="U36" s="10" t="str">
        <f>IF(Friedman!BW33=0,"",Friedman!BW33)</f>
        <v/>
      </c>
      <c r="V36" s="10" t="str">
        <f>IF(Friedman!CA33=0,"",Friedman!CA33)</f>
        <v/>
      </c>
      <c r="W36" s="10" t="str">
        <f>IF(Friedman!CE33=0,"",Friedman!CE33)</f>
        <v/>
      </c>
      <c r="X36" s="10" t="str">
        <f>IF(Friedman!CI33=0,"",Friedman!CI33)</f>
        <v/>
      </c>
      <c r="Y36"/>
      <c r="Z36"/>
      <c r="AA36"/>
      <c r="AB36"/>
      <c r="AC36"/>
      <c r="AD36"/>
      <c r="AE36"/>
      <c r="AF36"/>
      <c r="AI36" s="154">
        <f t="shared" ref="AI36:AM47" si="5">SUMIF($E$3:$AG$3,AI$3,$E36:$AG36)</f>
        <v>0</v>
      </c>
      <c r="AJ36" s="154">
        <f t="shared" si="5"/>
        <v>0</v>
      </c>
      <c r="AK36" s="154">
        <f t="shared" si="5"/>
        <v>0</v>
      </c>
      <c r="AL36" s="154">
        <f t="shared" si="5"/>
        <v>0</v>
      </c>
      <c r="AM36" s="154">
        <f t="shared" si="5"/>
        <v>0</v>
      </c>
      <c r="AN36" s="163">
        <f t="shared" si="2"/>
        <v>0</v>
      </c>
    </row>
    <row r="37" spans="2:40" s="25" customFormat="1" ht="14.25" customHeight="1">
      <c r="B37" s="154" t="s">
        <v>29</v>
      </c>
      <c r="C37" s="155">
        <f>'Daily &amp; Weekly Totals'!E48</f>
        <v>43951</v>
      </c>
      <c r="E37" s="10" t="str">
        <f>IF(Friedman!K34=0,"",Friedman!K34)</f>
        <v/>
      </c>
      <c r="F37" s="10" t="str">
        <f>IF(Friedman!O34=0,"",Friedman!O34)</f>
        <v/>
      </c>
      <c r="G37" s="10" t="str">
        <f>IF(Friedman!S34=0,"",Friedman!S34)</f>
        <v/>
      </c>
      <c r="H37" s="10" t="str">
        <f>IF(Friedman!W34=0,"",Friedman!W34)</f>
        <v/>
      </c>
      <c r="I37" s="10" t="str">
        <f>IF(Friedman!AA34=0,"",Friedman!AA34)</f>
        <v/>
      </c>
      <c r="J37" s="10" t="str">
        <f>IF(Friedman!AE34=0,"",Friedman!AE34)</f>
        <v/>
      </c>
      <c r="K37" s="10" t="str">
        <f>IF(Friedman!AI34=0,"",Friedman!AI34)</f>
        <v/>
      </c>
      <c r="L37" s="10" t="str">
        <f>IF(Friedman!AM34=0,"",Friedman!AM34)</f>
        <v/>
      </c>
      <c r="M37" s="10" t="str">
        <f>IF(Friedman!AQ34=0,"",Friedman!AQ34)</f>
        <v/>
      </c>
      <c r="N37" s="10" t="str">
        <f>IF(Friedman!AU34=0,"",Friedman!AU34)</f>
        <v/>
      </c>
      <c r="O37" s="10" t="str">
        <f>IF(Friedman!AY34=0,"",Friedman!AY34)</f>
        <v/>
      </c>
      <c r="P37" s="10" t="str">
        <f>IF(Friedman!BC34=0,"",Friedman!BC34)</f>
        <v/>
      </c>
      <c r="Q37" s="10" t="str">
        <f>IF(Friedman!BG34=0,"",Friedman!BG34)</f>
        <v/>
      </c>
      <c r="R37" s="10" t="str">
        <f>IF(Friedman!BK34=0,"",Friedman!BK34)</f>
        <v/>
      </c>
      <c r="S37" s="10" t="str">
        <f>IF(Friedman!BO34=0,"",Friedman!BO34)</f>
        <v/>
      </c>
      <c r="T37" s="10" t="str">
        <f>IF(Friedman!BS34=0,"",Friedman!BS34)</f>
        <v/>
      </c>
      <c r="U37" s="10" t="str">
        <f>IF(Friedman!BW34=0,"",Friedman!BW34)</f>
        <v/>
      </c>
      <c r="V37" s="10" t="str">
        <f>IF(Friedman!CA34=0,"",Friedman!CA34)</f>
        <v/>
      </c>
      <c r="W37" s="10" t="str">
        <f>IF(Friedman!CE34=0,"",Friedman!CE34)</f>
        <v/>
      </c>
      <c r="X37" s="10" t="str">
        <f>IF(Friedman!CI34=0,"",Friedman!CI34)</f>
        <v/>
      </c>
      <c r="Y37"/>
      <c r="Z37"/>
      <c r="AA37"/>
      <c r="AB37"/>
      <c r="AC37"/>
      <c r="AD37"/>
      <c r="AE37"/>
      <c r="AF37"/>
      <c r="AI37" s="154">
        <f t="shared" si="5"/>
        <v>0</v>
      </c>
      <c r="AJ37" s="154">
        <f t="shared" si="5"/>
        <v>0</v>
      </c>
      <c r="AK37" s="154">
        <f t="shared" si="5"/>
        <v>0</v>
      </c>
      <c r="AL37" s="154">
        <f t="shared" si="5"/>
        <v>0</v>
      </c>
      <c r="AM37" s="154">
        <f t="shared" si="5"/>
        <v>0</v>
      </c>
      <c r="AN37" s="163">
        <f t="shared" si="2"/>
        <v>0</v>
      </c>
    </row>
    <row r="38" spans="2:40" s="25" customFormat="1" ht="14.25" customHeight="1">
      <c r="B38" s="154" t="s">
        <v>30</v>
      </c>
      <c r="C38" s="155">
        <f>'Daily &amp; Weekly Totals'!E49</f>
        <v>43952</v>
      </c>
      <c r="E38" s="10" t="str">
        <f>IF(Friedman!K35=0,"",Friedman!K35)</f>
        <v/>
      </c>
      <c r="F38" s="10" t="str">
        <f>IF(Friedman!O35=0,"",Friedman!O35)</f>
        <v/>
      </c>
      <c r="G38" s="10" t="str">
        <f>IF(Friedman!S35=0,"",Friedman!S35)</f>
        <v/>
      </c>
      <c r="H38" s="10" t="str">
        <f>IF(Friedman!W35=0,"",Friedman!W35)</f>
        <v/>
      </c>
      <c r="I38" s="10" t="str">
        <f>IF(Friedman!AA35=0,"",Friedman!AA35)</f>
        <v/>
      </c>
      <c r="J38" s="10" t="str">
        <f>IF(Friedman!AE35=0,"",Friedman!AE35)</f>
        <v/>
      </c>
      <c r="K38" s="10" t="str">
        <f>IF(Friedman!AI35=0,"",Friedman!AI35)</f>
        <v/>
      </c>
      <c r="L38" s="10" t="str">
        <f>IF(Friedman!AM35=0,"",Friedman!AM35)</f>
        <v/>
      </c>
      <c r="M38" s="10" t="str">
        <f>IF(Friedman!AQ35=0,"",Friedman!AQ35)</f>
        <v/>
      </c>
      <c r="N38" s="10" t="str">
        <f>IF(Friedman!AU35=0,"",Friedman!AU35)</f>
        <v/>
      </c>
      <c r="O38" s="10" t="str">
        <f>IF(Friedman!AY35=0,"",Friedman!AY35)</f>
        <v/>
      </c>
      <c r="P38" s="10" t="str">
        <f>IF(Friedman!BC35=0,"",Friedman!BC35)</f>
        <v/>
      </c>
      <c r="Q38" s="10" t="str">
        <f>IF(Friedman!BG35=0,"",Friedman!BG35)</f>
        <v/>
      </c>
      <c r="R38" s="10" t="str">
        <f>IF(Friedman!BK35=0,"",Friedman!BK35)</f>
        <v/>
      </c>
      <c r="S38" s="10" t="str">
        <f>IF(Friedman!BO35=0,"",Friedman!BO35)</f>
        <v/>
      </c>
      <c r="T38" s="10" t="str">
        <f>IF(Friedman!BS35=0,"",Friedman!BS35)</f>
        <v/>
      </c>
      <c r="U38" s="10" t="str">
        <f>IF(Friedman!BW35=0,"",Friedman!BW35)</f>
        <v/>
      </c>
      <c r="V38" s="10" t="str">
        <f>IF(Friedman!CA35=0,"",Friedman!CA35)</f>
        <v/>
      </c>
      <c r="W38" s="10" t="str">
        <f>IF(Friedman!CE35=0,"",Friedman!CE35)</f>
        <v/>
      </c>
      <c r="X38" s="10" t="str">
        <f>IF(Friedman!CI35=0,"",Friedman!CI35)</f>
        <v/>
      </c>
      <c r="Y38"/>
      <c r="Z38"/>
      <c r="AA38"/>
      <c r="AB38"/>
      <c r="AC38"/>
      <c r="AD38"/>
      <c r="AE38"/>
      <c r="AF38"/>
      <c r="AI38" s="154">
        <f t="shared" si="5"/>
        <v>0</v>
      </c>
      <c r="AJ38" s="154">
        <f t="shared" si="5"/>
        <v>0</v>
      </c>
      <c r="AK38" s="154">
        <f t="shared" si="5"/>
        <v>0</v>
      </c>
      <c r="AL38" s="154">
        <f t="shared" si="5"/>
        <v>0</v>
      </c>
      <c r="AM38" s="154">
        <f t="shared" si="5"/>
        <v>0</v>
      </c>
      <c r="AN38" s="163">
        <f t="shared" si="2"/>
        <v>0</v>
      </c>
    </row>
    <row r="39" spans="2:40" s="25" customFormat="1" ht="14.25" customHeight="1">
      <c r="B39" s="154" t="s">
        <v>31</v>
      </c>
      <c r="C39" s="155">
        <f>'Daily &amp; Weekly Totals'!E50</f>
        <v>43953</v>
      </c>
      <c r="E39" s="10" t="str">
        <f>IF(Friedman!K36=0,"",Friedman!K36)</f>
        <v/>
      </c>
      <c r="F39" s="10" t="str">
        <f>IF(Friedman!O36=0,"",Friedman!O36)</f>
        <v/>
      </c>
      <c r="G39" s="10" t="str">
        <f>IF(Friedman!S36=0,"",Friedman!S36)</f>
        <v/>
      </c>
      <c r="H39" s="10" t="str">
        <f>IF(Friedman!W36=0,"",Friedman!W36)</f>
        <v/>
      </c>
      <c r="I39" s="10" t="str">
        <f>IF(Friedman!AA36=0,"",Friedman!AA36)</f>
        <v/>
      </c>
      <c r="J39" s="10" t="str">
        <f>IF(Friedman!AE36=0,"",Friedman!AE36)</f>
        <v/>
      </c>
      <c r="K39" s="10" t="str">
        <f>IF(Friedman!AI36=0,"",Friedman!AI36)</f>
        <v/>
      </c>
      <c r="L39" s="10" t="str">
        <f>IF(Friedman!AM36=0,"",Friedman!AM36)</f>
        <v/>
      </c>
      <c r="M39" s="10" t="str">
        <f>IF(Friedman!AQ36=0,"",Friedman!AQ36)</f>
        <v/>
      </c>
      <c r="N39" s="10" t="str">
        <f>IF(Friedman!AU36=0,"",Friedman!AU36)</f>
        <v/>
      </c>
      <c r="O39" s="10" t="str">
        <f>IF(Friedman!AY36=0,"",Friedman!AY36)</f>
        <v/>
      </c>
      <c r="P39" s="10" t="str">
        <f>IF(Friedman!BC36=0,"",Friedman!BC36)</f>
        <v/>
      </c>
      <c r="Q39" s="10" t="str">
        <f>IF(Friedman!BG36=0,"",Friedman!BG36)</f>
        <v/>
      </c>
      <c r="R39" s="10" t="str">
        <f>IF(Friedman!BK36=0,"",Friedman!BK36)</f>
        <v/>
      </c>
      <c r="S39" s="10" t="str">
        <f>IF(Friedman!BO36=0,"",Friedman!BO36)</f>
        <v/>
      </c>
      <c r="T39" s="10" t="str">
        <f>IF(Friedman!BS36=0,"",Friedman!BS36)</f>
        <v/>
      </c>
      <c r="U39" s="10" t="str">
        <f>IF(Friedman!BW36=0,"",Friedman!BW36)</f>
        <v/>
      </c>
      <c r="V39" s="10" t="str">
        <f>IF(Friedman!CA36=0,"",Friedman!CA36)</f>
        <v/>
      </c>
      <c r="W39" s="10" t="str">
        <f>IF(Friedman!CE36=0,"",Friedman!CE36)</f>
        <v/>
      </c>
      <c r="X39" s="10" t="str">
        <f>IF(Friedman!CI36=0,"",Friedman!CI36)</f>
        <v/>
      </c>
      <c r="Y39"/>
      <c r="Z39"/>
      <c r="AA39"/>
      <c r="AB39"/>
      <c r="AC39"/>
      <c r="AD39"/>
      <c r="AE39"/>
      <c r="AF39"/>
      <c r="AI39" s="154">
        <f t="shared" si="5"/>
        <v>0</v>
      </c>
      <c r="AJ39" s="154">
        <f t="shared" si="5"/>
        <v>0</v>
      </c>
      <c r="AK39" s="154">
        <f t="shared" si="5"/>
        <v>0</v>
      </c>
      <c r="AL39" s="154">
        <f t="shared" si="5"/>
        <v>0</v>
      </c>
      <c r="AM39" s="154">
        <f t="shared" si="5"/>
        <v>0</v>
      </c>
      <c r="AN39" s="163">
        <f t="shared" si="2"/>
        <v>0</v>
      </c>
    </row>
    <row r="40" spans="2:40" s="25" customFormat="1" ht="14.25" customHeight="1">
      <c r="B40" s="154" t="s">
        <v>32</v>
      </c>
      <c r="C40" s="155">
        <f>'Daily &amp; Weekly Totals'!E51</f>
        <v>43954</v>
      </c>
      <c r="E40" s="10" t="str">
        <f>IF(Friedman!K37=0,"",Friedman!K37)</f>
        <v/>
      </c>
      <c r="F40" s="10" t="str">
        <f>IF(Friedman!O37=0,"",Friedman!O37)</f>
        <v/>
      </c>
      <c r="G40" s="10" t="str">
        <f>IF(Friedman!S37=0,"",Friedman!S37)</f>
        <v/>
      </c>
      <c r="H40" s="10" t="str">
        <f>IF(Friedman!W37=0,"",Friedman!W37)</f>
        <v/>
      </c>
      <c r="I40" s="10" t="str">
        <f>IF(Friedman!AA37=0,"",Friedman!AA37)</f>
        <v/>
      </c>
      <c r="J40" s="10" t="str">
        <f>IF(Friedman!AE37=0,"",Friedman!AE37)</f>
        <v/>
      </c>
      <c r="K40" s="10" t="str">
        <f>IF(Friedman!AI37=0,"",Friedman!AI37)</f>
        <v/>
      </c>
      <c r="L40" s="10" t="str">
        <f>IF(Friedman!AM37=0,"",Friedman!AM37)</f>
        <v/>
      </c>
      <c r="M40" s="10" t="str">
        <f>IF(Friedman!AQ37=0,"",Friedman!AQ37)</f>
        <v/>
      </c>
      <c r="N40" s="10" t="str">
        <f>IF(Friedman!AU37=0,"",Friedman!AU37)</f>
        <v/>
      </c>
      <c r="O40" s="10" t="str">
        <f>IF(Friedman!AY37=0,"",Friedman!AY37)</f>
        <v/>
      </c>
      <c r="P40" s="10" t="str">
        <f>IF(Friedman!BC37=0,"",Friedman!BC37)</f>
        <v/>
      </c>
      <c r="Q40" s="10" t="str">
        <f>IF(Friedman!BG37=0,"",Friedman!BG37)</f>
        <v/>
      </c>
      <c r="R40" s="10" t="str">
        <f>IF(Friedman!BK37=0,"",Friedman!BK37)</f>
        <v/>
      </c>
      <c r="S40" s="10" t="str">
        <f>IF(Friedman!BO37=0,"",Friedman!BO37)</f>
        <v/>
      </c>
      <c r="T40" s="10" t="str">
        <f>IF(Friedman!BS37=0,"",Friedman!BS37)</f>
        <v/>
      </c>
      <c r="U40" s="10" t="str">
        <f>IF(Friedman!BW37=0,"",Friedman!BW37)</f>
        <v/>
      </c>
      <c r="V40" s="10" t="str">
        <f>IF(Friedman!CA37=0,"",Friedman!CA37)</f>
        <v/>
      </c>
      <c r="W40" s="10" t="str">
        <f>IF(Friedman!CE37=0,"",Friedman!CE37)</f>
        <v/>
      </c>
      <c r="X40" s="10" t="str">
        <f>IF(Friedman!CI37=0,"",Friedman!CI37)</f>
        <v/>
      </c>
      <c r="Y40"/>
      <c r="Z40"/>
      <c r="AA40"/>
      <c r="AB40"/>
      <c r="AC40"/>
      <c r="AD40"/>
      <c r="AE40"/>
      <c r="AF40"/>
      <c r="AI40" s="154">
        <f t="shared" si="5"/>
        <v>0</v>
      </c>
      <c r="AJ40" s="154">
        <f t="shared" si="5"/>
        <v>0</v>
      </c>
      <c r="AK40" s="154">
        <f t="shared" si="5"/>
        <v>0</v>
      </c>
      <c r="AL40" s="154">
        <f t="shared" si="5"/>
        <v>0</v>
      </c>
      <c r="AM40" s="154">
        <f t="shared" si="5"/>
        <v>0</v>
      </c>
      <c r="AN40" s="163">
        <f t="shared" si="2"/>
        <v>0</v>
      </c>
    </row>
    <row r="41" spans="2:40" s="25" customFormat="1" ht="14.25" customHeight="1">
      <c r="B41" s="154" t="s">
        <v>26</v>
      </c>
      <c r="C41" s="155">
        <f>'Daily &amp; Weekly Totals'!E55</f>
        <v>43955</v>
      </c>
      <c r="E41" s="10" t="str">
        <f>IF(Friedman!K38=0,"",Friedman!K38)</f>
        <v/>
      </c>
      <c r="F41" s="10" t="str">
        <f>IF(Friedman!O38=0,"",Friedman!O38)</f>
        <v/>
      </c>
      <c r="G41" s="10" t="str">
        <f>IF(Friedman!S38=0,"",Friedman!S38)</f>
        <v/>
      </c>
      <c r="H41" s="10" t="str">
        <f>IF(Friedman!W38=0,"",Friedman!W38)</f>
        <v/>
      </c>
      <c r="I41" s="10" t="str">
        <f>IF(Friedman!AA38=0,"",Friedman!AA38)</f>
        <v/>
      </c>
      <c r="J41" s="10" t="str">
        <f>IF(Friedman!AE38=0,"",Friedman!AE38)</f>
        <v/>
      </c>
      <c r="K41" s="10" t="str">
        <f>IF(Friedman!AI38=0,"",Friedman!AI38)</f>
        <v/>
      </c>
      <c r="L41" s="10" t="str">
        <f>IF(Friedman!AM38=0,"",Friedman!AM38)</f>
        <v/>
      </c>
      <c r="M41" s="10" t="str">
        <f>IF(Friedman!AQ38=0,"",Friedman!AQ38)</f>
        <v/>
      </c>
      <c r="N41" s="10" t="str">
        <f>IF(Friedman!AU38=0,"",Friedman!AU38)</f>
        <v/>
      </c>
      <c r="O41" s="10" t="str">
        <f>IF(Friedman!AY38=0,"",Friedman!AY38)</f>
        <v/>
      </c>
      <c r="P41" s="10" t="str">
        <f>IF(Friedman!BC38=0,"",Friedman!BC38)</f>
        <v/>
      </c>
      <c r="Q41" s="10" t="str">
        <f>IF(Friedman!BG38=0,"",Friedman!BG38)</f>
        <v/>
      </c>
      <c r="R41" s="10" t="str">
        <f>IF(Friedman!BK38=0,"",Friedman!BK38)</f>
        <v/>
      </c>
      <c r="S41" s="10" t="str">
        <f>IF(Friedman!BO38=0,"",Friedman!BO38)</f>
        <v/>
      </c>
      <c r="T41" s="10" t="str">
        <f>IF(Friedman!BS38=0,"",Friedman!BS38)</f>
        <v/>
      </c>
      <c r="U41" s="10" t="str">
        <f>IF(Friedman!BW38=0,"",Friedman!BW38)</f>
        <v/>
      </c>
      <c r="V41" s="10" t="str">
        <f>IF(Friedman!CA38=0,"",Friedman!CA38)</f>
        <v/>
      </c>
      <c r="W41" s="10" t="str">
        <f>IF(Friedman!CE38=0,"",Friedman!CE38)</f>
        <v/>
      </c>
      <c r="X41" s="10" t="str">
        <f>IF(Friedman!CI38=0,"",Friedman!CI38)</f>
        <v/>
      </c>
      <c r="Y41"/>
      <c r="Z41"/>
      <c r="AA41"/>
      <c r="AB41"/>
      <c r="AC41"/>
      <c r="AD41"/>
      <c r="AE41"/>
      <c r="AF41"/>
      <c r="AI41" s="154">
        <f t="shared" si="5"/>
        <v>0</v>
      </c>
      <c r="AJ41" s="154">
        <f t="shared" si="5"/>
        <v>0</v>
      </c>
      <c r="AK41" s="154">
        <f t="shared" si="5"/>
        <v>0</v>
      </c>
      <c r="AL41" s="154">
        <f t="shared" si="5"/>
        <v>0</v>
      </c>
      <c r="AM41" s="154">
        <f t="shared" si="5"/>
        <v>0</v>
      </c>
      <c r="AN41" s="163">
        <f t="shared" si="2"/>
        <v>0</v>
      </c>
    </row>
    <row r="42" spans="2:40" s="25" customFormat="1" ht="14.25" customHeight="1">
      <c r="B42" s="154" t="s">
        <v>27</v>
      </c>
      <c r="C42" s="155">
        <f>'Daily &amp; Weekly Totals'!E56</f>
        <v>43956</v>
      </c>
      <c r="E42" s="10" t="str">
        <f>IF(Friedman!K39=0,"",Friedman!K39)</f>
        <v/>
      </c>
      <c r="F42" s="10" t="str">
        <f>IF(Friedman!O39=0,"",Friedman!O39)</f>
        <v/>
      </c>
      <c r="G42" s="10" t="str">
        <f>IF(Friedman!S39=0,"",Friedman!S39)</f>
        <v/>
      </c>
      <c r="H42" s="10" t="str">
        <f>IF(Friedman!W39=0,"",Friedman!W39)</f>
        <v/>
      </c>
      <c r="I42" s="10" t="str">
        <f>IF(Friedman!AA39=0,"",Friedman!AA39)</f>
        <v/>
      </c>
      <c r="J42" s="10" t="str">
        <f>IF(Friedman!AE39=0,"",Friedman!AE39)</f>
        <v/>
      </c>
      <c r="K42" s="10" t="str">
        <f>IF(Friedman!AI39=0,"",Friedman!AI39)</f>
        <v/>
      </c>
      <c r="L42" s="10" t="str">
        <f>IF(Friedman!AM39=0,"",Friedman!AM39)</f>
        <v/>
      </c>
      <c r="M42" s="10" t="str">
        <f>IF(Friedman!AQ39=0,"",Friedman!AQ39)</f>
        <v/>
      </c>
      <c r="N42" s="10" t="str">
        <f>IF(Friedman!AU39=0,"",Friedman!AU39)</f>
        <v/>
      </c>
      <c r="O42" s="10" t="str">
        <f>IF(Friedman!AY39=0,"",Friedman!AY39)</f>
        <v/>
      </c>
      <c r="P42" s="10" t="str">
        <f>IF(Friedman!BC39=0,"",Friedman!BC39)</f>
        <v/>
      </c>
      <c r="Q42" s="10" t="str">
        <f>IF(Friedman!BG39=0,"",Friedman!BG39)</f>
        <v/>
      </c>
      <c r="R42" s="10" t="str">
        <f>IF(Friedman!BK39=0,"",Friedman!BK39)</f>
        <v/>
      </c>
      <c r="S42" s="10" t="str">
        <f>IF(Friedman!BO39=0,"",Friedman!BO39)</f>
        <v/>
      </c>
      <c r="T42" s="10" t="str">
        <f>IF(Friedman!BS39=0,"",Friedman!BS39)</f>
        <v/>
      </c>
      <c r="U42" s="10" t="str">
        <f>IF(Friedman!BW39=0,"",Friedman!BW39)</f>
        <v/>
      </c>
      <c r="V42" s="10" t="str">
        <f>IF(Friedman!CA39=0,"",Friedman!CA39)</f>
        <v/>
      </c>
      <c r="W42" s="10" t="str">
        <f>IF(Friedman!CE39=0,"",Friedman!CE39)</f>
        <v/>
      </c>
      <c r="X42" s="10" t="str">
        <f>IF(Friedman!CI39=0,"",Friedman!CI39)</f>
        <v/>
      </c>
      <c r="Y42"/>
      <c r="Z42"/>
      <c r="AA42"/>
      <c r="AB42"/>
      <c r="AC42"/>
      <c r="AD42"/>
      <c r="AE42"/>
      <c r="AF42"/>
      <c r="AI42" s="154">
        <f t="shared" si="5"/>
        <v>0</v>
      </c>
      <c r="AJ42" s="154">
        <f t="shared" si="5"/>
        <v>0</v>
      </c>
      <c r="AK42" s="154">
        <f t="shared" si="5"/>
        <v>0</v>
      </c>
      <c r="AL42" s="154">
        <f t="shared" si="5"/>
        <v>0</v>
      </c>
      <c r="AM42" s="154">
        <f t="shared" si="5"/>
        <v>0</v>
      </c>
      <c r="AN42" s="163">
        <f t="shared" si="2"/>
        <v>0</v>
      </c>
    </row>
    <row r="43" spans="2:40" s="25" customFormat="1" ht="14.25" customHeight="1">
      <c r="B43" s="154" t="s">
        <v>28</v>
      </c>
      <c r="C43" s="155">
        <f>'Daily &amp; Weekly Totals'!E57</f>
        <v>43957</v>
      </c>
      <c r="E43" s="10" t="str">
        <f>IF(Friedman!K40=0,"",Friedman!K40)</f>
        <v/>
      </c>
      <c r="F43" s="10" t="str">
        <f>IF(Friedman!O40=0,"",Friedman!O40)</f>
        <v/>
      </c>
      <c r="G43" s="10" t="str">
        <f>IF(Friedman!S40=0,"",Friedman!S40)</f>
        <v/>
      </c>
      <c r="H43" s="10" t="str">
        <f>IF(Friedman!W40=0,"",Friedman!W40)</f>
        <v/>
      </c>
      <c r="I43" s="10" t="str">
        <f>IF(Friedman!AA40=0,"",Friedman!AA40)</f>
        <v/>
      </c>
      <c r="J43" s="10" t="str">
        <f>IF(Friedman!AE40=0,"",Friedman!AE40)</f>
        <v/>
      </c>
      <c r="K43" s="10" t="str">
        <f>IF(Friedman!AI40=0,"",Friedman!AI40)</f>
        <v/>
      </c>
      <c r="L43" s="10" t="str">
        <f>IF(Friedman!AM40=0,"",Friedman!AM40)</f>
        <v/>
      </c>
      <c r="M43" s="10" t="str">
        <f>IF(Friedman!AQ40=0,"",Friedman!AQ40)</f>
        <v/>
      </c>
      <c r="N43" s="10" t="str">
        <f>IF(Friedman!AU40=0,"",Friedman!AU40)</f>
        <v/>
      </c>
      <c r="O43" s="10" t="str">
        <f>IF(Friedman!AY40=0,"",Friedman!AY40)</f>
        <v/>
      </c>
      <c r="P43" s="10" t="str">
        <f>IF(Friedman!BC40=0,"",Friedman!BC40)</f>
        <v/>
      </c>
      <c r="Q43" s="10" t="str">
        <f>IF(Friedman!BG40=0,"",Friedman!BG40)</f>
        <v/>
      </c>
      <c r="R43" s="10" t="str">
        <f>IF(Friedman!BK40=0,"",Friedman!BK40)</f>
        <v/>
      </c>
      <c r="S43" s="10" t="str">
        <f>IF(Friedman!BO40=0,"",Friedman!BO40)</f>
        <v/>
      </c>
      <c r="T43" s="10" t="str">
        <f>IF(Friedman!BS40=0,"",Friedman!BS40)</f>
        <v/>
      </c>
      <c r="U43" s="10" t="str">
        <f>IF(Friedman!BW40=0,"",Friedman!BW40)</f>
        <v/>
      </c>
      <c r="V43" s="10" t="str">
        <f>IF(Friedman!CA40=0,"",Friedman!CA40)</f>
        <v/>
      </c>
      <c r="W43" s="10" t="str">
        <f>IF(Friedman!CE40=0,"",Friedman!CE40)</f>
        <v/>
      </c>
      <c r="X43" s="10" t="str">
        <f>IF(Friedman!CI40=0,"",Friedman!CI40)</f>
        <v/>
      </c>
      <c r="Y43"/>
      <c r="Z43"/>
      <c r="AA43"/>
      <c r="AB43"/>
      <c r="AC43"/>
      <c r="AD43"/>
      <c r="AE43"/>
      <c r="AF43"/>
      <c r="AI43" s="154">
        <f t="shared" si="5"/>
        <v>0</v>
      </c>
      <c r="AJ43" s="154">
        <f t="shared" si="5"/>
        <v>0</v>
      </c>
      <c r="AK43" s="154">
        <f t="shared" si="5"/>
        <v>0</v>
      </c>
      <c r="AL43" s="154">
        <f t="shared" si="5"/>
        <v>0</v>
      </c>
      <c r="AM43" s="154">
        <f t="shared" si="5"/>
        <v>0</v>
      </c>
      <c r="AN43" s="163">
        <f t="shared" si="2"/>
        <v>0</v>
      </c>
    </row>
    <row r="44" spans="2:40" s="25" customFormat="1" ht="14.25" customHeight="1">
      <c r="B44" s="154" t="s">
        <v>29</v>
      </c>
      <c r="C44" s="155">
        <f>'Daily &amp; Weekly Totals'!E58</f>
        <v>43958</v>
      </c>
      <c r="E44" s="10" t="str">
        <f>IF(Friedman!K41=0,"",Friedman!K41)</f>
        <v/>
      </c>
      <c r="F44" s="10" t="str">
        <f>IF(Friedman!O41=0,"",Friedman!O41)</f>
        <v/>
      </c>
      <c r="G44" s="10" t="str">
        <f>IF(Friedman!S41=0,"",Friedman!S41)</f>
        <v/>
      </c>
      <c r="H44" s="10" t="str">
        <f>IF(Friedman!W41=0,"",Friedman!W41)</f>
        <v/>
      </c>
      <c r="I44" s="10" t="str">
        <f>IF(Friedman!AA41=0,"",Friedman!AA41)</f>
        <v/>
      </c>
      <c r="J44" s="10" t="str">
        <f>IF(Friedman!AE41=0,"",Friedman!AE41)</f>
        <v/>
      </c>
      <c r="K44" s="10" t="str">
        <f>IF(Friedman!AI41=0,"",Friedman!AI41)</f>
        <v/>
      </c>
      <c r="L44" s="10" t="str">
        <f>IF(Friedman!AM41=0,"",Friedman!AM41)</f>
        <v/>
      </c>
      <c r="M44" s="10" t="str">
        <f>IF(Friedman!AQ41=0,"",Friedman!AQ41)</f>
        <v/>
      </c>
      <c r="N44" s="10" t="str">
        <f>IF(Friedman!AU41=0,"",Friedman!AU41)</f>
        <v/>
      </c>
      <c r="O44" s="10" t="str">
        <f>IF(Friedman!AY41=0,"",Friedman!AY41)</f>
        <v/>
      </c>
      <c r="P44" s="10" t="str">
        <f>IF(Friedman!BC41=0,"",Friedman!BC41)</f>
        <v/>
      </c>
      <c r="Q44" s="10" t="str">
        <f>IF(Friedman!BG41=0,"",Friedman!BG41)</f>
        <v/>
      </c>
      <c r="R44" s="10" t="str">
        <f>IF(Friedman!BK41=0,"",Friedman!BK41)</f>
        <v/>
      </c>
      <c r="S44" s="10" t="str">
        <f>IF(Friedman!BO41=0,"",Friedman!BO41)</f>
        <v/>
      </c>
      <c r="T44" s="10" t="str">
        <f>IF(Friedman!BS41=0,"",Friedman!BS41)</f>
        <v/>
      </c>
      <c r="U44" s="10" t="str">
        <f>IF(Friedman!BW41=0,"",Friedman!BW41)</f>
        <v/>
      </c>
      <c r="V44" s="10" t="str">
        <f>IF(Friedman!CA41=0,"",Friedman!CA41)</f>
        <v/>
      </c>
      <c r="W44" s="10" t="str">
        <f>IF(Friedman!CE41=0,"",Friedman!CE41)</f>
        <v/>
      </c>
      <c r="X44" s="10" t="str">
        <f>IF(Friedman!CI41=0,"",Friedman!CI41)</f>
        <v/>
      </c>
      <c r="Y44"/>
      <c r="Z44"/>
      <c r="AA44"/>
      <c r="AB44"/>
      <c r="AC44"/>
      <c r="AD44"/>
      <c r="AE44"/>
      <c r="AF44"/>
      <c r="AI44" s="154">
        <f t="shared" si="5"/>
        <v>0</v>
      </c>
      <c r="AJ44" s="154">
        <f t="shared" si="5"/>
        <v>0</v>
      </c>
      <c r="AK44" s="154">
        <f t="shared" si="5"/>
        <v>0</v>
      </c>
      <c r="AL44" s="154">
        <f t="shared" si="5"/>
        <v>0</v>
      </c>
      <c r="AM44" s="154">
        <f t="shared" si="5"/>
        <v>0</v>
      </c>
      <c r="AN44" s="163">
        <f t="shared" si="2"/>
        <v>0</v>
      </c>
    </row>
    <row r="45" spans="2:40" s="25" customFormat="1" ht="14.25" customHeight="1">
      <c r="B45" s="154" t="s">
        <v>30</v>
      </c>
      <c r="C45" s="155">
        <f>'Daily &amp; Weekly Totals'!E59</f>
        <v>43959</v>
      </c>
      <c r="E45" s="10" t="str">
        <f>IF(Friedman!K42=0,"",Friedman!K42)</f>
        <v/>
      </c>
      <c r="F45" s="10" t="str">
        <f>IF(Friedman!O42=0,"",Friedman!O42)</f>
        <v/>
      </c>
      <c r="G45" s="10" t="str">
        <f>IF(Friedman!S42=0,"",Friedman!S42)</f>
        <v/>
      </c>
      <c r="H45" s="10" t="str">
        <f>IF(Friedman!W42=0,"",Friedman!W42)</f>
        <v/>
      </c>
      <c r="I45" s="10" t="str">
        <f>IF(Friedman!AA42=0,"",Friedman!AA42)</f>
        <v/>
      </c>
      <c r="J45" s="10" t="str">
        <f>IF(Friedman!AE42=0,"",Friedman!AE42)</f>
        <v/>
      </c>
      <c r="K45" s="10" t="str">
        <f>IF(Friedman!AI42=0,"",Friedman!AI42)</f>
        <v/>
      </c>
      <c r="L45" s="10" t="str">
        <f>IF(Friedman!AM42=0,"",Friedman!AM42)</f>
        <v/>
      </c>
      <c r="M45" s="10" t="str">
        <f>IF(Friedman!AQ42=0,"",Friedman!AQ42)</f>
        <v/>
      </c>
      <c r="N45" s="10" t="str">
        <f>IF(Friedman!AU42=0,"",Friedman!AU42)</f>
        <v/>
      </c>
      <c r="O45" s="10" t="str">
        <f>IF(Friedman!AY42=0,"",Friedman!AY42)</f>
        <v/>
      </c>
      <c r="P45" s="10" t="str">
        <f>IF(Friedman!BC42=0,"",Friedman!BC42)</f>
        <v/>
      </c>
      <c r="Q45" s="10" t="str">
        <f>IF(Friedman!BG42=0,"",Friedman!BG42)</f>
        <v/>
      </c>
      <c r="R45" s="10" t="str">
        <f>IF(Friedman!BK42=0,"",Friedman!BK42)</f>
        <v/>
      </c>
      <c r="S45" s="10" t="str">
        <f>IF(Friedman!BO42=0,"",Friedman!BO42)</f>
        <v/>
      </c>
      <c r="T45" s="10" t="str">
        <f>IF(Friedman!BS42=0,"",Friedman!BS42)</f>
        <v/>
      </c>
      <c r="U45" s="10" t="str">
        <f>IF(Friedman!BW42=0,"",Friedman!BW42)</f>
        <v/>
      </c>
      <c r="V45" s="10" t="str">
        <f>IF(Friedman!CA42=0,"",Friedman!CA42)</f>
        <v/>
      </c>
      <c r="W45" s="10" t="str">
        <f>IF(Friedman!CE42=0,"",Friedman!CE42)</f>
        <v/>
      </c>
      <c r="X45" s="10" t="str">
        <f>IF(Friedman!CI42=0,"",Friedman!CI42)</f>
        <v/>
      </c>
      <c r="Y45"/>
      <c r="Z45"/>
      <c r="AA45"/>
      <c r="AB45"/>
      <c r="AC45"/>
      <c r="AD45"/>
      <c r="AE45"/>
      <c r="AF45"/>
      <c r="AI45" s="154">
        <f t="shared" si="5"/>
        <v>0</v>
      </c>
      <c r="AJ45" s="154">
        <f t="shared" si="5"/>
        <v>0</v>
      </c>
      <c r="AK45" s="154">
        <f t="shared" si="5"/>
        <v>0</v>
      </c>
      <c r="AL45" s="154">
        <f t="shared" si="5"/>
        <v>0</v>
      </c>
      <c r="AM45" s="154">
        <f t="shared" si="5"/>
        <v>0</v>
      </c>
      <c r="AN45" s="163">
        <f t="shared" si="2"/>
        <v>0</v>
      </c>
    </row>
    <row r="46" spans="2:40" s="25" customFormat="1" ht="14.25" customHeight="1">
      <c r="B46" s="154" t="s">
        <v>31</v>
      </c>
      <c r="C46" s="155">
        <f>'Daily &amp; Weekly Totals'!E60</f>
        <v>43960</v>
      </c>
      <c r="E46" s="10" t="str">
        <f>IF(Friedman!K43=0,"",Friedman!K43)</f>
        <v/>
      </c>
      <c r="F46" s="10" t="str">
        <f>IF(Friedman!O43=0,"",Friedman!O43)</f>
        <v/>
      </c>
      <c r="G46" s="10" t="str">
        <f>IF(Friedman!S43=0,"",Friedman!S43)</f>
        <v/>
      </c>
      <c r="H46" s="10" t="str">
        <f>IF(Friedman!W43=0,"",Friedman!W43)</f>
        <v/>
      </c>
      <c r="I46" s="10" t="str">
        <f>IF(Friedman!AA43=0,"",Friedman!AA43)</f>
        <v/>
      </c>
      <c r="J46" s="10" t="str">
        <f>IF(Friedman!AE43=0,"",Friedman!AE43)</f>
        <v/>
      </c>
      <c r="K46" s="10" t="str">
        <f>IF(Friedman!AI43=0,"",Friedman!AI43)</f>
        <v/>
      </c>
      <c r="L46" s="10" t="str">
        <f>IF(Friedman!AM43=0,"",Friedman!AM43)</f>
        <v/>
      </c>
      <c r="M46" s="10" t="str">
        <f>IF(Friedman!AQ43=0,"",Friedman!AQ43)</f>
        <v/>
      </c>
      <c r="N46" s="10" t="str">
        <f>IF(Friedman!AU43=0,"",Friedman!AU43)</f>
        <v/>
      </c>
      <c r="O46" s="10" t="str">
        <f>IF(Friedman!AY43=0,"",Friedman!AY43)</f>
        <v/>
      </c>
      <c r="P46" s="10" t="str">
        <f>IF(Friedman!BC43=0,"",Friedman!BC43)</f>
        <v/>
      </c>
      <c r="Q46" s="10" t="str">
        <f>IF(Friedman!BG43=0,"",Friedman!BG43)</f>
        <v/>
      </c>
      <c r="R46" s="10" t="str">
        <f>IF(Friedman!BK43=0,"",Friedman!BK43)</f>
        <v/>
      </c>
      <c r="S46" s="10" t="str">
        <f>IF(Friedman!BO43=0,"",Friedman!BO43)</f>
        <v/>
      </c>
      <c r="T46" s="10" t="str">
        <f>IF(Friedman!BS43=0,"",Friedman!BS43)</f>
        <v/>
      </c>
      <c r="U46" s="10" t="str">
        <f>IF(Friedman!BW43=0,"",Friedman!BW43)</f>
        <v/>
      </c>
      <c r="V46" s="10" t="str">
        <f>IF(Friedman!CA43=0,"",Friedman!CA43)</f>
        <v/>
      </c>
      <c r="W46" s="10" t="str">
        <f>IF(Friedman!CE43=0,"",Friedman!CE43)</f>
        <v/>
      </c>
      <c r="X46" s="10" t="str">
        <f>IF(Friedman!CI43=0,"",Friedman!CI43)</f>
        <v/>
      </c>
      <c r="Y46"/>
      <c r="Z46"/>
      <c r="AA46"/>
      <c r="AB46"/>
      <c r="AC46"/>
      <c r="AD46"/>
      <c r="AE46"/>
      <c r="AF46"/>
      <c r="AI46" s="154">
        <f t="shared" si="5"/>
        <v>0</v>
      </c>
      <c r="AJ46" s="154">
        <f t="shared" si="5"/>
        <v>0</v>
      </c>
      <c r="AK46" s="154">
        <f t="shared" si="5"/>
        <v>0</v>
      </c>
      <c r="AL46" s="154">
        <f t="shared" si="5"/>
        <v>0</v>
      </c>
      <c r="AM46" s="154">
        <f t="shared" si="5"/>
        <v>0</v>
      </c>
      <c r="AN46" s="163">
        <f t="shared" si="2"/>
        <v>0</v>
      </c>
    </row>
    <row r="47" spans="2:40" s="25" customFormat="1" ht="14.25" customHeight="1">
      <c r="B47" s="154" t="s">
        <v>32</v>
      </c>
      <c r="C47" s="155">
        <f>'Daily &amp; Weekly Totals'!E61</f>
        <v>43961</v>
      </c>
      <c r="E47" s="10" t="str">
        <f>IF(Friedman!K44=0,"",Friedman!K44)</f>
        <v/>
      </c>
      <c r="F47" s="10" t="str">
        <f>IF(Friedman!O44=0,"",Friedman!O44)</f>
        <v/>
      </c>
      <c r="G47" s="10" t="str">
        <f>IF(Friedman!S44=0,"",Friedman!S44)</f>
        <v/>
      </c>
      <c r="H47" s="10" t="str">
        <f>IF(Friedman!W44=0,"",Friedman!W44)</f>
        <v/>
      </c>
      <c r="I47" s="10" t="str">
        <f>IF(Friedman!AA44=0,"",Friedman!AA44)</f>
        <v/>
      </c>
      <c r="J47" s="10" t="str">
        <f>IF(Friedman!AE44=0,"",Friedman!AE44)</f>
        <v/>
      </c>
      <c r="K47" s="10" t="str">
        <f>IF(Friedman!AI44=0,"",Friedman!AI44)</f>
        <v/>
      </c>
      <c r="L47" s="10" t="str">
        <f>IF(Friedman!AM44=0,"",Friedman!AM44)</f>
        <v/>
      </c>
      <c r="M47" s="10" t="str">
        <f>IF(Friedman!AQ44=0,"",Friedman!AQ44)</f>
        <v/>
      </c>
      <c r="N47" s="10" t="str">
        <f>IF(Friedman!AU44=0,"",Friedman!AU44)</f>
        <v/>
      </c>
      <c r="O47" s="10" t="str">
        <f>IF(Friedman!AY44=0,"",Friedman!AY44)</f>
        <v/>
      </c>
      <c r="P47" s="10" t="str">
        <f>IF(Friedman!BC44=0,"",Friedman!BC44)</f>
        <v/>
      </c>
      <c r="Q47" s="10" t="str">
        <f>IF(Friedman!BG44=0,"",Friedman!BG44)</f>
        <v/>
      </c>
      <c r="R47" s="10" t="str">
        <f>IF(Friedman!BK44=0,"",Friedman!BK44)</f>
        <v/>
      </c>
      <c r="S47" s="10" t="str">
        <f>IF(Friedman!BO44=0,"",Friedman!BO44)</f>
        <v/>
      </c>
      <c r="T47" s="10" t="str">
        <f>IF(Friedman!BS44=0,"",Friedman!BS44)</f>
        <v/>
      </c>
      <c r="U47" s="10" t="str">
        <f>IF(Friedman!BW44=0,"",Friedman!BW44)</f>
        <v/>
      </c>
      <c r="V47" s="10" t="str">
        <f>IF(Friedman!CA44=0,"",Friedman!CA44)</f>
        <v/>
      </c>
      <c r="W47" s="10" t="str">
        <f>IF(Friedman!CE44=0,"",Friedman!CE44)</f>
        <v/>
      </c>
      <c r="X47" s="10" t="str">
        <f>IF(Friedman!CI44=0,"",Friedman!CI44)</f>
        <v/>
      </c>
      <c r="Y47"/>
      <c r="Z47"/>
      <c r="AA47"/>
      <c r="AB47"/>
      <c r="AC47"/>
      <c r="AD47"/>
      <c r="AE47"/>
      <c r="AF47"/>
      <c r="AI47" s="154">
        <f t="shared" si="5"/>
        <v>0</v>
      </c>
      <c r="AJ47" s="154">
        <f t="shared" si="5"/>
        <v>0</v>
      </c>
      <c r="AK47" s="154">
        <f t="shared" si="5"/>
        <v>0</v>
      </c>
      <c r="AL47" s="154">
        <f t="shared" si="5"/>
        <v>0</v>
      </c>
      <c r="AM47" s="154">
        <f t="shared" si="5"/>
        <v>0</v>
      </c>
      <c r="AN47" s="163">
        <f t="shared" si="2"/>
        <v>0</v>
      </c>
    </row>
    <row r="48" spans="2:40" s="25" customFormat="1" ht="14.25" customHeight="1"/>
    <row r="49" spans="2:32" s="25" customFormat="1" ht="14.25" customHeight="1">
      <c r="B49" s="308" t="s">
        <v>164</v>
      </c>
      <c r="C49" s="310">
        <f>C12</f>
        <v>43926</v>
      </c>
      <c r="D49" s="160"/>
      <c r="E49" s="309">
        <f>SUM(E6:E12)</f>
        <v>0</v>
      </c>
      <c r="F49" s="309">
        <f t="shared" ref="F49:AF49" si="6">SUM(F6:F12)</f>
        <v>0</v>
      </c>
      <c r="G49" s="309">
        <f t="shared" si="6"/>
        <v>0</v>
      </c>
      <c r="H49" s="309">
        <f t="shared" si="6"/>
        <v>0</v>
      </c>
      <c r="I49" s="309">
        <f t="shared" si="6"/>
        <v>0</v>
      </c>
      <c r="J49" s="309">
        <f t="shared" si="6"/>
        <v>0</v>
      </c>
      <c r="K49" s="309">
        <f t="shared" si="6"/>
        <v>0</v>
      </c>
      <c r="L49" s="309">
        <f t="shared" si="6"/>
        <v>0</v>
      </c>
      <c r="M49" s="309">
        <f t="shared" si="6"/>
        <v>0</v>
      </c>
      <c r="N49" s="309">
        <f t="shared" si="6"/>
        <v>0</v>
      </c>
      <c r="O49" s="309">
        <f t="shared" si="6"/>
        <v>0</v>
      </c>
      <c r="P49" s="309">
        <f t="shared" si="6"/>
        <v>0</v>
      </c>
      <c r="Q49" s="309">
        <f t="shared" si="6"/>
        <v>0</v>
      </c>
      <c r="R49" s="309">
        <f t="shared" si="6"/>
        <v>0</v>
      </c>
      <c r="S49" s="309">
        <f t="shared" si="6"/>
        <v>0</v>
      </c>
      <c r="T49" s="309">
        <f t="shared" si="6"/>
        <v>0</v>
      </c>
      <c r="U49" s="309">
        <f t="shared" si="6"/>
        <v>0</v>
      </c>
      <c r="V49" s="309">
        <f t="shared" si="6"/>
        <v>0</v>
      </c>
      <c r="W49" s="309">
        <f t="shared" si="6"/>
        <v>0</v>
      </c>
      <c r="X49" s="309">
        <f t="shared" si="6"/>
        <v>0</v>
      </c>
      <c r="Y49" s="309">
        <f t="shared" si="6"/>
        <v>0</v>
      </c>
      <c r="Z49" s="309">
        <f t="shared" si="6"/>
        <v>0</v>
      </c>
      <c r="AA49" s="309">
        <f t="shared" si="6"/>
        <v>0</v>
      </c>
      <c r="AB49" s="309">
        <f t="shared" si="6"/>
        <v>0</v>
      </c>
      <c r="AC49" s="309">
        <f t="shared" si="6"/>
        <v>0</v>
      </c>
      <c r="AD49" s="309">
        <f t="shared" si="6"/>
        <v>0</v>
      </c>
      <c r="AE49" s="309">
        <f t="shared" si="6"/>
        <v>0</v>
      </c>
      <c r="AF49" s="309">
        <f t="shared" si="6"/>
        <v>0</v>
      </c>
    </row>
    <row r="50" spans="2:32" s="25" customFormat="1" ht="14.25" customHeight="1">
      <c r="B50" s="308" t="s">
        <v>165</v>
      </c>
      <c r="C50" s="310">
        <f>C19</f>
        <v>43933</v>
      </c>
      <c r="D50" s="160"/>
      <c r="E50" s="309">
        <f>SUM(E13:E19)</f>
        <v>0</v>
      </c>
      <c r="F50" s="309">
        <f t="shared" ref="F50:X50" si="7">SUM(F13:F19)</f>
        <v>0</v>
      </c>
      <c r="G50" s="309">
        <f t="shared" si="7"/>
        <v>0</v>
      </c>
      <c r="H50" s="309">
        <f t="shared" si="7"/>
        <v>0</v>
      </c>
      <c r="I50" s="309">
        <f t="shared" si="7"/>
        <v>0</v>
      </c>
      <c r="J50" s="309">
        <f t="shared" si="7"/>
        <v>0</v>
      </c>
      <c r="K50" s="309">
        <f t="shared" si="7"/>
        <v>0</v>
      </c>
      <c r="L50" s="309">
        <f t="shared" si="7"/>
        <v>0</v>
      </c>
      <c r="M50" s="309">
        <f t="shared" si="7"/>
        <v>0</v>
      </c>
      <c r="N50" s="309">
        <f t="shared" si="7"/>
        <v>0</v>
      </c>
      <c r="O50" s="309">
        <f t="shared" si="7"/>
        <v>0</v>
      </c>
      <c r="P50" s="309">
        <f t="shared" si="7"/>
        <v>0</v>
      </c>
      <c r="Q50" s="309">
        <f t="shared" si="7"/>
        <v>0</v>
      </c>
      <c r="R50" s="309">
        <f t="shared" si="7"/>
        <v>0</v>
      </c>
      <c r="S50" s="309">
        <f t="shared" si="7"/>
        <v>0</v>
      </c>
      <c r="T50" s="309">
        <f t="shared" si="7"/>
        <v>0</v>
      </c>
      <c r="U50" s="309">
        <f t="shared" si="7"/>
        <v>0</v>
      </c>
      <c r="V50" s="309">
        <f t="shared" si="7"/>
        <v>0</v>
      </c>
      <c r="W50" s="309">
        <f t="shared" si="7"/>
        <v>0</v>
      </c>
      <c r="X50" s="309">
        <f t="shared" si="7"/>
        <v>0</v>
      </c>
    </row>
    <row r="51" spans="2:32" s="25" customFormat="1" ht="14.25" customHeight="1">
      <c r="B51" s="308" t="s">
        <v>165</v>
      </c>
      <c r="C51" s="310">
        <f>C26</f>
        <v>43940</v>
      </c>
      <c r="D51" s="160"/>
      <c r="E51" s="309">
        <f>SUM(E20:E26)</f>
        <v>0</v>
      </c>
      <c r="F51" s="309">
        <f t="shared" ref="F51:X51" si="8">SUM(F20:F26)</f>
        <v>0</v>
      </c>
      <c r="G51" s="309">
        <f t="shared" si="8"/>
        <v>0</v>
      </c>
      <c r="H51" s="309">
        <f t="shared" si="8"/>
        <v>0</v>
      </c>
      <c r="I51" s="309">
        <f t="shared" si="8"/>
        <v>0</v>
      </c>
      <c r="J51" s="309">
        <f t="shared" si="8"/>
        <v>0</v>
      </c>
      <c r="K51" s="309">
        <f t="shared" si="8"/>
        <v>0</v>
      </c>
      <c r="L51" s="309">
        <f t="shared" si="8"/>
        <v>0</v>
      </c>
      <c r="M51" s="309">
        <f t="shared" si="8"/>
        <v>0</v>
      </c>
      <c r="N51" s="309">
        <f t="shared" si="8"/>
        <v>0</v>
      </c>
      <c r="O51" s="309">
        <f t="shared" si="8"/>
        <v>0</v>
      </c>
      <c r="P51" s="309">
        <f t="shared" si="8"/>
        <v>0</v>
      </c>
      <c r="Q51" s="309">
        <f t="shared" si="8"/>
        <v>0</v>
      </c>
      <c r="R51" s="309">
        <f t="shared" si="8"/>
        <v>0</v>
      </c>
      <c r="S51" s="309">
        <f t="shared" si="8"/>
        <v>0</v>
      </c>
      <c r="T51" s="309">
        <f t="shared" si="8"/>
        <v>0</v>
      </c>
      <c r="U51" s="309">
        <f t="shared" si="8"/>
        <v>0</v>
      </c>
      <c r="V51" s="309">
        <f t="shared" si="8"/>
        <v>0</v>
      </c>
      <c r="W51" s="309">
        <f t="shared" si="8"/>
        <v>0</v>
      </c>
      <c r="X51" s="309">
        <f t="shared" si="8"/>
        <v>0</v>
      </c>
    </row>
    <row r="52" spans="2:32" s="25" customFormat="1" ht="14.25" customHeight="1">
      <c r="B52" s="308" t="s">
        <v>165</v>
      </c>
      <c r="C52" s="310">
        <f>C33</f>
        <v>43947</v>
      </c>
      <c r="D52" s="160"/>
      <c r="E52" s="309">
        <f>SUM(E27:E33)</f>
        <v>0</v>
      </c>
      <c r="F52" s="309">
        <f t="shared" ref="F52:X52" si="9">SUM(F27:F33)</f>
        <v>0</v>
      </c>
      <c r="G52" s="309">
        <f t="shared" si="9"/>
        <v>0</v>
      </c>
      <c r="H52" s="309">
        <f t="shared" si="9"/>
        <v>0</v>
      </c>
      <c r="I52" s="309">
        <f t="shared" si="9"/>
        <v>0</v>
      </c>
      <c r="J52" s="309">
        <f t="shared" si="9"/>
        <v>0</v>
      </c>
      <c r="K52" s="309">
        <f t="shared" si="9"/>
        <v>0</v>
      </c>
      <c r="L52" s="309">
        <f t="shared" si="9"/>
        <v>0</v>
      </c>
      <c r="M52" s="309">
        <f t="shared" si="9"/>
        <v>0</v>
      </c>
      <c r="N52" s="309">
        <f t="shared" si="9"/>
        <v>0</v>
      </c>
      <c r="O52" s="309">
        <f t="shared" si="9"/>
        <v>0</v>
      </c>
      <c r="P52" s="309">
        <f t="shared" si="9"/>
        <v>0</v>
      </c>
      <c r="Q52" s="309">
        <f t="shared" si="9"/>
        <v>0</v>
      </c>
      <c r="R52" s="309">
        <f t="shared" si="9"/>
        <v>0</v>
      </c>
      <c r="S52" s="309">
        <f t="shared" si="9"/>
        <v>0</v>
      </c>
      <c r="T52" s="309">
        <f t="shared" si="9"/>
        <v>0</v>
      </c>
      <c r="U52" s="309">
        <f t="shared" si="9"/>
        <v>0</v>
      </c>
      <c r="V52" s="309">
        <f t="shared" si="9"/>
        <v>0</v>
      </c>
      <c r="W52" s="309">
        <f t="shared" si="9"/>
        <v>0</v>
      </c>
      <c r="X52" s="309">
        <f t="shared" si="9"/>
        <v>0</v>
      </c>
    </row>
    <row r="53" spans="2:32" s="25" customFormat="1" ht="14.25" customHeight="1">
      <c r="B53" s="308" t="s">
        <v>165</v>
      </c>
      <c r="C53" s="310">
        <f>C40</f>
        <v>43954</v>
      </c>
      <c r="D53" s="160"/>
      <c r="E53" s="309">
        <f>SUM(E34:E40)</f>
        <v>0</v>
      </c>
      <c r="F53" s="309">
        <f t="shared" ref="F53:X53" si="10">SUM(F34:F40)</f>
        <v>0</v>
      </c>
      <c r="G53" s="309">
        <f t="shared" si="10"/>
        <v>0</v>
      </c>
      <c r="H53" s="309">
        <f t="shared" si="10"/>
        <v>0</v>
      </c>
      <c r="I53" s="309">
        <f t="shared" si="10"/>
        <v>0</v>
      </c>
      <c r="J53" s="309">
        <f t="shared" si="10"/>
        <v>0</v>
      </c>
      <c r="K53" s="309">
        <f t="shared" si="10"/>
        <v>0</v>
      </c>
      <c r="L53" s="309">
        <f t="shared" si="10"/>
        <v>0</v>
      </c>
      <c r="M53" s="309">
        <f t="shared" si="10"/>
        <v>0</v>
      </c>
      <c r="N53" s="309">
        <f t="shared" si="10"/>
        <v>0</v>
      </c>
      <c r="O53" s="309">
        <f t="shared" si="10"/>
        <v>0</v>
      </c>
      <c r="P53" s="309">
        <f t="shared" si="10"/>
        <v>0</v>
      </c>
      <c r="Q53" s="309">
        <f t="shared" si="10"/>
        <v>0</v>
      </c>
      <c r="R53" s="309">
        <f t="shared" si="10"/>
        <v>0</v>
      </c>
      <c r="S53" s="309">
        <f t="shared" si="10"/>
        <v>0</v>
      </c>
      <c r="T53" s="309">
        <f t="shared" si="10"/>
        <v>0</v>
      </c>
      <c r="U53" s="309">
        <f t="shared" si="10"/>
        <v>0</v>
      </c>
      <c r="V53" s="309">
        <f t="shared" si="10"/>
        <v>0</v>
      </c>
      <c r="W53" s="309">
        <f t="shared" si="10"/>
        <v>0</v>
      </c>
      <c r="X53" s="309">
        <f t="shared" si="10"/>
        <v>0</v>
      </c>
    </row>
    <row r="54" spans="2:32" s="25" customFormat="1" ht="14.25" customHeight="1">
      <c r="B54" s="308" t="s">
        <v>165</v>
      </c>
      <c r="C54" s="310">
        <f>C47</f>
        <v>43961</v>
      </c>
      <c r="D54" s="160"/>
      <c r="E54" s="309">
        <f>SUM(E41:E47)</f>
        <v>0</v>
      </c>
      <c r="F54" s="309">
        <f t="shared" ref="F54:X54" si="11">SUM(F41:F47)</f>
        <v>0</v>
      </c>
      <c r="G54" s="309">
        <f t="shared" si="11"/>
        <v>0</v>
      </c>
      <c r="H54" s="309">
        <f t="shared" si="11"/>
        <v>0</v>
      </c>
      <c r="I54" s="309">
        <f t="shared" si="11"/>
        <v>0</v>
      </c>
      <c r="J54" s="309">
        <f t="shared" si="11"/>
        <v>0</v>
      </c>
      <c r="K54" s="309">
        <f t="shared" si="11"/>
        <v>0</v>
      </c>
      <c r="L54" s="309">
        <f t="shared" si="11"/>
        <v>0</v>
      </c>
      <c r="M54" s="309">
        <f t="shared" si="11"/>
        <v>0</v>
      </c>
      <c r="N54" s="309">
        <f t="shared" si="11"/>
        <v>0</v>
      </c>
      <c r="O54" s="309">
        <f t="shared" si="11"/>
        <v>0</v>
      </c>
      <c r="P54" s="309">
        <f t="shared" si="11"/>
        <v>0</v>
      </c>
      <c r="Q54" s="309">
        <f t="shared" si="11"/>
        <v>0</v>
      </c>
      <c r="R54" s="309">
        <f t="shared" si="11"/>
        <v>0</v>
      </c>
      <c r="S54" s="309">
        <f t="shared" si="11"/>
        <v>0</v>
      </c>
      <c r="T54" s="309">
        <f t="shared" si="11"/>
        <v>0</v>
      </c>
      <c r="U54" s="309">
        <f t="shared" si="11"/>
        <v>0</v>
      </c>
      <c r="V54" s="309">
        <f t="shared" si="11"/>
        <v>0</v>
      </c>
      <c r="W54" s="309">
        <f t="shared" si="11"/>
        <v>0</v>
      </c>
      <c r="X54" s="309">
        <f t="shared" si="11"/>
        <v>0</v>
      </c>
    </row>
    <row r="55" spans="2:32" s="25" customFormat="1" ht="14.25" customHeight="1"/>
    <row r="56" spans="2:32" s="25" customFormat="1" ht="14.25" customHeight="1"/>
    <row r="57" spans="2:32" s="25" customFormat="1" ht="14.25" customHeight="1"/>
    <row r="58" spans="2:32" s="25" customFormat="1" ht="14.25" customHeight="1"/>
    <row r="59" spans="2:32" s="25" customFormat="1" ht="14.25" customHeight="1"/>
    <row r="60" spans="2:32" s="25" customFormat="1" ht="14.25" customHeight="1"/>
    <row r="61" spans="2:32" s="25" customFormat="1" ht="14.25" customHeight="1"/>
    <row r="62" spans="2:32" s="25" customFormat="1" ht="14.25" customHeight="1"/>
    <row r="63" spans="2:32" s="25" customFormat="1" ht="14.25" customHeight="1"/>
    <row r="64" spans="2:32" s="25" customFormat="1" ht="14.25" customHeight="1"/>
    <row r="65" s="25" customFormat="1" ht="14.25" customHeight="1"/>
    <row r="66" s="25" customFormat="1" ht="14.25" customHeight="1"/>
    <row r="67" s="25" customFormat="1" ht="14.25" customHeight="1"/>
    <row r="68" s="25" customFormat="1" ht="14.25" customHeight="1"/>
    <row r="69" s="25" customFormat="1" ht="14.25" customHeight="1"/>
    <row r="70" s="25" customFormat="1" ht="14.25" customHeight="1"/>
    <row r="71" s="25" customFormat="1" ht="14.25" customHeight="1"/>
    <row r="72" s="25" customFormat="1" ht="14.25" customHeight="1"/>
    <row r="73" s="25" customFormat="1" ht="14.25" customHeight="1"/>
    <row r="74" s="25" customFormat="1" ht="14.25" customHeight="1"/>
    <row r="75" s="25" customFormat="1" ht="14.25" customHeight="1"/>
    <row r="76" s="25" customFormat="1" ht="14.25" customHeight="1"/>
    <row r="77" s="25" customFormat="1" ht="14.25" customHeight="1"/>
    <row r="78" s="25" customFormat="1" ht="14.25" customHeight="1"/>
    <row r="79" s="25" customFormat="1" ht="14.25" customHeight="1"/>
    <row r="80" s="25" customFormat="1" ht="14.25" customHeight="1"/>
    <row r="81" s="25" customFormat="1" ht="14.25" customHeight="1"/>
    <row r="82" s="25" customFormat="1" ht="14.25" customHeight="1"/>
    <row r="83" s="25" customFormat="1" ht="14.25" customHeight="1"/>
    <row r="84" s="25" customFormat="1" ht="14.25" customHeight="1"/>
    <row r="85" s="25" customFormat="1" ht="14.25" customHeight="1"/>
    <row r="86" s="25" customFormat="1" ht="14.25" customHeight="1"/>
    <row r="87" s="25" customFormat="1" ht="14.25" customHeight="1"/>
    <row r="88" s="25" customFormat="1" ht="14.25" customHeight="1"/>
    <row r="89" s="25" customFormat="1" ht="14.25" customHeight="1"/>
    <row r="90" s="25" customFormat="1" ht="14.25" customHeight="1"/>
    <row r="91" s="25" customFormat="1" ht="14.25" customHeight="1"/>
    <row r="92" s="25" customFormat="1" ht="14.25" customHeight="1"/>
    <row r="93" s="25" customFormat="1" ht="14.25" customHeight="1"/>
    <row r="94" s="25" customFormat="1" ht="14.25" customHeight="1"/>
    <row r="95" s="25" customFormat="1" ht="14.25" customHeight="1"/>
    <row r="96" s="25" customFormat="1" ht="14.25" customHeight="1"/>
    <row r="97" s="25" customFormat="1" ht="14.25" customHeight="1"/>
    <row r="98" s="25" customFormat="1" ht="14.25" customHeight="1"/>
    <row r="99" s="25" customFormat="1" ht="14.25" customHeight="1"/>
    <row r="100" s="25" customFormat="1" ht="14.25" customHeight="1"/>
    <row r="101" s="25" customFormat="1" ht="14.25" customHeight="1"/>
    <row r="102" s="25" customFormat="1" ht="14.25" customHeight="1"/>
    <row r="103" s="25" customFormat="1" ht="14.25" customHeight="1"/>
    <row r="104" s="25" customFormat="1" ht="14.25" customHeight="1"/>
    <row r="105" s="25" customFormat="1" ht="14.25" customHeight="1"/>
    <row r="106" s="25" customFormat="1" ht="14.25" customHeight="1"/>
    <row r="107" s="25" customFormat="1" ht="14.25" customHeight="1"/>
    <row r="108" s="25" customFormat="1" ht="14.25" customHeight="1"/>
    <row r="109" s="25" customFormat="1" ht="14.25" customHeight="1"/>
    <row r="110" s="25" customFormat="1" ht="14.25" customHeight="1"/>
    <row r="111" s="25" customFormat="1" ht="14.25" customHeight="1"/>
    <row r="112" s="25" customFormat="1" ht="14.25" customHeight="1"/>
    <row r="113" s="25" customFormat="1" ht="14.25" customHeight="1"/>
    <row r="114" s="25" customFormat="1" ht="14.25" customHeight="1"/>
    <row r="115" s="25" customFormat="1" ht="14.25" customHeight="1"/>
    <row r="116" s="25" customFormat="1" ht="14.25" customHeight="1"/>
    <row r="117" s="25" customFormat="1" ht="14.25" customHeight="1"/>
    <row r="118" s="25" customFormat="1" ht="14.25" customHeight="1"/>
    <row r="119" s="25" customFormat="1" ht="14.25" customHeight="1"/>
    <row r="120" s="25" customFormat="1" ht="14.25" customHeight="1"/>
    <row r="121" s="25" customFormat="1" ht="14.25" customHeight="1"/>
    <row r="122" s="25" customFormat="1" ht="14.25" customHeight="1"/>
    <row r="123" s="25" customFormat="1" ht="14.25" customHeight="1"/>
    <row r="124" s="25" customFormat="1" ht="14.25" customHeight="1"/>
    <row r="125" s="25" customFormat="1" ht="14.25" customHeight="1"/>
    <row r="126" s="25" customFormat="1" ht="14.25" customHeight="1"/>
    <row r="127" s="25" customFormat="1" ht="14.25" customHeight="1"/>
    <row r="128" s="25" customFormat="1" ht="14.25" customHeight="1"/>
    <row r="129" s="25" customFormat="1" ht="14.25" customHeight="1"/>
    <row r="130" s="25" customFormat="1" ht="14.25" customHeight="1"/>
    <row r="131" s="25" customFormat="1" ht="14.25" customHeight="1"/>
    <row r="132" s="25" customFormat="1" ht="14.25" customHeight="1"/>
    <row r="133" s="25" customFormat="1" ht="14.25" customHeight="1"/>
    <row r="134" s="25" customFormat="1" ht="14.25" customHeight="1"/>
    <row r="135" s="25" customFormat="1" ht="14.25" customHeight="1"/>
    <row r="136" s="25" customFormat="1" ht="14.25" customHeight="1"/>
    <row r="137" s="25" customFormat="1" ht="14.25" customHeight="1"/>
    <row r="138" s="25" customFormat="1" ht="14.25" customHeight="1"/>
    <row r="139" s="25" customFormat="1" ht="14.25" customHeight="1"/>
    <row r="140" s="25" customFormat="1" ht="14.25" customHeight="1"/>
    <row r="141" s="25" customFormat="1" ht="14.25" customHeight="1"/>
    <row r="142" s="25" customFormat="1" ht="14.25" customHeight="1"/>
    <row r="143" s="25" customFormat="1" ht="14.25" customHeight="1"/>
    <row r="144" s="25" customFormat="1" ht="14.25" customHeight="1"/>
    <row r="145" s="25" customFormat="1" ht="14.25" customHeight="1"/>
    <row r="146" s="25" customFormat="1" ht="14.25" customHeight="1"/>
    <row r="147" s="25" customFormat="1" ht="14.25" customHeight="1"/>
    <row r="148" s="25" customFormat="1" ht="14.25" customHeight="1"/>
    <row r="149" s="25" customFormat="1" ht="14.25" customHeight="1"/>
    <row r="150" s="25" customFormat="1" ht="14.25" customHeight="1"/>
    <row r="151" s="25" customFormat="1" ht="14.25" customHeight="1"/>
    <row r="152" s="25" customFormat="1" ht="14.25" customHeight="1"/>
    <row r="153" s="25" customFormat="1" ht="14.25" customHeight="1"/>
    <row r="154" s="25" customFormat="1" ht="14.25" customHeight="1"/>
    <row r="155" s="25" customFormat="1" ht="14.25" customHeight="1"/>
    <row r="156" s="25" customFormat="1" ht="14.25" customHeight="1"/>
    <row r="157" s="25" customFormat="1" ht="14.25" customHeight="1"/>
    <row r="158" s="25" customFormat="1" ht="14.25" customHeight="1"/>
    <row r="159" s="25" customFormat="1" ht="14.25" customHeight="1"/>
    <row r="160" s="25" customFormat="1" ht="14.25" customHeight="1"/>
    <row r="161" s="25" customFormat="1" ht="14.25" customHeight="1"/>
    <row r="162" s="25" customFormat="1" ht="14.25" customHeight="1"/>
    <row r="163" s="25" customFormat="1" ht="14.25" customHeight="1"/>
    <row r="164" s="25" customFormat="1" ht="14.25" customHeight="1"/>
    <row r="165" s="25" customFormat="1" ht="14.25" customHeight="1"/>
    <row r="166" s="25" customFormat="1" ht="14.25" customHeight="1"/>
    <row r="167" s="25" customFormat="1" ht="14.25" customHeight="1"/>
    <row r="168" s="25" customFormat="1" ht="14.25" customHeight="1"/>
    <row r="169" s="25" customFormat="1" ht="14.25" customHeight="1"/>
    <row r="170" s="25" customFormat="1" ht="14.25" customHeight="1"/>
    <row r="171" s="25" customFormat="1" ht="14.25" customHeight="1"/>
    <row r="172" s="25" customFormat="1" ht="14.25" customHeight="1"/>
    <row r="173" s="25" customFormat="1" ht="14.25" customHeight="1"/>
    <row r="174" s="25" customFormat="1" ht="14.25" customHeight="1"/>
    <row r="175" s="25" customFormat="1" ht="14.25" customHeight="1"/>
  </sheetData>
  <sheetProtection algorithmName="SHA-512" hashValue="IwMRs2q94nFGbpeGsGxADRAPFnf71fbG1qORGR1AF7VvU+Da96zBU0VyY70JWozeTYOY5saOg8uUuyymCpye5Q==" saltValue="G7/bQD+FEdg3EIzey8XmMQ==" spinCount="100000" sheet="1" objects="1" scenarios="1"/>
  <phoneticPr fontId="10" type="noConversion"/>
  <conditionalFormatting sqref="E4:AG4 AI6:AM47">
    <cfRule type="cellIs" dxfId="17" priority="1" stopIfTrue="1" operator="equal">
      <formula>0</formula>
    </cfRule>
  </conditionalFormatting>
  <dataValidations count="2">
    <dataValidation operator="equal" allowBlank="1" showInputMessage="1" promptTitle="Individual Hours Worked" prompt="Enter the number of hours worked by_x000a_each staff member. Include ALL hours_x000a_worked for store purposes, including_x000a_opening and closing the store." sqref="Y6:AF19 Y20:Y33 AA20:AF33 Y34:AF47" xr:uid="{00000000-0002-0000-0C00-000000000000}">
      <formula1>0</formula1>
      <formula2>0</formula2>
    </dataValidation>
    <dataValidation operator="equal" allowBlank="1" showInputMessage="1" promptTitle="Refunds from Other Stores" prompt="Enter the total number of lines_x000a_handled during refunds processed_x000a_under sales codes from other stores,_x000a_where the staff member is not on _x000a_the listed staff for this store." sqref="Z20:Z33" xr:uid="{00000000-0002-0000-0C00-000001000000}">
      <formula1>0</formula1>
      <formula2>0</formula2>
    </dataValidation>
  </dataValidation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
  <sheetViews>
    <sheetView zoomScale="90" zoomScaleNormal="90" workbookViewId="0">
      <selection activeCell="P45" sqref="P45"/>
    </sheetView>
  </sheetViews>
  <sheetFormatPr defaultColWidth="11.5703125" defaultRowHeight="33" customHeight="1"/>
  <sheetData/>
  <sheetProtection password="81D8" sheet="1" objects="1" scenarios="1"/>
  <phoneticPr fontId="10" type="noConversion"/>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pageSetUpPr fitToPage="1"/>
  </sheetPr>
  <dimension ref="A1:J79"/>
  <sheetViews>
    <sheetView topLeftCell="A7" zoomScaleNormal="100" workbookViewId="0">
      <selection activeCell="B33" sqref="B33:I35"/>
    </sheetView>
  </sheetViews>
  <sheetFormatPr defaultColWidth="11.5703125" defaultRowHeight="12.75"/>
  <cols>
    <col min="1" max="1" width="2.5703125" style="10" customWidth="1"/>
    <col min="2" max="2" width="16.42578125" style="10" customWidth="1"/>
    <col min="3" max="3" width="15.42578125" style="10" customWidth="1"/>
    <col min="4" max="4" width="13.42578125" style="10" customWidth="1"/>
    <col min="5" max="5" width="15.42578125" style="10" customWidth="1"/>
    <col min="6" max="6" width="15" style="10" customWidth="1"/>
    <col min="7" max="7" width="16.140625" style="10" customWidth="1"/>
    <col min="8" max="8" width="14.140625" style="10" customWidth="1"/>
    <col min="9" max="9" width="14" style="10" customWidth="1"/>
    <col min="10" max="10" width="2.5703125" style="10" customWidth="1"/>
    <col min="11" max="16384" width="11.5703125" style="10"/>
  </cols>
  <sheetData>
    <row r="1" spans="1:10" ht="6.2" customHeight="1">
      <c r="A1" s="281"/>
      <c r="B1" s="282"/>
      <c r="C1" s="282"/>
      <c r="D1" s="282"/>
      <c r="E1" s="282"/>
      <c r="F1" s="282"/>
      <c r="G1" s="282"/>
      <c r="H1" s="282"/>
      <c r="I1" s="282"/>
      <c r="J1" s="283"/>
    </row>
    <row r="2" spans="1:10" ht="20.25" customHeight="1">
      <c r="A2" s="284"/>
      <c r="B2" s="503" t="s">
        <v>167</v>
      </c>
      <c r="C2" s="503"/>
      <c r="D2" s="503"/>
      <c r="E2" s="503"/>
      <c r="F2" s="503"/>
      <c r="G2" s="503"/>
      <c r="H2" s="503"/>
      <c r="I2" s="503"/>
      <c r="J2" s="285"/>
    </row>
    <row r="3" spans="1:10" ht="6.2" customHeight="1">
      <c r="A3" s="284"/>
      <c r="B3" s="375"/>
      <c r="C3" s="375"/>
      <c r="D3" s="375"/>
      <c r="E3" s="375"/>
      <c r="F3" s="375"/>
      <c r="G3" s="375"/>
      <c r="H3" s="375"/>
      <c r="I3" s="375"/>
      <c r="J3" s="285"/>
    </row>
    <row r="4" spans="1:10" ht="12.75" customHeight="1">
      <c r="A4" s="286"/>
      <c r="B4" s="504" t="str">
        <f>'Store Details'!D2</f>
        <v>Auburn</v>
      </c>
      <c r="C4" s="504"/>
      <c r="D4" s="287"/>
      <c r="E4" s="288"/>
      <c r="F4" s="491" t="s">
        <v>168</v>
      </c>
      <c r="G4" s="491"/>
      <c r="H4" s="505" t="s">
        <v>50</v>
      </c>
      <c r="I4" s="505"/>
      <c r="J4" s="285"/>
    </row>
    <row r="5" spans="1:10" ht="14.25" customHeight="1">
      <c r="A5" s="286"/>
      <c r="B5" s="504"/>
      <c r="C5" s="504"/>
      <c r="D5" s="289"/>
      <c r="E5" s="289"/>
      <c r="F5" s="506">
        <f>'Store Details'!C$15</f>
        <v>0</v>
      </c>
      <c r="G5" s="506"/>
      <c r="H5" s="502">
        <f>'Store Details'!C$16</f>
        <v>0</v>
      </c>
      <c r="I5" s="502"/>
      <c r="J5" s="285"/>
    </row>
    <row r="6" spans="1:10" ht="6.2" customHeight="1">
      <c r="A6" s="286"/>
      <c r="B6" s="61"/>
      <c r="C6" s="61"/>
      <c r="D6" s="61"/>
      <c r="E6" s="61"/>
      <c r="F6" s="61"/>
      <c r="G6" s="61"/>
      <c r="H6" s="61"/>
      <c r="I6" s="61"/>
      <c r="J6" s="285"/>
    </row>
    <row r="7" spans="1:10" ht="15" customHeight="1">
      <c r="A7" s="286"/>
      <c r="B7" s="491" t="s">
        <v>164</v>
      </c>
      <c r="C7" s="491"/>
      <c r="D7" s="290">
        <f>'Daily &amp; Weekly Totals'!E11</f>
        <v>43926</v>
      </c>
      <c r="E7" s="61"/>
      <c r="F7" s="61"/>
      <c r="G7" s="61"/>
      <c r="H7" s="502">
        <f>'Store Details'!C$17</f>
        <v>0</v>
      </c>
      <c r="I7" s="502"/>
      <c r="J7" s="285"/>
    </row>
    <row r="8" spans="1:10" ht="6.75" customHeight="1">
      <c r="A8" s="286"/>
      <c r="B8" s="291"/>
      <c r="C8" s="347"/>
      <c r="D8" s="347"/>
      <c r="E8" s="61"/>
      <c r="F8" s="61"/>
      <c r="G8" s="61"/>
      <c r="H8" s="61"/>
      <c r="I8" s="61"/>
      <c r="J8" s="285"/>
    </row>
    <row r="9" spans="1:10" ht="6.75" customHeight="1">
      <c r="A9" s="286"/>
      <c r="B9" s="291"/>
      <c r="C9" s="363"/>
      <c r="D9" s="363"/>
      <c r="E9" s="61"/>
      <c r="F9" s="61"/>
      <c r="G9" s="61"/>
      <c r="H9" s="61"/>
      <c r="I9" s="61"/>
      <c r="J9" s="285"/>
    </row>
    <row r="10" spans="1:10" ht="16.7" customHeight="1">
      <c r="A10" s="286"/>
      <c r="B10" s="61"/>
      <c r="C10" s="61"/>
      <c r="D10" s="61"/>
      <c r="E10" s="61"/>
      <c r="F10" s="61"/>
      <c r="G10" s="61"/>
      <c r="H10" s="61"/>
      <c r="I10" s="61"/>
      <c r="J10" s="285"/>
    </row>
    <row r="11" spans="1:10" ht="15.75" customHeight="1">
      <c r="A11" s="286"/>
      <c r="B11" s="376"/>
      <c r="C11" s="376" t="s">
        <v>71</v>
      </c>
      <c r="D11" s="292" t="s">
        <v>19</v>
      </c>
      <c r="E11" s="376" t="s">
        <v>169</v>
      </c>
      <c r="F11" s="376" t="s">
        <v>170</v>
      </c>
      <c r="G11" s="292" t="s">
        <v>62</v>
      </c>
      <c r="H11" s="358" t="s">
        <v>122</v>
      </c>
      <c r="I11" s="61"/>
      <c r="J11" s="285"/>
    </row>
    <row r="12" spans="1:10" ht="15.75" customHeight="1">
      <c r="A12" s="286"/>
      <c r="B12" s="348" t="s">
        <v>171</v>
      </c>
      <c r="C12" s="349">
        <f>'Store Details'!K15</f>
        <v>0</v>
      </c>
      <c r="D12" s="349">
        <f>'Store Details'!Q15</f>
        <v>0</v>
      </c>
      <c r="E12" s="349" t="e">
        <f>C12/'Store Details'!I15</f>
        <v>#DIV/0!</v>
      </c>
      <c r="F12" s="350" t="e">
        <f>'Store Details'!J15/'Store Details'!I15</f>
        <v>#DIV/0!</v>
      </c>
      <c r="G12" s="378">
        <f>'Store Details'!L15</f>
        <v>0</v>
      </c>
      <c r="H12" s="366" t="e">
        <f>'Store Details'!I15/'WTR Week 1'!G12</f>
        <v>#DIV/0!</v>
      </c>
      <c r="I12" s="61"/>
      <c r="J12" s="359"/>
    </row>
    <row r="13" spans="1:10" ht="15.75" customHeight="1">
      <c r="A13" s="286"/>
      <c r="B13" s="376" t="s">
        <v>172</v>
      </c>
      <c r="C13" s="351">
        <f>'Daily &amp; Weekly Totals'!G12</f>
        <v>0</v>
      </c>
      <c r="D13" s="351">
        <f>C13</f>
        <v>0</v>
      </c>
      <c r="E13" s="349">
        <f>IF(C13=0,0,'Daily &amp; Weekly Totals'!O12)</f>
        <v>0</v>
      </c>
      <c r="F13" s="352">
        <f>IF(C13=0,0,'Daily &amp; Weekly Totals'!R12)</f>
        <v>0</v>
      </c>
      <c r="G13" s="365">
        <f>'Daily &amp; Weekly Totals'!L12</f>
        <v>0</v>
      </c>
      <c r="H13" s="367">
        <f>IF(G13=0,0,'Daily &amp; Weekly Totals'!I12/'WTR Week 1'!G13)</f>
        <v>0</v>
      </c>
      <c r="I13" s="61"/>
      <c r="J13" s="359"/>
    </row>
    <row r="14" spans="1:10" ht="15.75" customHeight="1">
      <c r="A14" s="286"/>
      <c r="B14" s="376" t="s">
        <v>173</v>
      </c>
      <c r="C14" s="353">
        <f>C13-C12</f>
        <v>0</v>
      </c>
      <c r="D14" s="353">
        <f>D13-D12</f>
        <v>0</v>
      </c>
      <c r="E14" s="354" t="e">
        <f>E13-E12</f>
        <v>#DIV/0!</v>
      </c>
      <c r="F14" s="355" t="e">
        <f>F13-F12</f>
        <v>#DIV/0!</v>
      </c>
      <c r="G14" s="364">
        <f>G13-G12</f>
        <v>0</v>
      </c>
      <c r="H14" s="356"/>
      <c r="I14" s="61"/>
      <c r="J14" s="359"/>
    </row>
    <row r="15" spans="1:10" ht="15.75" customHeight="1">
      <c r="A15" s="286"/>
      <c r="B15" s="357" t="s">
        <v>174</v>
      </c>
      <c r="C15" s="368" t="e">
        <f>(C13/C12)-1</f>
        <v>#DIV/0!</v>
      </c>
      <c r="D15" s="368" t="e">
        <f>(D13/D12)-1</f>
        <v>#DIV/0!</v>
      </c>
      <c r="E15" s="369" t="e">
        <f>(E13/E12)-1</f>
        <v>#DIV/0!</v>
      </c>
      <c r="F15" s="368" t="e">
        <f>(F13/F12)-1</f>
        <v>#DIV/0!</v>
      </c>
      <c r="G15" s="368" t="e">
        <f>(G13/G12)-1</f>
        <v>#DIV/0!</v>
      </c>
      <c r="H15" s="370"/>
      <c r="I15" s="61"/>
      <c r="J15" s="359"/>
    </row>
    <row r="16" spans="1:10" ht="15.75" customHeight="1">
      <c r="A16" s="286"/>
      <c r="B16" s="61"/>
      <c r="C16" s="61"/>
      <c r="D16" s="61"/>
      <c r="E16" s="61"/>
      <c r="F16" s="61"/>
      <c r="G16" s="61"/>
      <c r="H16" s="61"/>
      <c r="I16" s="61"/>
      <c r="J16" s="359"/>
    </row>
    <row r="17" spans="1:10" ht="15.75" customHeight="1">
      <c r="A17" s="286"/>
      <c r="B17" s="61"/>
      <c r="C17" s="61"/>
      <c r="D17" s="61"/>
      <c r="E17" s="61"/>
      <c r="F17" s="61"/>
      <c r="G17" s="61"/>
      <c r="H17" s="61"/>
      <c r="I17" s="61"/>
      <c r="J17" s="359"/>
    </row>
    <row r="18" spans="1:10" ht="15.75" customHeight="1">
      <c r="A18" s="286"/>
      <c r="B18" s="61"/>
      <c r="C18" s="61"/>
      <c r="D18" s="61"/>
      <c r="E18" s="61"/>
      <c r="F18" s="61"/>
      <c r="G18" s="61"/>
      <c r="H18" s="61"/>
      <c r="I18" s="61"/>
      <c r="J18" s="359"/>
    </row>
    <row r="19" spans="1:10" ht="15.75" customHeight="1">
      <c r="A19" s="286"/>
      <c r="B19" s="61"/>
      <c r="C19" s="61"/>
      <c r="D19" s="61"/>
      <c r="E19" s="61"/>
      <c r="F19" s="61"/>
      <c r="G19" s="61"/>
      <c r="H19" s="61"/>
      <c r="I19" s="61"/>
      <c r="J19" s="359"/>
    </row>
    <row r="20" spans="1:10" ht="8.65" customHeight="1">
      <c r="A20" s="286"/>
      <c r="B20" s="61"/>
      <c r="C20" s="61"/>
      <c r="D20" s="61"/>
      <c r="E20" s="61"/>
      <c r="F20" s="61"/>
      <c r="G20" s="61"/>
      <c r="H20" s="61"/>
      <c r="I20" s="61"/>
      <c r="J20" s="285"/>
    </row>
    <row r="21" spans="1:10" ht="15" customHeight="1">
      <c r="A21" s="286"/>
      <c r="B21" s="491" t="s">
        <v>175</v>
      </c>
      <c r="C21" s="491"/>
      <c r="D21" s="491"/>
      <c r="E21" s="61"/>
      <c r="F21" s="493" t="s">
        <v>176</v>
      </c>
      <c r="G21" s="494"/>
      <c r="H21" s="300">
        <f>SUM(D23:D28)</f>
        <v>0</v>
      </c>
      <c r="I21" s="61"/>
      <c r="J21" s="285"/>
    </row>
    <row r="22" spans="1:10" ht="15" customHeight="1">
      <c r="A22" s="286"/>
      <c r="B22" s="376" t="s">
        <v>177</v>
      </c>
      <c r="C22" s="376" t="s">
        <v>178</v>
      </c>
      <c r="D22" s="292" t="s">
        <v>179</v>
      </c>
      <c r="E22" s="492" t="s">
        <v>180</v>
      </c>
      <c r="F22" s="492"/>
      <c r="G22" s="492"/>
      <c r="H22" s="492"/>
      <c r="I22" s="492"/>
      <c r="J22" s="285"/>
    </row>
    <row r="23" spans="1:10">
      <c r="A23" s="286"/>
      <c r="B23" s="295"/>
      <c r="C23" s="296"/>
      <c r="D23" s="297"/>
      <c r="E23" s="488"/>
      <c r="F23" s="489"/>
      <c r="G23" s="489"/>
      <c r="H23" s="489"/>
      <c r="I23" s="490"/>
      <c r="J23" s="285"/>
    </row>
    <row r="24" spans="1:10">
      <c r="A24" s="286"/>
      <c r="B24" s="295"/>
      <c r="C24" s="298"/>
      <c r="D24" s="299"/>
      <c r="E24" s="488"/>
      <c r="F24" s="489"/>
      <c r="G24" s="489"/>
      <c r="H24" s="489"/>
      <c r="I24" s="490"/>
      <c r="J24" s="285"/>
    </row>
    <row r="25" spans="1:10">
      <c r="A25" s="286"/>
      <c r="B25" s="295"/>
      <c r="C25" s="298"/>
      <c r="D25" s="299"/>
      <c r="E25" s="488"/>
      <c r="F25" s="489"/>
      <c r="G25" s="489"/>
      <c r="H25" s="489"/>
      <c r="I25" s="490"/>
      <c r="J25" s="285"/>
    </row>
    <row r="26" spans="1:10">
      <c r="A26" s="286"/>
      <c r="B26" s="295"/>
      <c r="C26" s="298"/>
      <c r="D26" s="299"/>
      <c r="E26" s="488"/>
      <c r="F26" s="489"/>
      <c r="G26" s="489"/>
      <c r="H26" s="489"/>
      <c r="I26" s="490"/>
      <c r="J26" s="285"/>
    </row>
    <row r="27" spans="1:10">
      <c r="A27" s="286"/>
      <c r="B27" s="360"/>
      <c r="C27" s="361"/>
      <c r="D27" s="362"/>
      <c r="E27" s="488"/>
      <c r="F27" s="489"/>
      <c r="G27" s="489"/>
      <c r="H27" s="489"/>
      <c r="I27" s="490"/>
      <c r="J27" s="285"/>
    </row>
    <row r="28" spans="1:10">
      <c r="A28" s="286"/>
      <c r="B28" s="61"/>
      <c r="C28" s="61"/>
      <c r="D28" s="61"/>
      <c r="E28" s="61"/>
      <c r="F28" s="61"/>
      <c r="G28" s="61"/>
      <c r="H28" s="61"/>
      <c r="I28" s="61"/>
      <c r="J28" s="285"/>
    </row>
    <row r="29" spans="1:10">
      <c r="A29" s="286"/>
      <c r="B29" s="61"/>
      <c r="C29" s="61"/>
      <c r="D29" s="61"/>
      <c r="E29" s="61"/>
      <c r="F29" s="61"/>
      <c r="G29" s="61"/>
      <c r="H29" s="61"/>
      <c r="I29" s="61"/>
      <c r="J29" s="285"/>
    </row>
    <row r="30" spans="1:10">
      <c r="A30" s="286"/>
      <c r="B30" s="61"/>
      <c r="C30" s="61"/>
      <c r="D30" s="61"/>
      <c r="E30" s="61"/>
      <c r="F30" s="61"/>
      <c r="G30" s="61"/>
      <c r="H30" s="61"/>
      <c r="I30" s="61"/>
      <c r="J30" s="285"/>
    </row>
    <row r="31" spans="1:10" ht="15" customHeight="1">
      <c r="A31" s="286"/>
      <c r="B31" s="495" t="s">
        <v>181</v>
      </c>
      <c r="C31" s="495"/>
      <c r="D31" s="495"/>
      <c r="E31" s="61"/>
      <c r="F31" s="493" t="s">
        <v>182</v>
      </c>
      <c r="G31" s="493"/>
      <c r="H31" s="300">
        <f>SUM(D33:D42)</f>
        <v>0</v>
      </c>
      <c r="I31" s="61"/>
      <c r="J31" s="285"/>
    </row>
    <row r="32" spans="1:10" ht="15" customHeight="1">
      <c r="A32" s="286"/>
      <c r="B32" s="376" t="s">
        <v>177</v>
      </c>
      <c r="C32" s="376" t="s">
        <v>178</v>
      </c>
      <c r="D32" s="292" t="s">
        <v>179</v>
      </c>
      <c r="E32" s="492" t="s">
        <v>180</v>
      </c>
      <c r="F32" s="492"/>
      <c r="G32" s="492"/>
      <c r="H32" s="492"/>
      <c r="I32" s="492"/>
      <c r="J32" s="285"/>
    </row>
    <row r="33" spans="1:10" ht="12.4" customHeight="1">
      <c r="A33" s="286"/>
      <c r="B33" s="413"/>
      <c r="C33" s="414"/>
      <c r="D33" s="415"/>
      <c r="E33" s="499"/>
      <c r="F33" s="500"/>
      <c r="G33" s="500"/>
      <c r="H33" s="500"/>
      <c r="I33" s="501"/>
      <c r="J33" s="285"/>
    </row>
    <row r="34" spans="1:10">
      <c r="A34" s="286"/>
      <c r="B34" s="413"/>
      <c r="C34" s="416"/>
      <c r="D34" s="417"/>
      <c r="E34" s="499"/>
      <c r="F34" s="500"/>
      <c r="G34" s="500"/>
      <c r="H34" s="500"/>
      <c r="I34" s="501"/>
      <c r="J34" s="285"/>
    </row>
    <row r="35" spans="1:10">
      <c r="A35" s="286"/>
      <c r="B35" s="295"/>
      <c r="C35" s="298"/>
      <c r="D35" s="299"/>
      <c r="E35" s="488"/>
      <c r="F35" s="489"/>
      <c r="G35" s="489"/>
      <c r="H35" s="489"/>
      <c r="I35" s="490"/>
      <c r="J35" s="285"/>
    </row>
    <row r="36" spans="1:10">
      <c r="A36" s="286"/>
      <c r="B36" s="295"/>
      <c r="C36" s="298"/>
      <c r="D36" s="299"/>
      <c r="E36" s="488"/>
      <c r="F36" s="489"/>
      <c r="G36" s="489"/>
      <c r="H36" s="489"/>
      <c r="I36" s="490"/>
      <c r="J36" s="285"/>
    </row>
    <row r="37" spans="1:10">
      <c r="A37" s="286"/>
      <c r="B37" s="360"/>
      <c r="C37" s="361"/>
      <c r="D37" s="362"/>
      <c r="E37" s="496"/>
      <c r="F37" s="497"/>
      <c r="G37" s="497"/>
      <c r="H37" s="497"/>
      <c r="I37" s="498"/>
      <c r="J37" s="285"/>
    </row>
    <row r="38" spans="1:10">
      <c r="A38" s="286"/>
      <c r="B38" s="61"/>
      <c r="C38" s="61"/>
      <c r="D38" s="61"/>
      <c r="E38" s="61"/>
      <c r="F38" s="61"/>
      <c r="G38" s="61"/>
      <c r="H38" s="61"/>
      <c r="I38" s="61"/>
      <c r="J38" s="285"/>
    </row>
    <row r="39" spans="1:10">
      <c r="A39" s="286"/>
      <c r="B39" s="61"/>
      <c r="C39" s="61"/>
      <c r="D39" s="61"/>
      <c r="E39" s="61"/>
      <c r="F39" s="61"/>
      <c r="G39" s="61"/>
      <c r="H39" s="61"/>
      <c r="I39" s="61"/>
      <c r="J39" s="285"/>
    </row>
    <row r="40" spans="1:10">
      <c r="A40" s="286"/>
      <c r="B40" s="61"/>
      <c r="C40" s="61"/>
      <c r="D40" s="61"/>
      <c r="E40" s="61"/>
      <c r="F40" s="61"/>
      <c r="G40" s="61"/>
      <c r="H40" s="61"/>
      <c r="I40" s="61"/>
      <c r="J40" s="285"/>
    </row>
    <row r="41" spans="1:10">
      <c r="A41" s="286"/>
      <c r="B41" s="61"/>
      <c r="C41" s="61"/>
      <c r="D41" s="61"/>
      <c r="E41" s="61"/>
      <c r="F41" s="61"/>
      <c r="G41" s="61"/>
      <c r="H41" s="61"/>
      <c r="I41" s="61"/>
      <c r="J41" s="285"/>
    </row>
    <row r="42" spans="1:10">
      <c r="A42" s="286"/>
      <c r="B42" s="61"/>
      <c r="C42" s="61"/>
      <c r="D42" s="61"/>
      <c r="E42" s="61"/>
      <c r="F42" s="61"/>
      <c r="G42" s="61"/>
      <c r="H42" s="61"/>
      <c r="I42" s="61"/>
      <c r="J42" s="285"/>
    </row>
    <row r="43" spans="1:10">
      <c r="A43" s="293"/>
      <c r="B43" s="61"/>
      <c r="C43" s="61"/>
      <c r="D43" s="61"/>
      <c r="E43" s="61"/>
      <c r="F43" s="61"/>
      <c r="G43" s="61"/>
      <c r="H43" s="61"/>
      <c r="I43" s="61"/>
      <c r="J43" s="294"/>
    </row>
    <row r="44" spans="1:10">
      <c r="A44" s="69"/>
      <c r="B44" s="69"/>
      <c r="C44" s="69"/>
      <c r="D44" s="69"/>
      <c r="E44" s="69"/>
      <c r="F44" s="69"/>
      <c r="G44" s="69"/>
      <c r="H44" s="69"/>
      <c r="I44" s="69"/>
      <c r="J44" s="69"/>
    </row>
    <row r="45" spans="1:10">
      <c r="A45" s="69"/>
      <c r="B45" s="69"/>
      <c r="C45" s="69"/>
      <c r="D45" s="69"/>
      <c r="E45" s="69"/>
      <c r="F45" s="69"/>
      <c r="G45" s="69"/>
      <c r="H45" s="69"/>
      <c r="I45" s="69"/>
      <c r="J45" s="69"/>
    </row>
    <row r="46" spans="1:10">
      <c r="A46" s="69"/>
      <c r="B46" s="69"/>
      <c r="C46" s="69"/>
      <c r="D46" s="69"/>
      <c r="E46" s="69"/>
      <c r="F46" s="69"/>
      <c r="G46" s="69"/>
      <c r="H46" s="69"/>
      <c r="I46" s="69"/>
      <c r="J46" s="69"/>
    </row>
    <row r="47" spans="1:10">
      <c r="A47" s="69"/>
      <c r="B47" s="69"/>
      <c r="C47" s="69"/>
      <c r="D47" s="69"/>
      <c r="E47" s="69"/>
      <c r="F47" s="69"/>
      <c r="G47" s="69"/>
      <c r="H47" s="69"/>
      <c r="I47" s="69"/>
      <c r="J47" s="69"/>
    </row>
    <row r="48" spans="1:10">
      <c r="A48" s="69"/>
      <c r="B48" s="69"/>
      <c r="C48" s="69"/>
      <c r="D48" s="69"/>
      <c r="E48" s="69"/>
      <c r="F48" s="69"/>
      <c r="G48" s="69"/>
      <c r="H48" s="69"/>
      <c r="I48" s="69"/>
      <c r="J48" s="69"/>
    </row>
    <row r="49" spans="1:10">
      <c r="A49" s="69"/>
      <c r="B49" s="69"/>
      <c r="C49" s="69"/>
      <c r="D49" s="69"/>
      <c r="E49" s="69"/>
      <c r="F49" s="69"/>
      <c r="G49" s="69"/>
      <c r="H49" s="69"/>
      <c r="I49" s="69"/>
      <c r="J49" s="69"/>
    </row>
    <row r="50" spans="1:10">
      <c r="A50" s="69"/>
      <c r="B50" s="69"/>
      <c r="C50" s="69"/>
      <c r="D50" s="69"/>
      <c r="E50" s="69"/>
      <c r="F50" s="69"/>
      <c r="G50" s="69"/>
      <c r="H50" s="69"/>
      <c r="I50" s="69"/>
      <c r="J50" s="69"/>
    </row>
    <row r="51" spans="1:10">
      <c r="A51" s="69"/>
      <c r="B51" s="69"/>
      <c r="C51" s="69"/>
      <c r="D51" s="69"/>
      <c r="E51" s="69"/>
      <c r="F51" s="69"/>
      <c r="G51" s="69"/>
      <c r="H51" s="69"/>
      <c r="I51" s="69"/>
      <c r="J51" s="69"/>
    </row>
    <row r="52" spans="1:10">
      <c r="A52" s="69"/>
      <c r="B52" s="69"/>
      <c r="C52" s="69"/>
      <c r="D52" s="69"/>
      <c r="E52" s="69"/>
      <c r="F52" s="69"/>
      <c r="G52" s="69"/>
      <c r="H52" s="69"/>
      <c r="I52" s="69"/>
      <c r="J52" s="69"/>
    </row>
    <row r="53" spans="1:10">
      <c r="A53" s="69"/>
      <c r="B53" s="69"/>
      <c r="C53" s="69"/>
      <c r="D53" s="69"/>
      <c r="E53" s="69"/>
      <c r="F53" s="69"/>
      <c r="G53" s="69"/>
      <c r="H53" s="69"/>
      <c r="I53" s="69"/>
      <c r="J53" s="69"/>
    </row>
    <row r="54" spans="1:10">
      <c r="A54" s="69"/>
      <c r="B54" s="69"/>
      <c r="C54" s="69"/>
      <c r="D54" s="69"/>
      <c r="E54" s="69"/>
      <c r="F54" s="69"/>
      <c r="G54" s="69"/>
      <c r="H54" s="69"/>
      <c r="I54" s="69"/>
      <c r="J54" s="69"/>
    </row>
    <row r="55" spans="1:10">
      <c r="A55" s="69"/>
      <c r="B55" s="69"/>
      <c r="C55" s="69"/>
      <c r="D55" s="69"/>
      <c r="E55" s="69"/>
      <c r="F55" s="69"/>
      <c r="G55" s="69"/>
      <c r="H55" s="69"/>
      <c r="I55" s="69"/>
      <c r="J55" s="69"/>
    </row>
    <row r="56" spans="1:10">
      <c r="A56" s="69"/>
      <c r="B56" s="69"/>
      <c r="C56" s="69"/>
      <c r="D56" s="69"/>
      <c r="E56" s="69"/>
      <c r="F56" s="69"/>
      <c r="G56" s="69"/>
      <c r="H56" s="69"/>
      <c r="I56" s="69"/>
      <c r="J56" s="69"/>
    </row>
    <row r="57" spans="1:10">
      <c r="A57" s="69"/>
      <c r="B57" s="69"/>
      <c r="C57" s="69"/>
      <c r="D57" s="69"/>
      <c r="E57" s="69"/>
      <c r="F57" s="69"/>
      <c r="G57" s="69"/>
      <c r="H57" s="69"/>
      <c r="I57" s="69"/>
      <c r="J57" s="69"/>
    </row>
    <row r="58" spans="1:10">
      <c r="A58" s="69"/>
      <c r="B58" s="69"/>
      <c r="C58" s="69"/>
      <c r="D58" s="69"/>
      <c r="E58" s="69"/>
      <c r="F58" s="69"/>
      <c r="G58" s="69"/>
      <c r="H58" s="69"/>
      <c r="I58" s="69"/>
      <c r="J58" s="69"/>
    </row>
    <row r="59" spans="1:10">
      <c r="A59" s="69"/>
      <c r="B59" s="69"/>
      <c r="C59" s="69"/>
      <c r="D59" s="69"/>
      <c r="E59" s="69"/>
      <c r="F59" s="69"/>
      <c r="G59" s="69"/>
      <c r="H59" s="69"/>
      <c r="I59" s="69"/>
      <c r="J59" s="69"/>
    </row>
    <row r="60" spans="1:10">
      <c r="A60" s="69"/>
      <c r="B60" s="69"/>
      <c r="C60" s="69"/>
      <c r="D60" s="69"/>
      <c r="E60" s="69"/>
      <c r="F60" s="69"/>
      <c r="G60" s="69"/>
      <c r="H60" s="69"/>
      <c r="I60" s="69"/>
      <c r="J60" s="69"/>
    </row>
    <row r="61" spans="1:10">
      <c r="A61" s="69"/>
      <c r="B61" s="69"/>
      <c r="C61" s="69"/>
      <c r="D61" s="69"/>
      <c r="E61" s="69"/>
      <c r="F61" s="69"/>
      <c r="G61" s="69"/>
      <c r="H61" s="69"/>
      <c r="I61" s="69"/>
      <c r="J61" s="69"/>
    </row>
    <row r="62" spans="1:10">
      <c r="A62" s="69"/>
      <c r="B62" s="69"/>
      <c r="C62" s="69"/>
      <c r="D62" s="69"/>
      <c r="E62" s="69"/>
      <c r="F62" s="69"/>
      <c r="G62" s="69"/>
      <c r="H62" s="69"/>
      <c r="I62" s="69"/>
      <c r="J62" s="69"/>
    </row>
    <row r="63" spans="1:10">
      <c r="A63" s="69"/>
      <c r="B63" s="69"/>
      <c r="C63" s="69"/>
      <c r="D63" s="69"/>
      <c r="E63" s="69"/>
      <c r="F63" s="69"/>
      <c r="G63" s="69"/>
      <c r="H63" s="69"/>
      <c r="I63" s="69"/>
      <c r="J63" s="69"/>
    </row>
    <row r="64" spans="1:10">
      <c r="A64" s="69"/>
      <c r="B64" s="69"/>
      <c r="C64" s="69"/>
      <c r="D64" s="69"/>
      <c r="E64" s="69"/>
      <c r="F64" s="69"/>
      <c r="G64" s="69"/>
      <c r="H64" s="69"/>
      <c r="I64" s="69"/>
      <c r="J64" s="69"/>
    </row>
    <row r="65" spans="1:10">
      <c r="A65" s="69"/>
      <c r="B65" s="69"/>
      <c r="C65" s="69"/>
      <c r="D65" s="69"/>
      <c r="E65" s="69"/>
      <c r="F65" s="69"/>
      <c r="G65" s="69"/>
      <c r="H65" s="69"/>
      <c r="I65" s="69"/>
      <c r="J65" s="69"/>
    </row>
    <row r="66" spans="1:10">
      <c r="A66" s="69"/>
      <c r="B66" s="69"/>
      <c r="C66" s="69"/>
      <c r="D66" s="69"/>
      <c r="E66" s="69"/>
      <c r="F66" s="69"/>
      <c r="G66" s="69"/>
      <c r="H66" s="69"/>
      <c r="I66" s="69"/>
      <c r="J66" s="69"/>
    </row>
    <row r="67" spans="1:10">
      <c r="A67" s="69"/>
      <c r="B67" s="69"/>
      <c r="C67" s="69"/>
      <c r="D67" s="69"/>
      <c r="E67" s="69"/>
      <c r="F67" s="69"/>
      <c r="G67" s="69"/>
      <c r="H67" s="69"/>
      <c r="I67" s="69"/>
      <c r="J67" s="69"/>
    </row>
    <row r="68" spans="1:10">
      <c r="A68" s="69"/>
      <c r="B68" s="69"/>
      <c r="C68" s="69"/>
      <c r="D68" s="69"/>
      <c r="E68" s="69"/>
      <c r="F68" s="69"/>
      <c r="G68" s="69"/>
      <c r="H68" s="69"/>
      <c r="I68" s="69"/>
      <c r="J68" s="69"/>
    </row>
    <row r="69" spans="1:10">
      <c r="A69" s="69"/>
      <c r="B69" s="69"/>
      <c r="C69" s="69"/>
      <c r="D69" s="69"/>
      <c r="E69" s="69"/>
      <c r="F69" s="69"/>
      <c r="G69" s="69"/>
      <c r="H69" s="69"/>
      <c r="I69" s="69"/>
      <c r="J69" s="69"/>
    </row>
    <row r="70" spans="1:10">
      <c r="A70" s="69"/>
      <c r="B70" s="69"/>
      <c r="C70" s="69"/>
      <c r="D70" s="69"/>
      <c r="E70" s="69"/>
      <c r="F70" s="69"/>
      <c r="G70" s="69"/>
      <c r="H70" s="69"/>
      <c r="I70" s="69"/>
      <c r="J70" s="69"/>
    </row>
    <row r="71" spans="1:10">
      <c r="A71" s="69"/>
      <c r="B71" s="69"/>
      <c r="C71" s="69"/>
      <c r="D71" s="69"/>
      <c r="E71" s="69"/>
      <c r="F71" s="69"/>
      <c r="G71" s="69"/>
      <c r="H71" s="69"/>
      <c r="I71" s="69"/>
      <c r="J71" s="69"/>
    </row>
    <row r="72" spans="1:10">
      <c r="A72" s="69"/>
      <c r="B72" s="69"/>
      <c r="C72" s="69"/>
      <c r="D72" s="69"/>
      <c r="E72" s="69"/>
      <c r="F72" s="69"/>
      <c r="G72" s="69"/>
      <c r="H72" s="69"/>
      <c r="I72" s="69"/>
      <c r="J72" s="69"/>
    </row>
    <row r="73" spans="1:10">
      <c r="A73" s="69"/>
      <c r="B73" s="69"/>
      <c r="C73" s="69"/>
      <c r="D73" s="69"/>
      <c r="E73" s="69"/>
      <c r="F73" s="69"/>
      <c r="G73" s="69"/>
      <c r="H73" s="69"/>
      <c r="I73" s="69"/>
      <c r="J73" s="69"/>
    </row>
    <row r="74" spans="1:10">
      <c r="A74" s="69"/>
      <c r="B74" s="69"/>
      <c r="C74" s="69"/>
      <c r="D74" s="69"/>
      <c r="E74" s="69"/>
      <c r="F74" s="69"/>
      <c r="G74" s="69"/>
      <c r="H74" s="69"/>
      <c r="I74" s="69"/>
      <c r="J74" s="69"/>
    </row>
    <row r="75" spans="1:10">
      <c r="A75" s="69"/>
      <c r="B75" s="69"/>
      <c r="C75" s="69"/>
      <c r="D75" s="69"/>
      <c r="E75" s="69"/>
      <c r="F75" s="69"/>
      <c r="G75" s="69"/>
      <c r="H75" s="69"/>
      <c r="I75" s="69"/>
      <c r="J75" s="69"/>
    </row>
    <row r="76" spans="1:10">
      <c r="A76" s="69"/>
      <c r="B76" s="69"/>
      <c r="C76" s="69"/>
      <c r="D76" s="69"/>
      <c r="E76" s="69"/>
      <c r="F76" s="69"/>
      <c r="G76" s="69"/>
      <c r="H76" s="69"/>
      <c r="I76" s="69"/>
      <c r="J76" s="69"/>
    </row>
    <row r="77" spans="1:10">
      <c r="A77" s="69"/>
      <c r="B77" s="69"/>
      <c r="C77" s="69"/>
      <c r="D77" s="69"/>
      <c r="E77" s="69"/>
      <c r="F77" s="69"/>
      <c r="G77" s="69"/>
      <c r="H77" s="69"/>
      <c r="I77" s="69"/>
      <c r="J77" s="69"/>
    </row>
    <row r="78" spans="1:10">
      <c r="A78" s="69"/>
      <c r="B78" s="69"/>
      <c r="C78" s="69"/>
      <c r="D78" s="69"/>
      <c r="E78" s="69"/>
      <c r="F78" s="69"/>
      <c r="G78" s="69"/>
      <c r="H78" s="69"/>
      <c r="I78" s="69"/>
      <c r="J78" s="69"/>
    </row>
    <row r="79" spans="1:10">
      <c r="A79" s="69"/>
      <c r="B79" s="69"/>
      <c r="C79" s="69"/>
      <c r="D79" s="69"/>
      <c r="E79" s="69"/>
      <c r="F79" s="69"/>
      <c r="G79" s="69"/>
      <c r="H79" s="69"/>
      <c r="I79" s="69"/>
      <c r="J79" s="69"/>
    </row>
  </sheetData>
  <sheetProtection algorithmName="SHA-512" hashValue="8SgrHY/r5UV1gIypArpr5FIRgOeJxxaCEftIbq5pzIULpPeNLhA7qBtqCHxt1NEUalYT76sGAJ8tNPdVkcF1Lw==" saltValue="ZT9gc8ly3guE+BFjLomcyw==" spinCount="100000" sheet="1" objects="1" scenarios="1"/>
  <mergeCells count="24">
    <mergeCell ref="B7:C7"/>
    <mergeCell ref="H7:I7"/>
    <mergeCell ref="B2:I2"/>
    <mergeCell ref="B4:C5"/>
    <mergeCell ref="F4:G4"/>
    <mergeCell ref="H4:I4"/>
    <mergeCell ref="F5:G5"/>
    <mergeCell ref="H5:I5"/>
    <mergeCell ref="B31:D31"/>
    <mergeCell ref="E35:I35"/>
    <mergeCell ref="E36:I36"/>
    <mergeCell ref="E37:I37"/>
    <mergeCell ref="E32:I32"/>
    <mergeCell ref="E33:I33"/>
    <mergeCell ref="E34:I34"/>
    <mergeCell ref="F31:G31"/>
    <mergeCell ref="E27:I27"/>
    <mergeCell ref="E24:I24"/>
    <mergeCell ref="B21:D21"/>
    <mergeCell ref="E22:I22"/>
    <mergeCell ref="E23:I23"/>
    <mergeCell ref="F21:G21"/>
    <mergeCell ref="E25:I25"/>
    <mergeCell ref="E26:I26"/>
  </mergeCells>
  <phoneticPr fontId="10" type="noConversion"/>
  <conditionalFormatting sqref="F5:I5">
    <cfRule type="cellIs" dxfId="16" priority="10" stopIfTrue="1" operator="equal">
      <formula>0</formula>
    </cfRule>
  </conditionalFormatting>
  <conditionalFormatting sqref="H7:I7">
    <cfRule type="cellIs" dxfId="15" priority="14" stopIfTrue="1" operator="equal">
      <formula>0</formula>
    </cfRule>
  </conditionalFormatting>
  <conditionalFormatting sqref="B35:D37">
    <cfRule type="cellIs" dxfId="14" priority="1" stopIfTrue="1" operator="equal">
      <formula>0</formula>
    </cfRule>
  </conditionalFormatting>
  <printOptions horizontalCentered="1" verticalCentered="1"/>
  <pageMargins left="0.39370078740157483" right="0.39370078740157483" top="0.39370078740157483" bottom="0.39370078740157483" header="0.51181102362204722" footer="0.51181102362204722"/>
  <pageSetup paperSize="9" scale="97" firstPageNumber="0" orientation="landscape" horizontalDpi="300" verticalDpi="300"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pageSetUpPr fitToPage="1"/>
  </sheetPr>
  <dimension ref="A1:J79"/>
  <sheetViews>
    <sheetView topLeftCell="A4" zoomScaleNormal="100" workbookViewId="0">
      <selection activeCell="B33" sqref="B33:I35"/>
    </sheetView>
  </sheetViews>
  <sheetFormatPr defaultColWidth="11.5703125" defaultRowHeight="12.75"/>
  <cols>
    <col min="1" max="1" width="2.5703125" style="10" customWidth="1"/>
    <col min="2" max="2" width="16.42578125" style="10" customWidth="1"/>
    <col min="3" max="3" width="15.42578125" style="10" customWidth="1"/>
    <col min="4" max="4" width="13.42578125" style="10" customWidth="1"/>
    <col min="5" max="5" width="15.42578125" style="10" customWidth="1"/>
    <col min="6" max="6" width="15" style="10" customWidth="1"/>
    <col min="7" max="7" width="16.140625" style="10" customWidth="1"/>
    <col min="8" max="8" width="14.140625" style="10" customWidth="1"/>
    <col min="9" max="9" width="14" style="10" customWidth="1"/>
    <col min="10" max="10" width="2.5703125" style="10" customWidth="1"/>
    <col min="11" max="16384" width="11.5703125" style="10"/>
  </cols>
  <sheetData>
    <row r="1" spans="1:10" ht="6.2" customHeight="1">
      <c r="A1" s="281"/>
      <c r="B1" s="282"/>
      <c r="C1" s="282"/>
      <c r="D1" s="282"/>
      <c r="E1" s="282"/>
      <c r="F1" s="282"/>
      <c r="G1" s="282"/>
      <c r="H1" s="282"/>
      <c r="I1" s="282"/>
      <c r="J1" s="283"/>
    </row>
    <row r="2" spans="1:10" ht="20.25" customHeight="1">
      <c r="A2" s="284"/>
      <c r="B2" s="503" t="s">
        <v>167</v>
      </c>
      <c r="C2" s="503"/>
      <c r="D2" s="503"/>
      <c r="E2" s="503"/>
      <c r="F2" s="503"/>
      <c r="G2" s="503"/>
      <c r="H2" s="503"/>
      <c r="I2" s="503"/>
      <c r="J2" s="285"/>
    </row>
    <row r="3" spans="1:10" ht="6.2" customHeight="1">
      <c r="A3" s="284"/>
      <c r="B3" s="375"/>
      <c r="C3" s="375"/>
      <c r="D3" s="375"/>
      <c r="E3" s="375"/>
      <c r="F3" s="375"/>
      <c r="G3" s="375"/>
      <c r="H3" s="375"/>
      <c r="I3" s="375"/>
      <c r="J3" s="285"/>
    </row>
    <row r="4" spans="1:10" ht="12.75" customHeight="1">
      <c r="A4" s="286"/>
      <c r="B4" s="504" t="str">
        <f>'Store Details'!D2</f>
        <v>Auburn</v>
      </c>
      <c r="C4" s="504"/>
      <c r="D4" s="287"/>
      <c r="E4" s="288"/>
      <c r="F4" s="491" t="s">
        <v>168</v>
      </c>
      <c r="G4" s="491"/>
      <c r="H4" s="505" t="s">
        <v>50</v>
      </c>
      <c r="I4" s="505"/>
      <c r="J4" s="285"/>
    </row>
    <row r="5" spans="1:10" ht="14.25" customHeight="1">
      <c r="A5" s="286"/>
      <c r="B5" s="504"/>
      <c r="C5" s="504"/>
      <c r="D5" s="289"/>
      <c r="E5" s="289"/>
      <c r="F5" s="506">
        <f>'Store Details'!C$15</f>
        <v>0</v>
      </c>
      <c r="G5" s="506"/>
      <c r="H5" s="502">
        <f>'Store Details'!C$16</f>
        <v>0</v>
      </c>
      <c r="I5" s="502"/>
      <c r="J5" s="285"/>
    </row>
    <row r="6" spans="1:10" ht="6.2" customHeight="1">
      <c r="A6" s="286"/>
      <c r="B6" s="61"/>
      <c r="C6" s="61"/>
      <c r="D6" s="61"/>
      <c r="E6" s="61"/>
      <c r="F6" s="61"/>
      <c r="G6" s="61"/>
      <c r="H6" s="61"/>
      <c r="I6" s="61"/>
      <c r="J6" s="285"/>
    </row>
    <row r="7" spans="1:10" ht="15" customHeight="1">
      <c r="A7" s="286"/>
      <c r="B7" s="491" t="s">
        <v>164</v>
      </c>
      <c r="C7" s="491"/>
      <c r="D7" s="290">
        <f>'Daily &amp; Weekly Totals'!E21</f>
        <v>43933</v>
      </c>
      <c r="E7" s="61"/>
      <c r="F7" s="61"/>
      <c r="G7" s="61"/>
      <c r="H7" s="502">
        <f>'Store Details'!C$17</f>
        <v>0</v>
      </c>
      <c r="I7" s="502"/>
      <c r="J7" s="285"/>
    </row>
    <row r="8" spans="1:10" ht="6.75" customHeight="1">
      <c r="A8" s="286"/>
      <c r="B8" s="291"/>
      <c r="C8" s="347"/>
      <c r="D8" s="347"/>
      <c r="E8" s="61"/>
      <c r="F8" s="61"/>
      <c r="G8" s="61"/>
      <c r="H8" s="61"/>
      <c r="I8" s="61"/>
      <c r="J8" s="285"/>
    </row>
    <row r="9" spans="1:10" ht="6.75" customHeight="1">
      <c r="A9" s="286"/>
      <c r="B9" s="291"/>
      <c r="C9" s="363"/>
      <c r="D9" s="363"/>
      <c r="E9" s="61"/>
      <c r="F9" s="61"/>
      <c r="G9" s="61"/>
      <c r="H9" s="61"/>
      <c r="I9" s="61"/>
      <c r="J9" s="285"/>
    </row>
    <row r="10" spans="1:10" ht="16.7" customHeight="1">
      <c r="A10" s="286"/>
      <c r="B10" s="61"/>
      <c r="C10" s="61"/>
      <c r="D10" s="61"/>
      <c r="E10" s="61"/>
      <c r="F10" s="61"/>
      <c r="G10" s="61"/>
      <c r="H10" s="61"/>
      <c r="I10" s="61"/>
      <c r="J10" s="285"/>
    </row>
    <row r="11" spans="1:10" ht="15.75" customHeight="1">
      <c r="A11" s="286"/>
      <c r="B11" s="376"/>
      <c r="C11" s="376" t="s">
        <v>71</v>
      </c>
      <c r="D11" s="292" t="s">
        <v>19</v>
      </c>
      <c r="E11" s="376" t="s">
        <v>169</v>
      </c>
      <c r="F11" s="376" t="s">
        <v>170</v>
      </c>
      <c r="G11" s="292" t="s">
        <v>62</v>
      </c>
      <c r="H11" s="358" t="s">
        <v>122</v>
      </c>
      <c r="I11" s="61"/>
      <c r="J11" s="285"/>
    </row>
    <row r="12" spans="1:10" ht="15.75" customHeight="1">
      <c r="A12" s="286"/>
      <c r="B12" s="348" t="s">
        <v>171</v>
      </c>
      <c r="C12" s="349">
        <f>'Store Details'!K16</f>
        <v>0</v>
      </c>
      <c r="D12" s="349">
        <f>'Store Details'!Q16</f>
        <v>0</v>
      </c>
      <c r="E12" s="349" t="e">
        <f>C12/'Store Details'!I16</f>
        <v>#DIV/0!</v>
      </c>
      <c r="F12" s="350" t="e">
        <f>'Store Details'!J16/'Store Details'!I16</f>
        <v>#DIV/0!</v>
      </c>
      <c r="G12" s="378">
        <f>'Store Details'!L16</f>
        <v>0</v>
      </c>
      <c r="H12" s="366" t="e">
        <f>'Store Details'!I16/'WTR Week 1'!G12</f>
        <v>#DIV/0!</v>
      </c>
      <c r="I12" s="61"/>
      <c r="J12" s="359"/>
    </row>
    <row r="13" spans="1:10" ht="15.75" customHeight="1">
      <c r="A13" s="286"/>
      <c r="B13" s="376" t="s">
        <v>172</v>
      </c>
      <c r="C13" s="351">
        <f>'Daily &amp; Weekly Totals'!G22</f>
        <v>0</v>
      </c>
      <c r="D13" s="351">
        <f>C13</f>
        <v>0</v>
      </c>
      <c r="E13" s="349">
        <f>IF(C13=0,0,'Daily &amp; Weekly Totals'!O22)</f>
        <v>0</v>
      </c>
      <c r="F13" s="352">
        <f>IF(C13=0,0,'Daily &amp; Weekly Totals'!R22)</f>
        <v>0</v>
      </c>
      <c r="G13" s="365">
        <f>'Daily &amp; Weekly Totals'!L22</f>
        <v>0</v>
      </c>
      <c r="H13" s="367">
        <f>IF(G13=0,0,'Daily &amp; Weekly Totals'!I22/G13)</f>
        <v>0</v>
      </c>
      <c r="I13" s="61"/>
      <c r="J13" s="359"/>
    </row>
    <row r="14" spans="1:10" ht="15.75" customHeight="1">
      <c r="A14" s="286"/>
      <c r="B14" s="376" t="s">
        <v>173</v>
      </c>
      <c r="C14" s="353">
        <f>C13-C12</f>
        <v>0</v>
      </c>
      <c r="D14" s="353">
        <f>D13-D12</f>
        <v>0</v>
      </c>
      <c r="E14" s="354" t="e">
        <f>E13-E12</f>
        <v>#DIV/0!</v>
      </c>
      <c r="F14" s="355" t="e">
        <f>F13-F12</f>
        <v>#DIV/0!</v>
      </c>
      <c r="G14" s="364">
        <f>G13-G12</f>
        <v>0</v>
      </c>
      <c r="H14" s="356"/>
      <c r="I14" s="61"/>
      <c r="J14" s="359"/>
    </row>
    <row r="15" spans="1:10" ht="15.75" customHeight="1">
      <c r="A15" s="286"/>
      <c r="B15" s="357" t="s">
        <v>174</v>
      </c>
      <c r="C15" s="368" t="e">
        <f>(C13/C12)-1</f>
        <v>#DIV/0!</v>
      </c>
      <c r="D15" s="368" t="e">
        <f>(D13/D12)-1</f>
        <v>#DIV/0!</v>
      </c>
      <c r="E15" s="369" t="e">
        <f>(E13/E12)-1</f>
        <v>#DIV/0!</v>
      </c>
      <c r="F15" s="368" t="e">
        <f>(F13/F12)-1</f>
        <v>#DIV/0!</v>
      </c>
      <c r="G15" s="368" t="e">
        <f>(G13/G12)-1</f>
        <v>#DIV/0!</v>
      </c>
      <c r="H15" s="370"/>
      <c r="I15" s="61"/>
      <c r="J15" s="359"/>
    </row>
    <row r="16" spans="1:10" ht="15.75" customHeight="1">
      <c r="A16" s="286"/>
      <c r="B16" s="61"/>
      <c r="C16" s="61"/>
      <c r="D16" s="61"/>
      <c r="E16" s="61"/>
      <c r="F16" s="61"/>
      <c r="G16" s="61"/>
      <c r="H16" s="61"/>
      <c r="I16" s="61"/>
      <c r="J16" s="359"/>
    </row>
    <row r="17" spans="1:10" ht="15.75" customHeight="1">
      <c r="A17" s="286"/>
      <c r="B17" s="61"/>
      <c r="C17" s="61"/>
      <c r="D17" s="61"/>
      <c r="E17" s="61"/>
      <c r="F17" s="61"/>
      <c r="G17" s="61"/>
      <c r="H17" s="61"/>
      <c r="I17" s="61"/>
      <c r="J17" s="359"/>
    </row>
    <row r="18" spans="1:10" ht="15.75" customHeight="1">
      <c r="A18" s="286"/>
      <c r="B18" s="61"/>
      <c r="C18" s="61"/>
      <c r="D18" s="61"/>
      <c r="E18" s="61"/>
      <c r="F18" s="61"/>
      <c r="G18" s="61"/>
      <c r="H18" s="61"/>
      <c r="I18" s="61"/>
      <c r="J18" s="359"/>
    </row>
    <row r="19" spans="1:10" ht="15.75" customHeight="1">
      <c r="A19" s="286"/>
      <c r="B19" s="61"/>
      <c r="C19" s="61"/>
      <c r="D19" s="61"/>
      <c r="E19" s="61"/>
      <c r="F19" s="61"/>
      <c r="G19" s="61"/>
      <c r="H19" s="61"/>
      <c r="I19" s="61"/>
      <c r="J19" s="359"/>
    </row>
    <row r="20" spans="1:10" ht="8.65" customHeight="1">
      <c r="A20" s="286"/>
      <c r="B20" s="61"/>
      <c r="C20" s="61"/>
      <c r="D20" s="61"/>
      <c r="E20" s="61"/>
      <c r="F20" s="61"/>
      <c r="G20" s="61"/>
      <c r="H20" s="61"/>
      <c r="I20" s="61"/>
      <c r="J20" s="285"/>
    </row>
    <row r="21" spans="1:10" ht="15" customHeight="1">
      <c r="A21" s="286"/>
      <c r="B21" s="491" t="s">
        <v>175</v>
      </c>
      <c r="C21" s="491"/>
      <c r="D21" s="491"/>
      <c r="E21" s="61"/>
      <c r="F21" s="493" t="s">
        <v>176</v>
      </c>
      <c r="G21" s="494"/>
      <c r="H21" s="300">
        <f>SUM(D23:D28)</f>
        <v>0</v>
      </c>
      <c r="I21" s="61"/>
      <c r="J21" s="285"/>
    </row>
    <row r="22" spans="1:10" ht="15" customHeight="1">
      <c r="A22" s="286"/>
      <c r="B22" s="376" t="s">
        <v>177</v>
      </c>
      <c r="C22" s="376" t="s">
        <v>178</v>
      </c>
      <c r="D22" s="292" t="s">
        <v>179</v>
      </c>
      <c r="E22" s="492" t="s">
        <v>180</v>
      </c>
      <c r="F22" s="492"/>
      <c r="G22" s="492"/>
      <c r="H22" s="492"/>
      <c r="I22" s="492"/>
      <c r="J22" s="285"/>
    </row>
    <row r="23" spans="1:10">
      <c r="A23" s="286"/>
      <c r="B23" s="295"/>
      <c r="C23" s="296"/>
      <c r="D23" s="297"/>
      <c r="E23" s="488"/>
      <c r="F23" s="489"/>
      <c r="G23" s="489"/>
      <c r="H23" s="489"/>
      <c r="I23" s="490"/>
      <c r="J23" s="285"/>
    </row>
    <row r="24" spans="1:10">
      <c r="A24" s="286"/>
      <c r="B24" s="295"/>
      <c r="C24" s="298"/>
      <c r="D24" s="299"/>
      <c r="E24" s="488"/>
      <c r="F24" s="489"/>
      <c r="G24" s="489"/>
      <c r="H24" s="489"/>
      <c r="I24" s="490"/>
      <c r="J24" s="285"/>
    </row>
    <row r="25" spans="1:10">
      <c r="A25" s="286"/>
      <c r="B25" s="295"/>
      <c r="C25" s="298"/>
      <c r="D25" s="299"/>
      <c r="E25" s="488"/>
      <c r="F25" s="489"/>
      <c r="G25" s="489"/>
      <c r="H25" s="489"/>
      <c r="I25" s="490"/>
      <c r="J25" s="285"/>
    </row>
    <row r="26" spans="1:10">
      <c r="A26" s="286"/>
      <c r="B26" s="295"/>
      <c r="C26" s="298"/>
      <c r="D26" s="299"/>
      <c r="E26" s="488"/>
      <c r="F26" s="489"/>
      <c r="G26" s="489"/>
      <c r="H26" s="489"/>
      <c r="I26" s="490"/>
      <c r="J26" s="285"/>
    </row>
    <row r="27" spans="1:10">
      <c r="A27" s="286"/>
      <c r="B27" s="360"/>
      <c r="C27" s="361"/>
      <c r="D27" s="362"/>
      <c r="E27" s="488"/>
      <c r="F27" s="489"/>
      <c r="G27" s="489"/>
      <c r="H27" s="489"/>
      <c r="I27" s="490"/>
      <c r="J27" s="285"/>
    </row>
    <row r="28" spans="1:10">
      <c r="A28" s="286"/>
      <c r="B28" s="61"/>
      <c r="C28" s="61"/>
      <c r="D28" s="61"/>
      <c r="E28" s="61"/>
      <c r="F28" s="61"/>
      <c r="G28" s="61"/>
      <c r="H28" s="61"/>
      <c r="I28" s="61"/>
      <c r="J28" s="285"/>
    </row>
    <row r="29" spans="1:10">
      <c r="A29" s="286"/>
      <c r="B29" s="61"/>
      <c r="C29" s="61"/>
      <c r="D29" s="61"/>
      <c r="E29" s="61"/>
      <c r="F29" s="61"/>
      <c r="G29" s="61"/>
      <c r="H29" s="61"/>
      <c r="I29" s="61"/>
      <c r="J29" s="285"/>
    </row>
    <row r="30" spans="1:10">
      <c r="A30" s="286"/>
      <c r="B30" s="61"/>
      <c r="C30" s="61"/>
      <c r="D30" s="61"/>
      <c r="E30" s="61"/>
      <c r="F30" s="61"/>
      <c r="G30" s="61"/>
      <c r="H30" s="61"/>
      <c r="I30" s="61"/>
      <c r="J30" s="285"/>
    </row>
    <row r="31" spans="1:10" ht="15" customHeight="1">
      <c r="A31" s="286"/>
      <c r="B31" s="495" t="s">
        <v>181</v>
      </c>
      <c r="C31" s="495"/>
      <c r="D31" s="495"/>
      <c r="E31" s="61"/>
      <c r="F31" s="493" t="s">
        <v>182</v>
      </c>
      <c r="G31" s="493"/>
      <c r="H31" s="300">
        <f>SUM(D33:D42)</f>
        <v>0</v>
      </c>
      <c r="I31" s="61"/>
      <c r="J31" s="285"/>
    </row>
    <row r="32" spans="1:10" ht="15" customHeight="1">
      <c r="A32" s="286"/>
      <c r="B32" s="376" t="s">
        <v>177</v>
      </c>
      <c r="C32" s="376" t="s">
        <v>178</v>
      </c>
      <c r="D32" s="292" t="s">
        <v>179</v>
      </c>
      <c r="E32" s="492" t="s">
        <v>180</v>
      </c>
      <c r="F32" s="492"/>
      <c r="G32" s="492"/>
      <c r="H32" s="492"/>
      <c r="I32" s="492"/>
      <c r="J32" s="285"/>
    </row>
    <row r="33" spans="1:10" ht="12.4" customHeight="1">
      <c r="A33" s="286"/>
      <c r="B33" s="413"/>
      <c r="C33" s="414"/>
      <c r="D33" s="415"/>
      <c r="E33" s="507"/>
      <c r="F33" s="507"/>
      <c r="G33" s="507"/>
      <c r="H33" s="507"/>
      <c r="I33" s="507"/>
      <c r="J33" s="285"/>
    </row>
    <row r="34" spans="1:10">
      <c r="A34" s="286"/>
      <c r="B34" s="413"/>
      <c r="C34" s="416"/>
      <c r="D34" s="417"/>
      <c r="E34" s="507"/>
      <c r="F34" s="507"/>
      <c r="G34" s="507"/>
      <c r="H34" s="507"/>
      <c r="I34" s="507"/>
      <c r="J34" s="285"/>
    </row>
    <row r="35" spans="1:10">
      <c r="A35" s="286"/>
      <c r="B35" s="413"/>
      <c r="C35" s="416"/>
      <c r="D35" s="417"/>
      <c r="E35" s="507"/>
      <c r="F35" s="507"/>
      <c r="G35" s="507"/>
      <c r="H35" s="507"/>
      <c r="I35" s="507"/>
      <c r="J35" s="285"/>
    </row>
    <row r="36" spans="1:10">
      <c r="A36" s="286"/>
      <c r="B36" s="295"/>
      <c r="C36" s="298"/>
      <c r="D36" s="299"/>
      <c r="E36" s="488"/>
      <c r="F36" s="489"/>
      <c r="G36" s="489"/>
      <c r="H36" s="489"/>
      <c r="I36" s="490"/>
      <c r="J36" s="285"/>
    </row>
    <row r="37" spans="1:10">
      <c r="A37" s="286"/>
      <c r="B37" s="360"/>
      <c r="C37" s="361"/>
      <c r="D37" s="362"/>
      <c r="E37" s="496"/>
      <c r="F37" s="497"/>
      <c r="G37" s="497"/>
      <c r="H37" s="497"/>
      <c r="I37" s="498"/>
      <c r="J37" s="285"/>
    </row>
    <row r="38" spans="1:10">
      <c r="A38" s="286"/>
      <c r="B38" s="61"/>
      <c r="C38" s="61"/>
      <c r="D38" s="61"/>
      <c r="E38" s="61"/>
      <c r="F38" s="61"/>
      <c r="G38" s="61"/>
      <c r="H38" s="61"/>
      <c r="I38" s="61"/>
      <c r="J38" s="285"/>
    </row>
    <row r="39" spans="1:10">
      <c r="A39" s="286"/>
      <c r="B39" s="61"/>
      <c r="C39" s="61"/>
      <c r="D39" s="61"/>
      <c r="E39" s="61"/>
      <c r="F39" s="61"/>
      <c r="G39" s="61"/>
      <c r="H39" s="61"/>
      <c r="I39" s="61"/>
      <c r="J39" s="285"/>
    </row>
    <row r="40" spans="1:10">
      <c r="A40" s="286"/>
      <c r="B40" s="61"/>
      <c r="C40" s="61"/>
      <c r="D40" s="61"/>
      <c r="E40" s="61"/>
      <c r="F40" s="61"/>
      <c r="G40" s="61"/>
      <c r="H40" s="61"/>
      <c r="I40" s="61"/>
      <c r="J40" s="285"/>
    </row>
    <row r="41" spans="1:10">
      <c r="A41" s="286"/>
      <c r="B41" s="61"/>
      <c r="C41" s="61"/>
      <c r="D41" s="61"/>
      <c r="E41" s="61"/>
      <c r="F41" s="61"/>
      <c r="G41" s="61"/>
      <c r="H41" s="61"/>
      <c r="I41" s="61"/>
      <c r="J41" s="285"/>
    </row>
    <row r="42" spans="1:10">
      <c r="A42" s="286"/>
      <c r="B42" s="61"/>
      <c r="C42" s="61"/>
      <c r="D42" s="61"/>
      <c r="E42" s="61"/>
      <c r="F42" s="61"/>
      <c r="G42" s="61"/>
      <c r="H42" s="61"/>
      <c r="I42" s="61"/>
      <c r="J42" s="285"/>
    </row>
    <row r="43" spans="1:10">
      <c r="A43" s="293"/>
      <c r="B43" s="61"/>
      <c r="C43" s="61"/>
      <c r="D43" s="61"/>
      <c r="E43" s="61"/>
      <c r="F43" s="61"/>
      <c r="G43" s="61"/>
      <c r="H43" s="61"/>
      <c r="I43" s="61"/>
      <c r="J43" s="294"/>
    </row>
    <row r="44" spans="1:10">
      <c r="A44" s="69"/>
      <c r="B44" s="69"/>
      <c r="C44" s="69"/>
      <c r="D44" s="69"/>
      <c r="E44" s="69"/>
      <c r="F44" s="69"/>
      <c r="G44" s="69"/>
      <c r="H44" s="69"/>
      <c r="I44" s="69"/>
      <c r="J44" s="69"/>
    </row>
    <row r="45" spans="1:10">
      <c r="A45" s="69"/>
      <c r="B45" s="69"/>
      <c r="C45" s="69"/>
      <c r="D45" s="69"/>
      <c r="E45" s="69"/>
      <c r="F45" s="69"/>
      <c r="G45" s="69"/>
      <c r="H45" s="69"/>
      <c r="I45" s="69"/>
      <c r="J45" s="69"/>
    </row>
    <row r="46" spans="1:10">
      <c r="A46" s="69"/>
      <c r="B46" s="69"/>
      <c r="C46" s="69"/>
      <c r="D46" s="69"/>
      <c r="E46" s="69"/>
      <c r="F46" s="69"/>
      <c r="G46" s="69"/>
      <c r="H46" s="69"/>
      <c r="I46" s="69"/>
      <c r="J46" s="69"/>
    </row>
    <row r="47" spans="1:10">
      <c r="A47" s="69"/>
      <c r="B47" s="69"/>
      <c r="C47" s="69"/>
      <c r="D47" s="69"/>
      <c r="E47" s="69"/>
      <c r="F47" s="69"/>
      <c r="G47" s="69"/>
      <c r="H47" s="69"/>
      <c r="I47" s="69"/>
      <c r="J47" s="69"/>
    </row>
    <row r="48" spans="1:10">
      <c r="A48" s="69"/>
      <c r="B48" s="69"/>
      <c r="C48" s="69"/>
      <c r="D48" s="69"/>
      <c r="E48" s="69"/>
      <c r="F48" s="69"/>
      <c r="G48" s="69"/>
      <c r="H48" s="69"/>
      <c r="I48" s="69"/>
      <c r="J48" s="69"/>
    </row>
    <row r="49" spans="1:10">
      <c r="A49" s="69"/>
      <c r="B49" s="69"/>
      <c r="C49" s="69"/>
      <c r="D49" s="69"/>
      <c r="E49" s="69"/>
      <c r="F49" s="69"/>
      <c r="G49" s="69"/>
      <c r="H49" s="69"/>
      <c r="I49" s="69"/>
      <c r="J49" s="69"/>
    </row>
    <row r="50" spans="1:10">
      <c r="A50" s="69"/>
      <c r="B50" s="69"/>
      <c r="C50" s="69"/>
      <c r="D50" s="69"/>
      <c r="E50" s="69"/>
      <c r="F50" s="69"/>
      <c r="G50" s="69"/>
      <c r="H50" s="69"/>
      <c r="I50" s="69"/>
      <c r="J50" s="69"/>
    </row>
    <row r="51" spans="1:10">
      <c r="A51" s="69"/>
      <c r="B51" s="69"/>
      <c r="C51" s="69"/>
      <c r="D51" s="69"/>
      <c r="E51" s="69"/>
      <c r="F51" s="69"/>
      <c r="G51" s="69"/>
      <c r="H51" s="69"/>
      <c r="I51" s="69"/>
      <c r="J51" s="69"/>
    </row>
    <row r="52" spans="1:10">
      <c r="A52" s="69"/>
      <c r="B52" s="69"/>
      <c r="C52" s="69"/>
      <c r="D52" s="69"/>
      <c r="E52" s="69"/>
      <c r="F52" s="69"/>
      <c r="G52" s="69"/>
      <c r="H52" s="69"/>
      <c r="I52" s="69"/>
      <c r="J52" s="69"/>
    </row>
    <row r="53" spans="1:10">
      <c r="A53" s="69"/>
      <c r="B53" s="69"/>
      <c r="C53" s="69"/>
      <c r="D53" s="69"/>
      <c r="E53" s="69"/>
      <c r="F53" s="69"/>
      <c r="G53" s="69"/>
      <c r="H53" s="69"/>
      <c r="I53" s="69"/>
      <c r="J53" s="69"/>
    </row>
    <row r="54" spans="1:10">
      <c r="A54" s="69"/>
      <c r="B54" s="69"/>
      <c r="C54" s="69"/>
      <c r="D54" s="69"/>
      <c r="E54" s="69"/>
      <c r="F54" s="69"/>
      <c r="G54" s="69"/>
      <c r="H54" s="69"/>
      <c r="I54" s="69"/>
      <c r="J54" s="69"/>
    </row>
    <row r="55" spans="1:10">
      <c r="A55" s="69"/>
      <c r="B55" s="69"/>
      <c r="C55" s="69"/>
      <c r="D55" s="69"/>
      <c r="E55" s="69"/>
      <c r="F55" s="69"/>
      <c r="G55" s="69"/>
      <c r="H55" s="69"/>
      <c r="I55" s="69"/>
      <c r="J55" s="69"/>
    </row>
    <row r="56" spans="1:10">
      <c r="A56" s="69"/>
      <c r="B56" s="69"/>
      <c r="C56" s="69"/>
      <c r="D56" s="69"/>
      <c r="E56" s="69"/>
      <c r="F56" s="69"/>
      <c r="G56" s="69"/>
      <c r="H56" s="69"/>
      <c r="I56" s="69"/>
      <c r="J56" s="69"/>
    </row>
    <row r="57" spans="1:10">
      <c r="A57" s="69"/>
      <c r="B57" s="69"/>
      <c r="C57" s="69"/>
      <c r="D57" s="69"/>
      <c r="E57" s="69"/>
      <c r="F57" s="69"/>
      <c r="G57" s="69"/>
      <c r="H57" s="69"/>
      <c r="I57" s="69"/>
      <c r="J57" s="69"/>
    </row>
    <row r="58" spans="1:10">
      <c r="A58" s="69"/>
      <c r="B58" s="69"/>
      <c r="C58" s="69"/>
      <c r="D58" s="69"/>
      <c r="E58" s="69"/>
      <c r="F58" s="69"/>
      <c r="G58" s="69"/>
      <c r="H58" s="69"/>
      <c r="I58" s="69"/>
      <c r="J58" s="69"/>
    </row>
    <row r="59" spans="1:10">
      <c r="A59" s="69"/>
      <c r="B59" s="69"/>
      <c r="C59" s="69"/>
      <c r="D59" s="69"/>
      <c r="E59" s="69"/>
      <c r="F59" s="69"/>
      <c r="G59" s="69"/>
      <c r="H59" s="69"/>
      <c r="I59" s="69"/>
      <c r="J59" s="69"/>
    </row>
    <row r="60" spans="1:10">
      <c r="A60" s="69"/>
      <c r="B60" s="69"/>
      <c r="C60" s="69"/>
      <c r="D60" s="69"/>
      <c r="E60" s="69"/>
      <c r="F60" s="69"/>
      <c r="G60" s="69"/>
      <c r="H60" s="69"/>
      <c r="I60" s="69"/>
      <c r="J60" s="69"/>
    </row>
    <row r="61" spans="1:10">
      <c r="A61" s="69"/>
      <c r="B61" s="69"/>
      <c r="C61" s="69"/>
      <c r="D61" s="69"/>
      <c r="E61" s="69"/>
      <c r="F61" s="69"/>
      <c r="G61" s="69"/>
      <c r="H61" s="69"/>
      <c r="I61" s="69"/>
      <c r="J61" s="69"/>
    </row>
    <row r="62" spans="1:10">
      <c r="A62" s="69"/>
      <c r="B62" s="69"/>
      <c r="C62" s="69"/>
      <c r="D62" s="69"/>
      <c r="E62" s="69"/>
      <c r="F62" s="69"/>
      <c r="G62" s="69"/>
      <c r="H62" s="69"/>
      <c r="I62" s="69"/>
      <c r="J62" s="69"/>
    </row>
    <row r="63" spans="1:10">
      <c r="A63" s="69"/>
      <c r="B63" s="69"/>
      <c r="C63" s="69"/>
      <c r="D63" s="69"/>
      <c r="E63" s="69"/>
      <c r="F63" s="69"/>
      <c r="G63" s="69"/>
      <c r="H63" s="69"/>
      <c r="I63" s="69"/>
      <c r="J63" s="69"/>
    </row>
    <row r="64" spans="1:10">
      <c r="A64" s="69"/>
      <c r="B64" s="69"/>
      <c r="C64" s="69"/>
      <c r="D64" s="69"/>
      <c r="E64" s="69"/>
      <c r="F64" s="69"/>
      <c r="G64" s="69"/>
      <c r="H64" s="69"/>
      <c r="I64" s="69"/>
      <c r="J64" s="69"/>
    </row>
    <row r="65" spans="1:10">
      <c r="A65" s="69"/>
      <c r="B65" s="69"/>
      <c r="C65" s="69"/>
      <c r="D65" s="69"/>
      <c r="E65" s="69"/>
      <c r="F65" s="69"/>
      <c r="G65" s="69"/>
      <c r="H65" s="69"/>
      <c r="I65" s="69"/>
      <c r="J65" s="69"/>
    </row>
    <row r="66" spans="1:10">
      <c r="A66" s="69"/>
      <c r="B66" s="69"/>
      <c r="C66" s="69"/>
      <c r="D66" s="69"/>
      <c r="E66" s="69"/>
      <c r="F66" s="69"/>
      <c r="G66" s="69"/>
      <c r="H66" s="69"/>
      <c r="I66" s="69"/>
      <c r="J66" s="69"/>
    </row>
    <row r="67" spans="1:10">
      <c r="A67" s="69"/>
      <c r="B67" s="69"/>
      <c r="C67" s="69"/>
      <c r="D67" s="69"/>
      <c r="E67" s="69"/>
      <c r="F67" s="69"/>
      <c r="G67" s="69"/>
      <c r="H67" s="69"/>
      <c r="I67" s="69"/>
      <c r="J67" s="69"/>
    </row>
    <row r="68" spans="1:10">
      <c r="A68" s="69"/>
      <c r="B68" s="69"/>
      <c r="C68" s="69"/>
      <c r="D68" s="69"/>
      <c r="E68" s="69"/>
      <c r="F68" s="69"/>
      <c r="G68" s="69"/>
      <c r="H68" s="69"/>
      <c r="I68" s="69"/>
      <c r="J68" s="69"/>
    </row>
    <row r="69" spans="1:10">
      <c r="A69" s="69"/>
      <c r="B69" s="69"/>
      <c r="C69" s="69"/>
      <c r="D69" s="69"/>
      <c r="E69" s="69"/>
      <c r="F69" s="69"/>
      <c r="G69" s="69"/>
      <c r="H69" s="69"/>
      <c r="I69" s="69"/>
      <c r="J69" s="69"/>
    </row>
    <row r="70" spans="1:10">
      <c r="A70" s="69"/>
      <c r="B70" s="69"/>
      <c r="C70" s="69"/>
      <c r="D70" s="69"/>
      <c r="E70" s="69"/>
      <c r="F70" s="69"/>
      <c r="G70" s="69"/>
      <c r="H70" s="69"/>
      <c r="I70" s="69"/>
      <c r="J70" s="69"/>
    </row>
    <row r="71" spans="1:10">
      <c r="A71" s="69"/>
      <c r="B71" s="69"/>
      <c r="C71" s="69"/>
      <c r="D71" s="69"/>
      <c r="E71" s="69"/>
      <c r="F71" s="69"/>
      <c r="G71" s="69"/>
      <c r="H71" s="69"/>
      <c r="I71" s="69"/>
      <c r="J71" s="69"/>
    </row>
    <row r="72" spans="1:10">
      <c r="A72" s="69"/>
      <c r="B72" s="69"/>
      <c r="C72" s="69"/>
      <c r="D72" s="69"/>
      <c r="E72" s="69"/>
      <c r="F72" s="69"/>
      <c r="G72" s="69"/>
      <c r="H72" s="69"/>
      <c r="I72" s="69"/>
      <c r="J72" s="69"/>
    </row>
    <row r="73" spans="1:10">
      <c r="A73" s="69"/>
      <c r="B73" s="69"/>
      <c r="C73" s="69"/>
      <c r="D73" s="69"/>
      <c r="E73" s="69"/>
      <c r="F73" s="69"/>
      <c r="G73" s="69"/>
      <c r="H73" s="69"/>
      <c r="I73" s="69"/>
      <c r="J73" s="69"/>
    </row>
    <row r="74" spans="1:10">
      <c r="A74" s="69"/>
      <c r="B74" s="69"/>
      <c r="C74" s="69"/>
      <c r="D74" s="69"/>
      <c r="E74" s="69"/>
      <c r="F74" s="69"/>
      <c r="G74" s="69"/>
      <c r="H74" s="69"/>
      <c r="I74" s="69"/>
      <c r="J74" s="69"/>
    </row>
    <row r="75" spans="1:10">
      <c r="A75" s="69"/>
      <c r="B75" s="69"/>
      <c r="C75" s="69"/>
      <c r="D75" s="69"/>
      <c r="E75" s="69"/>
      <c r="F75" s="69"/>
      <c r="G75" s="69"/>
      <c r="H75" s="69"/>
      <c r="I75" s="69"/>
      <c r="J75" s="69"/>
    </row>
    <row r="76" spans="1:10">
      <c r="A76" s="69"/>
      <c r="B76" s="69"/>
      <c r="C76" s="69"/>
      <c r="D76" s="69"/>
      <c r="E76" s="69"/>
      <c r="F76" s="69"/>
      <c r="G76" s="69"/>
      <c r="H76" s="69"/>
      <c r="I76" s="69"/>
      <c r="J76" s="69"/>
    </row>
    <row r="77" spans="1:10">
      <c r="A77" s="69"/>
      <c r="B77" s="69"/>
      <c r="C77" s="69"/>
      <c r="D77" s="69"/>
      <c r="E77" s="69"/>
      <c r="F77" s="69"/>
      <c r="G77" s="69"/>
      <c r="H77" s="69"/>
      <c r="I77" s="69"/>
      <c r="J77" s="69"/>
    </row>
    <row r="78" spans="1:10">
      <c r="A78" s="69"/>
      <c r="B78" s="69"/>
      <c r="C78" s="69"/>
      <c r="D78" s="69"/>
      <c r="E78" s="69"/>
      <c r="F78" s="69"/>
      <c r="G78" s="69"/>
      <c r="H78" s="69"/>
      <c r="I78" s="69"/>
      <c r="J78" s="69"/>
    </row>
    <row r="79" spans="1:10">
      <c r="A79" s="69"/>
      <c r="B79" s="69"/>
      <c r="C79" s="69"/>
      <c r="D79" s="69"/>
      <c r="E79" s="69"/>
      <c r="F79" s="69"/>
      <c r="G79" s="69"/>
      <c r="H79" s="69"/>
      <c r="I79" s="69"/>
      <c r="J79" s="69"/>
    </row>
  </sheetData>
  <sheetProtection algorithmName="SHA-512" hashValue="1qxsVaCb8K8XLHtZlepUAqdvThcLa5D/u79zyifJqhB69dH1ZQtRCsakRS3zZHsospepUDV8BF65P8UQaKRI5w==" saltValue="43rqmnWw1DOJxy3U2jTSIA==" spinCount="100000" sheet="1" objects="1" scenarios="1"/>
  <mergeCells count="24">
    <mergeCell ref="B31:D31"/>
    <mergeCell ref="F31:G31"/>
    <mergeCell ref="E32:I32"/>
    <mergeCell ref="E33:I33"/>
    <mergeCell ref="B2:I2"/>
    <mergeCell ref="B4:C5"/>
    <mergeCell ref="F4:G4"/>
    <mergeCell ref="H4:I4"/>
    <mergeCell ref="F5:G5"/>
    <mergeCell ref="H5:I5"/>
    <mergeCell ref="B7:C7"/>
    <mergeCell ref="H7:I7"/>
    <mergeCell ref="E22:I22"/>
    <mergeCell ref="E23:I23"/>
    <mergeCell ref="B21:D21"/>
    <mergeCell ref="F21:G21"/>
    <mergeCell ref="E37:I37"/>
    <mergeCell ref="E35:I35"/>
    <mergeCell ref="E36:I36"/>
    <mergeCell ref="E24:I24"/>
    <mergeCell ref="E25:I25"/>
    <mergeCell ref="E26:I26"/>
    <mergeCell ref="E27:I27"/>
    <mergeCell ref="E34:I34"/>
  </mergeCells>
  <phoneticPr fontId="10" type="noConversion"/>
  <conditionalFormatting sqref="F5:I5">
    <cfRule type="cellIs" dxfId="13" priority="2" stopIfTrue="1" operator="equal">
      <formula>0</formula>
    </cfRule>
  </conditionalFormatting>
  <conditionalFormatting sqref="H7:I7">
    <cfRule type="cellIs" dxfId="12" priority="3" stopIfTrue="1" operator="equal">
      <formula>0</formula>
    </cfRule>
  </conditionalFormatting>
  <conditionalFormatting sqref="B36:D37">
    <cfRule type="cellIs" dxfId="11" priority="1" stopIfTrue="1" operator="equal">
      <formula>0</formula>
    </cfRule>
  </conditionalFormatting>
  <printOptions horizontalCentered="1" verticalCentered="1"/>
  <pageMargins left="0.39374999999999999" right="0.39374999999999999" top="0.19652777777777777" bottom="0.19652777777777777" header="0.51180555555555551" footer="0.51180555555555551"/>
  <pageSetup paperSize="9" scale="96" firstPageNumber="0" orientation="landscape" horizontalDpi="300" vertic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pageSetUpPr fitToPage="1"/>
  </sheetPr>
  <dimension ref="A1:J79"/>
  <sheetViews>
    <sheetView topLeftCell="A7" zoomScaleNormal="100" workbookViewId="0">
      <selection activeCell="B33" sqref="B33:I37"/>
    </sheetView>
  </sheetViews>
  <sheetFormatPr defaultColWidth="11.5703125" defaultRowHeight="12.75"/>
  <cols>
    <col min="1" max="1" width="2.5703125" style="10" customWidth="1"/>
    <col min="2" max="2" width="16.42578125" style="10" customWidth="1"/>
    <col min="3" max="3" width="15.42578125" style="10" customWidth="1"/>
    <col min="4" max="4" width="13.42578125" style="10" customWidth="1"/>
    <col min="5" max="5" width="15.42578125" style="10" customWidth="1"/>
    <col min="6" max="6" width="15" style="10" customWidth="1"/>
    <col min="7" max="7" width="16.140625" style="10" customWidth="1"/>
    <col min="8" max="8" width="14.140625" style="10" customWidth="1"/>
    <col min="9" max="9" width="14" style="10" customWidth="1"/>
    <col min="10" max="10" width="2.5703125" style="10" customWidth="1"/>
    <col min="11" max="16384" width="11.5703125" style="10"/>
  </cols>
  <sheetData>
    <row r="1" spans="1:10" ht="6.2" customHeight="1">
      <c r="A1" s="281"/>
      <c r="B1" s="282"/>
      <c r="C1" s="282"/>
      <c r="D1" s="282"/>
      <c r="E1" s="282"/>
      <c r="F1" s="282"/>
      <c r="G1" s="282"/>
      <c r="H1" s="282"/>
      <c r="I1" s="282"/>
      <c r="J1" s="283"/>
    </row>
    <row r="2" spans="1:10" ht="20.25" customHeight="1">
      <c r="A2" s="284"/>
      <c r="B2" s="503" t="s">
        <v>167</v>
      </c>
      <c r="C2" s="503"/>
      <c r="D2" s="503"/>
      <c r="E2" s="503"/>
      <c r="F2" s="503"/>
      <c r="G2" s="503"/>
      <c r="H2" s="503"/>
      <c r="I2" s="503"/>
      <c r="J2" s="285"/>
    </row>
    <row r="3" spans="1:10" ht="6.2" customHeight="1">
      <c r="A3" s="284"/>
      <c r="B3" s="375"/>
      <c r="C3" s="375"/>
      <c r="D3" s="375"/>
      <c r="E3" s="375"/>
      <c r="F3" s="375"/>
      <c r="G3" s="375"/>
      <c r="H3" s="375"/>
      <c r="I3" s="375"/>
      <c r="J3" s="285"/>
    </row>
    <row r="4" spans="1:10" ht="12.75" customHeight="1">
      <c r="A4" s="286"/>
      <c r="B4" s="504" t="str">
        <f>'Store Details'!D2</f>
        <v>Auburn</v>
      </c>
      <c r="C4" s="504"/>
      <c r="D4" s="287"/>
      <c r="E4" s="288"/>
      <c r="F4" s="491" t="s">
        <v>168</v>
      </c>
      <c r="G4" s="491"/>
      <c r="H4" s="505" t="s">
        <v>50</v>
      </c>
      <c r="I4" s="505"/>
      <c r="J4" s="285"/>
    </row>
    <row r="5" spans="1:10" ht="14.25" customHeight="1">
      <c r="A5" s="286"/>
      <c r="B5" s="504"/>
      <c r="C5" s="504"/>
      <c r="D5" s="289"/>
      <c r="E5" s="289"/>
      <c r="F5" s="506">
        <f>'Store Details'!C$15</f>
        <v>0</v>
      </c>
      <c r="G5" s="506"/>
      <c r="H5" s="502">
        <f>'Store Details'!C$16</f>
        <v>0</v>
      </c>
      <c r="I5" s="502"/>
      <c r="J5" s="285"/>
    </row>
    <row r="6" spans="1:10" ht="6.2" customHeight="1">
      <c r="A6" s="286"/>
      <c r="B6" s="61"/>
      <c r="C6" s="61"/>
      <c r="D6" s="61"/>
      <c r="E6" s="61"/>
      <c r="F6" s="61"/>
      <c r="G6" s="61"/>
      <c r="H6" s="61"/>
      <c r="I6" s="61"/>
      <c r="J6" s="285"/>
    </row>
    <row r="7" spans="1:10" ht="15" customHeight="1">
      <c r="A7" s="286"/>
      <c r="B7" s="491" t="s">
        <v>164</v>
      </c>
      <c r="C7" s="491"/>
      <c r="D7" s="290">
        <f>'Daily &amp; Weekly Totals'!E31</f>
        <v>43940</v>
      </c>
      <c r="E7" s="61"/>
      <c r="F7" s="61"/>
      <c r="G7" s="61"/>
      <c r="H7" s="502">
        <f>'Store Details'!C$17</f>
        <v>0</v>
      </c>
      <c r="I7" s="502"/>
      <c r="J7" s="285"/>
    </row>
    <row r="8" spans="1:10" ht="6.75" customHeight="1">
      <c r="A8" s="286"/>
      <c r="B8" s="291"/>
      <c r="C8" s="347"/>
      <c r="D8" s="347"/>
      <c r="E8" s="61"/>
      <c r="F8" s="61"/>
      <c r="G8" s="61"/>
      <c r="H8" s="61"/>
      <c r="I8" s="61"/>
      <c r="J8" s="285"/>
    </row>
    <row r="9" spans="1:10" ht="6.75" customHeight="1">
      <c r="A9" s="286"/>
      <c r="B9" s="291"/>
      <c r="C9" s="363"/>
      <c r="D9" s="363"/>
      <c r="E9" s="61"/>
      <c r="F9" s="61"/>
      <c r="G9" s="61"/>
      <c r="H9" s="61"/>
      <c r="I9" s="61"/>
      <c r="J9" s="285"/>
    </row>
    <row r="10" spans="1:10" ht="16.7" customHeight="1">
      <c r="A10" s="286"/>
      <c r="B10" s="61"/>
      <c r="C10" s="61"/>
      <c r="D10" s="61"/>
      <c r="E10" s="61"/>
      <c r="F10" s="61"/>
      <c r="G10" s="61"/>
      <c r="H10" s="61"/>
      <c r="I10" s="61"/>
      <c r="J10" s="285"/>
    </row>
    <row r="11" spans="1:10" ht="15.75" customHeight="1">
      <c r="A11" s="286"/>
      <c r="B11" s="376"/>
      <c r="C11" s="376" t="s">
        <v>71</v>
      </c>
      <c r="D11" s="292" t="s">
        <v>19</v>
      </c>
      <c r="E11" s="376" t="s">
        <v>169</v>
      </c>
      <c r="F11" s="376" t="s">
        <v>170</v>
      </c>
      <c r="G11" s="292" t="s">
        <v>62</v>
      </c>
      <c r="H11" s="358" t="s">
        <v>122</v>
      </c>
      <c r="I11" s="61"/>
      <c r="J11" s="285"/>
    </row>
    <row r="12" spans="1:10" ht="15.75" customHeight="1">
      <c r="A12" s="286"/>
      <c r="B12" s="348" t="s">
        <v>171</v>
      </c>
      <c r="C12" s="349">
        <f>'Store Details'!K17</f>
        <v>0</v>
      </c>
      <c r="D12" s="349">
        <f>'Store Details'!Q17</f>
        <v>0</v>
      </c>
      <c r="E12" s="349" t="e">
        <f>C12/'Store Details'!I17</f>
        <v>#DIV/0!</v>
      </c>
      <c r="F12" s="350" t="e">
        <f>'Store Details'!J17/'Store Details'!I17</f>
        <v>#DIV/0!</v>
      </c>
      <c r="G12" s="378">
        <f>'Store Details'!L17</f>
        <v>0</v>
      </c>
      <c r="H12" s="366" t="e">
        <f>'Store Details'!I17/G12</f>
        <v>#DIV/0!</v>
      </c>
      <c r="I12" s="61"/>
      <c r="J12" s="359"/>
    </row>
    <row r="13" spans="1:10" ht="15.75" customHeight="1">
      <c r="A13" s="286"/>
      <c r="B13" s="376" t="s">
        <v>172</v>
      </c>
      <c r="C13" s="351">
        <f>'Daily &amp; Weekly Totals'!G32</f>
        <v>0</v>
      </c>
      <c r="D13" s="351">
        <f>C13</f>
        <v>0</v>
      </c>
      <c r="E13" s="349">
        <f>IF(C13=0,0,'Daily &amp; Weekly Totals'!O32)</f>
        <v>0</v>
      </c>
      <c r="F13" s="352">
        <f>IF(C13=0,0,'Daily &amp; Weekly Totals'!R32)</f>
        <v>0</v>
      </c>
      <c r="G13" s="365">
        <f>'Daily &amp; Weekly Totals'!L32</f>
        <v>0</v>
      </c>
      <c r="H13" s="367">
        <f>IF(G13=0,0,'Daily &amp; Weekly Totals'!I32/G13)</f>
        <v>0</v>
      </c>
      <c r="I13" s="61"/>
      <c r="J13" s="359"/>
    </row>
    <row r="14" spans="1:10" ht="15.75" customHeight="1">
      <c r="A14" s="286"/>
      <c r="B14" s="376" t="s">
        <v>173</v>
      </c>
      <c r="C14" s="353">
        <f>C13-C12</f>
        <v>0</v>
      </c>
      <c r="D14" s="353">
        <f>D13-D12</f>
        <v>0</v>
      </c>
      <c r="E14" s="354" t="e">
        <f>E13-E12</f>
        <v>#DIV/0!</v>
      </c>
      <c r="F14" s="355" t="e">
        <f>F13-F12</f>
        <v>#DIV/0!</v>
      </c>
      <c r="G14" s="364">
        <f>G13-G12</f>
        <v>0</v>
      </c>
      <c r="H14" s="356"/>
      <c r="I14" s="61"/>
      <c r="J14" s="359"/>
    </row>
    <row r="15" spans="1:10" ht="15.75" customHeight="1">
      <c r="A15" s="286"/>
      <c r="B15" s="357" t="s">
        <v>174</v>
      </c>
      <c r="C15" s="368" t="e">
        <f>(C13/C12)-1</f>
        <v>#DIV/0!</v>
      </c>
      <c r="D15" s="368" t="e">
        <f>(D13/D12)-1</f>
        <v>#DIV/0!</v>
      </c>
      <c r="E15" s="369" t="e">
        <f>(E13/E12)-1</f>
        <v>#DIV/0!</v>
      </c>
      <c r="F15" s="368" t="e">
        <f>(F13/F12)-1</f>
        <v>#DIV/0!</v>
      </c>
      <c r="G15" s="368" t="e">
        <f>(G13/G12)-1</f>
        <v>#DIV/0!</v>
      </c>
      <c r="H15" s="370"/>
      <c r="I15" s="61"/>
      <c r="J15" s="359"/>
    </row>
    <row r="16" spans="1:10" ht="15.75" customHeight="1">
      <c r="A16" s="286"/>
      <c r="B16" s="61"/>
      <c r="C16" s="61"/>
      <c r="D16" s="61"/>
      <c r="E16" s="61"/>
      <c r="F16" s="61"/>
      <c r="G16" s="61"/>
      <c r="H16" s="61"/>
      <c r="I16" s="61"/>
      <c r="J16" s="359"/>
    </row>
    <row r="17" spans="1:10" ht="15.75" customHeight="1">
      <c r="A17" s="286"/>
      <c r="B17" s="61"/>
      <c r="C17" s="61"/>
      <c r="D17" s="61"/>
      <c r="E17" s="61"/>
      <c r="F17" s="61"/>
      <c r="G17" s="61"/>
      <c r="H17" s="61"/>
      <c r="I17" s="61"/>
      <c r="J17" s="359"/>
    </row>
    <row r="18" spans="1:10" ht="15.75" customHeight="1">
      <c r="A18" s="286"/>
      <c r="B18" s="61"/>
      <c r="C18" s="61"/>
      <c r="D18" s="61"/>
      <c r="E18" s="61"/>
      <c r="F18" s="61"/>
      <c r="G18" s="61"/>
      <c r="H18" s="61"/>
      <c r="I18" s="61"/>
      <c r="J18" s="359"/>
    </row>
    <row r="19" spans="1:10" ht="15.75" customHeight="1">
      <c r="A19" s="286"/>
      <c r="B19" s="61"/>
      <c r="C19" s="61"/>
      <c r="D19" s="61"/>
      <c r="E19" s="61"/>
      <c r="F19" s="61"/>
      <c r="G19" s="61"/>
      <c r="H19" s="61"/>
      <c r="I19" s="61"/>
      <c r="J19" s="359"/>
    </row>
    <row r="20" spans="1:10" ht="8.65" customHeight="1">
      <c r="A20" s="286"/>
      <c r="B20" s="61"/>
      <c r="C20" s="61"/>
      <c r="D20" s="61"/>
      <c r="E20" s="61"/>
      <c r="F20" s="61"/>
      <c r="G20" s="61"/>
      <c r="H20" s="61"/>
      <c r="I20" s="61"/>
      <c r="J20" s="285"/>
    </row>
    <row r="21" spans="1:10" ht="15" customHeight="1">
      <c r="A21" s="286"/>
      <c r="B21" s="491" t="s">
        <v>175</v>
      </c>
      <c r="C21" s="491"/>
      <c r="D21" s="491"/>
      <c r="E21" s="61"/>
      <c r="F21" s="493" t="s">
        <v>176</v>
      </c>
      <c r="G21" s="494"/>
      <c r="H21" s="300">
        <f>SUM(D23:D28)</f>
        <v>0</v>
      </c>
      <c r="I21" s="61"/>
      <c r="J21" s="285"/>
    </row>
    <row r="22" spans="1:10" ht="15" customHeight="1">
      <c r="A22" s="286"/>
      <c r="B22" s="376" t="s">
        <v>177</v>
      </c>
      <c r="C22" s="376" t="s">
        <v>178</v>
      </c>
      <c r="D22" s="292" t="s">
        <v>179</v>
      </c>
      <c r="E22" s="492" t="s">
        <v>180</v>
      </c>
      <c r="F22" s="492"/>
      <c r="G22" s="492"/>
      <c r="H22" s="492"/>
      <c r="I22" s="492"/>
      <c r="J22" s="285"/>
    </row>
    <row r="23" spans="1:10">
      <c r="A23" s="286"/>
      <c r="B23" s="295"/>
      <c r="C23" s="296"/>
      <c r="D23" s="297"/>
      <c r="E23" s="488"/>
      <c r="F23" s="489"/>
      <c r="G23" s="489"/>
      <c r="H23" s="489"/>
      <c r="I23" s="490"/>
      <c r="J23" s="285"/>
    </row>
    <row r="24" spans="1:10">
      <c r="A24" s="286"/>
      <c r="B24" s="295"/>
      <c r="C24" s="298"/>
      <c r="D24" s="299"/>
      <c r="E24" s="488"/>
      <c r="F24" s="489"/>
      <c r="G24" s="489"/>
      <c r="H24" s="489"/>
      <c r="I24" s="490"/>
      <c r="J24" s="285"/>
    </row>
    <row r="25" spans="1:10">
      <c r="A25" s="286"/>
      <c r="B25" s="295"/>
      <c r="C25" s="298"/>
      <c r="D25" s="299"/>
      <c r="E25" s="488"/>
      <c r="F25" s="489"/>
      <c r="G25" s="489"/>
      <c r="H25" s="489"/>
      <c r="I25" s="490"/>
      <c r="J25" s="285"/>
    </row>
    <row r="26" spans="1:10">
      <c r="A26" s="286"/>
      <c r="B26" s="295"/>
      <c r="C26" s="298"/>
      <c r="D26" s="299"/>
      <c r="E26" s="488"/>
      <c r="F26" s="489"/>
      <c r="G26" s="489"/>
      <c r="H26" s="489"/>
      <c r="I26" s="490"/>
      <c r="J26" s="285"/>
    </row>
    <row r="27" spans="1:10">
      <c r="A27" s="286"/>
      <c r="B27" s="360"/>
      <c r="C27" s="361"/>
      <c r="D27" s="362"/>
      <c r="E27" s="488"/>
      <c r="F27" s="489"/>
      <c r="G27" s="489"/>
      <c r="H27" s="489"/>
      <c r="I27" s="490"/>
      <c r="J27" s="285"/>
    </row>
    <row r="28" spans="1:10">
      <c r="A28" s="286"/>
      <c r="B28" s="61"/>
      <c r="C28" s="61"/>
      <c r="D28" s="61"/>
      <c r="E28" s="61"/>
      <c r="F28" s="61"/>
      <c r="G28" s="61"/>
      <c r="H28" s="61"/>
      <c r="I28" s="61"/>
      <c r="J28" s="285"/>
    </row>
    <row r="29" spans="1:10">
      <c r="A29" s="286"/>
      <c r="B29" s="61"/>
      <c r="C29" s="61"/>
      <c r="D29" s="61"/>
      <c r="E29" s="61"/>
      <c r="F29" s="61"/>
      <c r="G29" s="61"/>
      <c r="H29" s="61"/>
      <c r="I29" s="61"/>
      <c r="J29" s="285"/>
    </row>
    <row r="30" spans="1:10">
      <c r="A30" s="286"/>
      <c r="B30" s="61"/>
      <c r="C30" s="61"/>
      <c r="D30" s="61"/>
      <c r="E30" s="61"/>
      <c r="F30" s="61"/>
      <c r="G30" s="61"/>
      <c r="H30" s="61"/>
      <c r="I30" s="61"/>
      <c r="J30" s="285"/>
    </row>
    <row r="31" spans="1:10" ht="15" customHeight="1">
      <c r="A31" s="286"/>
      <c r="B31" s="495" t="s">
        <v>181</v>
      </c>
      <c r="C31" s="495"/>
      <c r="D31" s="495"/>
      <c r="E31" s="61"/>
      <c r="F31" s="493" t="s">
        <v>182</v>
      </c>
      <c r="G31" s="493"/>
      <c r="H31" s="300">
        <f>SUM(D33:D42)</f>
        <v>0</v>
      </c>
      <c r="I31" s="61"/>
      <c r="J31" s="285"/>
    </row>
    <row r="32" spans="1:10" ht="15" customHeight="1">
      <c r="A32" s="286"/>
      <c r="B32" s="376" t="s">
        <v>177</v>
      </c>
      <c r="C32" s="376" t="s">
        <v>178</v>
      </c>
      <c r="D32" s="292" t="s">
        <v>179</v>
      </c>
      <c r="E32" s="492" t="s">
        <v>180</v>
      </c>
      <c r="F32" s="492"/>
      <c r="G32" s="492"/>
      <c r="H32" s="492"/>
      <c r="I32" s="492"/>
      <c r="J32" s="285"/>
    </row>
    <row r="33" spans="1:10" ht="12.4" customHeight="1">
      <c r="A33" s="286"/>
      <c r="B33" s="295"/>
      <c r="C33" s="298"/>
      <c r="D33" s="299"/>
      <c r="E33" s="488"/>
      <c r="F33" s="489"/>
      <c r="G33" s="489"/>
      <c r="H33" s="489"/>
      <c r="I33" s="490"/>
      <c r="J33" s="285"/>
    </row>
    <row r="34" spans="1:10">
      <c r="A34" s="286"/>
      <c r="B34" s="295"/>
      <c r="C34" s="298"/>
      <c r="D34" s="299"/>
      <c r="E34" s="488"/>
      <c r="F34" s="489"/>
      <c r="G34" s="489"/>
      <c r="H34" s="489"/>
      <c r="I34" s="490"/>
      <c r="J34" s="285"/>
    </row>
    <row r="35" spans="1:10">
      <c r="A35" s="286"/>
      <c r="B35" s="295"/>
      <c r="C35" s="298"/>
      <c r="D35" s="299"/>
      <c r="E35" s="488"/>
      <c r="F35" s="489"/>
      <c r="G35" s="489"/>
      <c r="H35" s="489"/>
      <c r="I35" s="490"/>
      <c r="J35" s="285"/>
    </row>
    <row r="36" spans="1:10">
      <c r="A36" s="286"/>
      <c r="B36" s="295"/>
      <c r="C36" s="298"/>
      <c r="D36" s="299"/>
      <c r="E36" s="488"/>
      <c r="F36" s="489"/>
      <c r="G36" s="489"/>
      <c r="H36" s="489"/>
      <c r="I36" s="490"/>
      <c r="J36" s="285"/>
    </row>
    <row r="37" spans="1:10">
      <c r="A37" s="286"/>
      <c r="B37" s="360"/>
      <c r="C37" s="361"/>
      <c r="D37" s="362"/>
      <c r="E37" s="496"/>
      <c r="F37" s="497"/>
      <c r="G37" s="497"/>
      <c r="H37" s="497"/>
      <c r="I37" s="498"/>
      <c r="J37" s="285"/>
    </row>
    <row r="38" spans="1:10">
      <c r="A38" s="286"/>
      <c r="B38" s="61"/>
      <c r="C38" s="61"/>
      <c r="D38" s="61"/>
      <c r="E38" s="61"/>
      <c r="F38" s="61"/>
      <c r="G38" s="61"/>
      <c r="H38" s="61"/>
      <c r="I38" s="61"/>
      <c r="J38" s="285"/>
    </row>
    <row r="39" spans="1:10">
      <c r="A39" s="286"/>
      <c r="B39" s="61"/>
      <c r="C39" s="61"/>
      <c r="D39" s="61"/>
      <c r="E39" s="61"/>
      <c r="F39" s="61"/>
      <c r="G39" s="61"/>
      <c r="H39" s="61"/>
      <c r="I39" s="61"/>
      <c r="J39" s="285"/>
    </row>
    <row r="40" spans="1:10">
      <c r="A40" s="286"/>
      <c r="B40" s="61"/>
      <c r="C40" s="61"/>
      <c r="D40" s="61"/>
      <c r="E40" s="61"/>
      <c r="F40" s="61"/>
      <c r="G40" s="61"/>
      <c r="H40" s="61"/>
      <c r="I40" s="61"/>
      <c r="J40" s="285"/>
    </row>
    <row r="41" spans="1:10">
      <c r="A41" s="286"/>
      <c r="B41" s="61"/>
      <c r="C41" s="61"/>
      <c r="D41" s="61"/>
      <c r="E41" s="61"/>
      <c r="F41" s="61"/>
      <c r="G41" s="61"/>
      <c r="H41" s="61"/>
      <c r="I41" s="61"/>
      <c r="J41" s="285"/>
    </row>
    <row r="42" spans="1:10">
      <c r="A42" s="286"/>
      <c r="B42" s="61"/>
      <c r="C42" s="61"/>
      <c r="D42" s="61"/>
      <c r="E42" s="61"/>
      <c r="F42" s="61"/>
      <c r="G42" s="61"/>
      <c r="H42" s="61"/>
      <c r="I42" s="61"/>
      <c r="J42" s="285"/>
    </row>
    <row r="43" spans="1:10">
      <c r="A43" s="293"/>
      <c r="B43" s="61"/>
      <c r="C43" s="61"/>
      <c r="D43" s="61"/>
      <c r="E43" s="61"/>
      <c r="F43" s="61"/>
      <c r="G43" s="61"/>
      <c r="H43" s="61"/>
      <c r="I43" s="61"/>
      <c r="J43" s="294"/>
    </row>
    <row r="44" spans="1:10">
      <c r="A44" s="69"/>
      <c r="B44" s="69"/>
      <c r="C44" s="69"/>
      <c r="D44" s="69"/>
      <c r="E44" s="69"/>
      <c r="F44" s="69"/>
      <c r="G44" s="69"/>
      <c r="H44" s="69"/>
      <c r="I44" s="69"/>
      <c r="J44" s="69"/>
    </row>
    <row r="45" spans="1:10">
      <c r="A45" s="69"/>
      <c r="B45" s="69"/>
      <c r="C45" s="69"/>
      <c r="D45" s="69"/>
      <c r="E45" s="69"/>
      <c r="F45" s="69"/>
      <c r="G45" s="69"/>
      <c r="H45" s="69"/>
      <c r="I45" s="69"/>
      <c r="J45" s="69"/>
    </row>
    <row r="46" spans="1:10">
      <c r="A46" s="69"/>
      <c r="B46" s="69"/>
      <c r="C46" s="69"/>
      <c r="D46" s="69"/>
      <c r="E46" s="69"/>
      <c r="F46" s="69"/>
      <c r="G46" s="69"/>
      <c r="H46" s="69"/>
      <c r="I46" s="69"/>
      <c r="J46" s="69"/>
    </row>
    <row r="47" spans="1:10">
      <c r="A47" s="69"/>
      <c r="B47" s="69"/>
      <c r="C47" s="69"/>
      <c r="D47" s="69"/>
      <c r="E47" s="69"/>
      <c r="F47" s="69"/>
      <c r="G47" s="69"/>
      <c r="H47" s="69"/>
      <c r="I47" s="69"/>
      <c r="J47" s="69"/>
    </row>
    <row r="48" spans="1:10">
      <c r="A48" s="69"/>
      <c r="B48" s="69"/>
      <c r="C48" s="69"/>
      <c r="D48" s="69"/>
      <c r="E48" s="69"/>
      <c r="F48" s="69"/>
      <c r="G48" s="69"/>
      <c r="H48" s="69"/>
      <c r="I48" s="69"/>
      <c r="J48" s="69"/>
    </row>
    <row r="49" spans="1:10">
      <c r="A49" s="69"/>
      <c r="B49" s="69"/>
      <c r="C49" s="69"/>
      <c r="D49" s="69"/>
      <c r="E49" s="69"/>
      <c r="F49" s="69"/>
      <c r="G49" s="69"/>
      <c r="H49" s="69"/>
      <c r="I49" s="69"/>
      <c r="J49" s="69"/>
    </row>
    <row r="50" spans="1:10">
      <c r="A50" s="69"/>
      <c r="B50" s="69"/>
      <c r="C50" s="69"/>
      <c r="D50" s="69"/>
      <c r="E50" s="69"/>
      <c r="F50" s="69"/>
      <c r="G50" s="69"/>
      <c r="H50" s="69"/>
      <c r="I50" s="69"/>
      <c r="J50" s="69"/>
    </row>
    <row r="51" spans="1:10">
      <c r="A51" s="69"/>
      <c r="B51" s="69"/>
      <c r="C51" s="69"/>
      <c r="D51" s="69"/>
      <c r="E51" s="69"/>
      <c r="F51" s="69"/>
      <c r="G51" s="69"/>
      <c r="H51" s="69"/>
      <c r="I51" s="69"/>
      <c r="J51" s="69"/>
    </row>
    <row r="52" spans="1:10">
      <c r="A52" s="69"/>
      <c r="B52" s="69"/>
      <c r="C52" s="69"/>
      <c r="D52" s="69"/>
      <c r="E52" s="69"/>
      <c r="F52" s="69"/>
      <c r="G52" s="69"/>
      <c r="H52" s="69"/>
      <c r="I52" s="69"/>
      <c r="J52" s="69"/>
    </row>
    <row r="53" spans="1:10">
      <c r="A53" s="69"/>
      <c r="B53" s="69"/>
      <c r="C53" s="69"/>
      <c r="D53" s="69"/>
      <c r="E53" s="69"/>
      <c r="F53" s="69"/>
      <c r="G53" s="69"/>
      <c r="H53" s="69"/>
      <c r="I53" s="69"/>
      <c r="J53" s="69"/>
    </row>
    <row r="54" spans="1:10">
      <c r="A54" s="69"/>
      <c r="B54" s="69"/>
      <c r="C54" s="69"/>
      <c r="D54" s="69"/>
      <c r="E54" s="69"/>
      <c r="F54" s="69"/>
      <c r="G54" s="69"/>
      <c r="H54" s="69"/>
      <c r="I54" s="69"/>
      <c r="J54" s="69"/>
    </row>
    <row r="55" spans="1:10">
      <c r="A55" s="69"/>
      <c r="B55" s="69"/>
      <c r="C55" s="69"/>
      <c r="D55" s="69"/>
      <c r="E55" s="69"/>
      <c r="F55" s="69"/>
      <c r="G55" s="69"/>
      <c r="H55" s="69"/>
      <c r="I55" s="69"/>
      <c r="J55" s="69"/>
    </row>
    <row r="56" spans="1:10">
      <c r="A56" s="69"/>
      <c r="B56" s="69"/>
      <c r="C56" s="69"/>
      <c r="D56" s="69"/>
      <c r="E56" s="69"/>
      <c r="F56" s="69"/>
      <c r="G56" s="69"/>
      <c r="H56" s="69"/>
      <c r="I56" s="69"/>
      <c r="J56" s="69"/>
    </row>
    <row r="57" spans="1:10">
      <c r="A57" s="69"/>
      <c r="B57" s="69"/>
      <c r="C57" s="69"/>
      <c r="D57" s="69"/>
      <c r="E57" s="69"/>
      <c r="F57" s="69"/>
      <c r="G57" s="69"/>
      <c r="H57" s="69"/>
      <c r="I57" s="69"/>
      <c r="J57" s="69"/>
    </row>
    <row r="58" spans="1:10">
      <c r="A58" s="69"/>
      <c r="B58" s="69"/>
      <c r="C58" s="69"/>
      <c r="D58" s="69"/>
      <c r="E58" s="69"/>
      <c r="F58" s="69"/>
      <c r="G58" s="69"/>
      <c r="H58" s="69"/>
      <c r="I58" s="69"/>
      <c r="J58" s="69"/>
    </row>
    <row r="59" spans="1:10">
      <c r="A59" s="69"/>
      <c r="B59" s="69"/>
      <c r="C59" s="69"/>
      <c r="D59" s="69"/>
      <c r="E59" s="69"/>
      <c r="F59" s="69"/>
      <c r="G59" s="69"/>
      <c r="H59" s="69"/>
      <c r="I59" s="69"/>
      <c r="J59" s="69"/>
    </row>
    <row r="60" spans="1:10">
      <c r="A60" s="69"/>
      <c r="B60" s="69"/>
      <c r="C60" s="69"/>
      <c r="D60" s="69"/>
      <c r="E60" s="69"/>
      <c r="F60" s="69"/>
      <c r="G60" s="69"/>
      <c r="H60" s="69"/>
      <c r="I60" s="69"/>
      <c r="J60" s="69"/>
    </row>
    <row r="61" spans="1:10">
      <c r="A61" s="69"/>
      <c r="B61" s="69"/>
      <c r="C61" s="69"/>
      <c r="D61" s="69"/>
      <c r="E61" s="69"/>
      <c r="F61" s="69"/>
      <c r="G61" s="69"/>
      <c r="H61" s="69"/>
      <c r="I61" s="69"/>
      <c r="J61" s="69"/>
    </row>
    <row r="62" spans="1:10">
      <c r="A62" s="69"/>
      <c r="B62" s="69"/>
      <c r="C62" s="69"/>
      <c r="D62" s="69"/>
      <c r="E62" s="69"/>
      <c r="F62" s="69"/>
      <c r="G62" s="69"/>
      <c r="H62" s="69"/>
      <c r="I62" s="69"/>
      <c r="J62" s="69"/>
    </row>
    <row r="63" spans="1:10">
      <c r="A63" s="69"/>
      <c r="B63" s="69"/>
      <c r="C63" s="69"/>
      <c r="D63" s="69"/>
      <c r="E63" s="69"/>
      <c r="F63" s="69"/>
      <c r="G63" s="69"/>
      <c r="H63" s="69"/>
      <c r="I63" s="69"/>
      <c r="J63" s="69"/>
    </row>
    <row r="64" spans="1:10">
      <c r="A64" s="69"/>
      <c r="B64" s="69"/>
      <c r="C64" s="69"/>
      <c r="D64" s="69"/>
      <c r="E64" s="69"/>
      <c r="F64" s="69"/>
      <c r="G64" s="69"/>
      <c r="H64" s="69"/>
      <c r="I64" s="69"/>
      <c r="J64" s="69"/>
    </row>
    <row r="65" spans="1:10">
      <c r="A65" s="69"/>
      <c r="B65" s="69"/>
      <c r="C65" s="69"/>
      <c r="D65" s="69"/>
      <c r="E65" s="69"/>
      <c r="F65" s="69"/>
      <c r="G65" s="69"/>
      <c r="H65" s="69"/>
      <c r="I65" s="69"/>
      <c r="J65" s="69"/>
    </row>
    <row r="66" spans="1:10">
      <c r="A66" s="69"/>
      <c r="B66" s="69"/>
      <c r="C66" s="69"/>
      <c r="D66" s="69"/>
      <c r="E66" s="69"/>
      <c r="F66" s="69"/>
      <c r="G66" s="69"/>
      <c r="H66" s="69"/>
      <c r="I66" s="69"/>
      <c r="J66" s="69"/>
    </row>
    <row r="67" spans="1:10">
      <c r="A67" s="69"/>
      <c r="B67" s="69"/>
      <c r="C67" s="69"/>
      <c r="D67" s="69"/>
      <c r="E67" s="69"/>
      <c r="F67" s="69"/>
      <c r="G67" s="69"/>
      <c r="H67" s="69"/>
      <c r="I67" s="69"/>
      <c r="J67" s="69"/>
    </row>
    <row r="68" spans="1:10">
      <c r="A68" s="69"/>
      <c r="B68" s="69"/>
      <c r="C68" s="69"/>
      <c r="D68" s="69"/>
      <c r="E68" s="69"/>
      <c r="F68" s="69"/>
      <c r="G68" s="69"/>
      <c r="H68" s="69"/>
      <c r="I68" s="69"/>
      <c r="J68" s="69"/>
    </row>
    <row r="69" spans="1:10">
      <c r="A69" s="69"/>
      <c r="B69" s="69"/>
      <c r="C69" s="69"/>
      <c r="D69" s="69"/>
      <c r="E69" s="69"/>
      <c r="F69" s="69"/>
      <c r="G69" s="69"/>
      <c r="H69" s="69"/>
      <c r="I69" s="69"/>
      <c r="J69" s="69"/>
    </row>
    <row r="70" spans="1:10">
      <c r="A70" s="69"/>
      <c r="B70" s="69"/>
      <c r="C70" s="69"/>
      <c r="D70" s="69"/>
      <c r="E70" s="69"/>
      <c r="F70" s="69"/>
      <c r="G70" s="69"/>
      <c r="H70" s="69"/>
      <c r="I70" s="69"/>
      <c r="J70" s="69"/>
    </row>
    <row r="71" spans="1:10">
      <c r="A71" s="69"/>
      <c r="B71" s="69"/>
      <c r="C71" s="69"/>
      <c r="D71" s="69"/>
      <c r="E71" s="69"/>
      <c r="F71" s="69"/>
      <c r="G71" s="69"/>
      <c r="H71" s="69"/>
      <c r="I71" s="69"/>
      <c r="J71" s="69"/>
    </row>
    <row r="72" spans="1:10">
      <c r="A72" s="69"/>
      <c r="B72" s="69"/>
      <c r="C72" s="69"/>
      <c r="D72" s="69"/>
      <c r="E72" s="69"/>
      <c r="F72" s="69"/>
      <c r="G72" s="69"/>
      <c r="H72" s="69"/>
      <c r="I72" s="69"/>
      <c r="J72" s="69"/>
    </row>
    <row r="73" spans="1:10">
      <c r="A73" s="69"/>
      <c r="B73" s="69"/>
      <c r="C73" s="69"/>
      <c r="D73" s="69"/>
      <c r="E73" s="69"/>
      <c r="F73" s="69"/>
      <c r="G73" s="69"/>
      <c r="H73" s="69"/>
      <c r="I73" s="69"/>
      <c r="J73" s="69"/>
    </row>
    <row r="74" spans="1:10">
      <c r="A74" s="69"/>
      <c r="B74" s="69"/>
      <c r="C74" s="69"/>
      <c r="D74" s="69"/>
      <c r="E74" s="69"/>
      <c r="F74" s="69"/>
      <c r="G74" s="69"/>
      <c r="H74" s="69"/>
      <c r="I74" s="69"/>
      <c r="J74" s="69"/>
    </row>
    <row r="75" spans="1:10">
      <c r="A75" s="69"/>
      <c r="B75" s="69"/>
      <c r="C75" s="69"/>
      <c r="D75" s="69"/>
      <c r="E75" s="69"/>
      <c r="F75" s="69"/>
      <c r="G75" s="69"/>
      <c r="H75" s="69"/>
      <c r="I75" s="69"/>
      <c r="J75" s="69"/>
    </row>
    <row r="76" spans="1:10">
      <c r="A76" s="69"/>
      <c r="B76" s="69"/>
      <c r="C76" s="69"/>
      <c r="D76" s="69"/>
      <c r="E76" s="69"/>
      <c r="F76" s="69"/>
      <c r="G76" s="69"/>
      <c r="H76" s="69"/>
      <c r="I76" s="69"/>
      <c r="J76" s="69"/>
    </row>
    <row r="77" spans="1:10">
      <c r="A77" s="69"/>
      <c r="B77" s="69"/>
      <c r="C77" s="69"/>
      <c r="D77" s="69"/>
      <c r="E77" s="69"/>
      <c r="F77" s="69"/>
      <c r="G77" s="69"/>
      <c r="H77" s="69"/>
      <c r="I77" s="69"/>
      <c r="J77" s="69"/>
    </row>
    <row r="78" spans="1:10">
      <c r="A78" s="69"/>
      <c r="B78" s="69"/>
      <c r="C78" s="69"/>
      <c r="D78" s="69"/>
      <c r="E78" s="69"/>
      <c r="F78" s="69"/>
      <c r="G78" s="69"/>
      <c r="H78" s="69"/>
      <c r="I78" s="69"/>
      <c r="J78" s="69"/>
    </row>
    <row r="79" spans="1:10">
      <c r="A79" s="69"/>
      <c r="B79" s="69"/>
      <c r="C79" s="69"/>
      <c r="D79" s="69"/>
      <c r="E79" s="69"/>
      <c r="F79" s="69"/>
      <c r="G79" s="69"/>
      <c r="H79" s="69"/>
      <c r="I79" s="69"/>
      <c r="J79" s="69"/>
    </row>
  </sheetData>
  <sheetProtection algorithmName="SHA-512" hashValue="hwDb222GTecL6QYO+t9s/xszf4/PRRlxVzGhZoLFtJcMI/RhRFXPyW5xr7pjnRU9se6vx7J7RTCLrC6cworvNQ==" saltValue="rIZ68r5oKBy9otIsy8gZ2w==" spinCount="100000" sheet="1" objects="1" scenarios="1"/>
  <mergeCells count="24">
    <mergeCell ref="E35:I35"/>
    <mergeCell ref="E36:I36"/>
    <mergeCell ref="E37:I37"/>
    <mergeCell ref="H7:I7"/>
    <mergeCell ref="B21:D21"/>
    <mergeCell ref="F21:G21"/>
    <mergeCell ref="E33:I33"/>
    <mergeCell ref="E34:I34"/>
    <mergeCell ref="B31:D31"/>
    <mergeCell ref="F31:G31"/>
    <mergeCell ref="E32:I32"/>
    <mergeCell ref="E23:I23"/>
    <mergeCell ref="E24:I24"/>
    <mergeCell ref="E25:I25"/>
    <mergeCell ref="E26:I26"/>
    <mergeCell ref="E27:I27"/>
    <mergeCell ref="E22:I22"/>
    <mergeCell ref="B7:C7"/>
    <mergeCell ref="B2:I2"/>
    <mergeCell ref="F4:G4"/>
    <mergeCell ref="H4:I4"/>
    <mergeCell ref="F5:G5"/>
    <mergeCell ref="H5:I5"/>
    <mergeCell ref="B4:C5"/>
  </mergeCells>
  <phoneticPr fontId="10" type="noConversion"/>
  <conditionalFormatting sqref="F5:I5">
    <cfRule type="cellIs" dxfId="10" priority="2" stopIfTrue="1" operator="equal">
      <formula>0</formula>
    </cfRule>
  </conditionalFormatting>
  <conditionalFormatting sqref="H7:I7">
    <cfRule type="cellIs" dxfId="9" priority="3" stopIfTrue="1" operator="equal">
      <formula>0</formula>
    </cfRule>
  </conditionalFormatting>
  <conditionalFormatting sqref="B34:D37">
    <cfRule type="cellIs" dxfId="8" priority="1" stopIfTrue="1" operator="equal">
      <formula>0</formula>
    </cfRule>
  </conditionalFormatting>
  <printOptions horizontalCentered="1" verticalCentered="1"/>
  <pageMargins left="0.39374999999999999" right="0.39374999999999999" top="0.19652777777777777" bottom="0.19652777777777777" header="0.51180555555555551" footer="0.51180555555555551"/>
  <pageSetup paperSize="9" scale="68" firstPageNumber="0" orientation="landscape" horizontalDpi="300" verticalDpi="300"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pageSetUpPr fitToPage="1"/>
  </sheetPr>
  <dimension ref="A1:J79"/>
  <sheetViews>
    <sheetView topLeftCell="A4" zoomScaleNormal="100" workbookViewId="0">
      <selection activeCell="B23" sqref="B23:I27"/>
    </sheetView>
  </sheetViews>
  <sheetFormatPr defaultColWidth="11.5703125" defaultRowHeight="12.75"/>
  <cols>
    <col min="1" max="1" width="2.5703125" style="10" customWidth="1"/>
    <col min="2" max="2" width="16.42578125" style="10" customWidth="1"/>
    <col min="3" max="3" width="15.42578125" style="10" customWidth="1"/>
    <col min="4" max="4" width="13.42578125" style="10" customWidth="1"/>
    <col min="5" max="5" width="15.42578125" style="10" customWidth="1"/>
    <col min="6" max="6" width="15" style="10" customWidth="1"/>
    <col min="7" max="7" width="16.140625" style="10" customWidth="1"/>
    <col min="8" max="8" width="14.140625" style="10" customWidth="1"/>
    <col min="9" max="9" width="14" style="10" customWidth="1"/>
    <col min="10" max="10" width="2.5703125" style="10" customWidth="1"/>
    <col min="11" max="16384" width="11.5703125" style="10"/>
  </cols>
  <sheetData>
    <row r="1" spans="1:10" ht="6.2" customHeight="1">
      <c r="A1" s="281"/>
      <c r="B1" s="282"/>
      <c r="C1" s="282"/>
      <c r="D1" s="282"/>
      <c r="E1" s="282"/>
      <c r="F1" s="282"/>
      <c r="G1" s="282"/>
      <c r="H1" s="282"/>
      <c r="I1" s="282"/>
      <c r="J1" s="283"/>
    </row>
    <row r="2" spans="1:10" ht="20.25" customHeight="1">
      <c r="A2" s="284"/>
      <c r="B2" s="503" t="s">
        <v>167</v>
      </c>
      <c r="C2" s="503"/>
      <c r="D2" s="503"/>
      <c r="E2" s="503"/>
      <c r="F2" s="503"/>
      <c r="G2" s="503"/>
      <c r="H2" s="503"/>
      <c r="I2" s="503"/>
      <c r="J2" s="285"/>
    </row>
    <row r="3" spans="1:10" ht="6.2" customHeight="1">
      <c r="A3" s="284"/>
      <c r="B3" s="375"/>
      <c r="C3" s="375"/>
      <c r="D3" s="375"/>
      <c r="E3" s="375"/>
      <c r="F3" s="375"/>
      <c r="G3" s="375"/>
      <c r="H3" s="375"/>
      <c r="I3" s="375"/>
      <c r="J3" s="285"/>
    </row>
    <row r="4" spans="1:10" ht="12.75" customHeight="1">
      <c r="A4" s="286"/>
      <c r="B4" s="504" t="str">
        <f>'Store Details'!D2</f>
        <v>Auburn</v>
      </c>
      <c r="C4" s="504"/>
      <c r="D4" s="287"/>
      <c r="E4" s="288"/>
      <c r="F4" s="491" t="s">
        <v>168</v>
      </c>
      <c r="G4" s="491"/>
      <c r="H4" s="505" t="s">
        <v>50</v>
      </c>
      <c r="I4" s="505"/>
      <c r="J4" s="285"/>
    </row>
    <row r="5" spans="1:10" ht="14.25" customHeight="1">
      <c r="A5" s="286"/>
      <c r="B5" s="504"/>
      <c r="C5" s="504"/>
      <c r="D5" s="289"/>
      <c r="E5" s="289"/>
      <c r="F5" s="506">
        <f>'Store Details'!C$15</f>
        <v>0</v>
      </c>
      <c r="G5" s="506"/>
      <c r="H5" s="502">
        <f>'Store Details'!C$16</f>
        <v>0</v>
      </c>
      <c r="I5" s="502"/>
      <c r="J5" s="285"/>
    </row>
    <row r="6" spans="1:10" ht="6.2" customHeight="1">
      <c r="A6" s="286"/>
      <c r="B6" s="61"/>
      <c r="C6" s="61"/>
      <c r="D6" s="61"/>
      <c r="E6" s="61"/>
      <c r="F6" s="61"/>
      <c r="G6" s="61"/>
      <c r="H6" s="61"/>
      <c r="I6" s="61"/>
      <c r="J6" s="285"/>
    </row>
    <row r="7" spans="1:10" ht="15" customHeight="1">
      <c r="A7" s="286"/>
      <c r="B7" s="491" t="s">
        <v>164</v>
      </c>
      <c r="C7" s="491"/>
      <c r="D7" s="290">
        <f>'Daily &amp; Weekly Totals'!E41</f>
        <v>43947</v>
      </c>
      <c r="E7" s="61"/>
      <c r="F7" s="61"/>
      <c r="G7" s="61"/>
      <c r="H7" s="502">
        <f>'Store Details'!C$17</f>
        <v>0</v>
      </c>
      <c r="I7" s="502"/>
      <c r="J7" s="285"/>
    </row>
    <row r="8" spans="1:10" ht="6.75" customHeight="1">
      <c r="A8" s="286"/>
      <c r="B8" s="291"/>
      <c r="C8" s="347"/>
      <c r="D8" s="347"/>
      <c r="E8" s="61"/>
      <c r="F8" s="61"/>
      <c r="G8" s="61"/>
      <c r="H8" s="61"/>
      <c r="I8" s="61"/>
      <c r="J8" s="285"/>
    </row>
    <row r="9" spans="1:10" ht="6.75" customHeight="1">
      <c r="A9" s="286"/>
      <c r="B9" s="291"/>
      <c r="C9" s="363"/>
      <c r="D9" s="363"/>
      <c r="E9" s="61"/>
      <c r="F9" s="61"/>
      <c r="G9" s="61"/>
      <c r="H9" s="61"/>
      <c r="I9" s="61"/>
      <c r="J9" s="285"/>
    </row>
    <row r="10" spans="1:10" ht="16.7" customHeight="1">
      <c r="A10" s="286"/>
      <c r="B10" s="61"/>
      <c r="C10" s="61"/>
      <c r="D10" s="61"/>
      <c r="E10" s="61"/>
      <c r="F10" s="61"/>
      <c r="G10" s="61"/>
      <c r="H10" s="61"/>
      <c r="I10" s="61"/>
      <c r="J10" s="285"/>
    </row>
    <row r="11" spans="1:10" ht="15.75" customHeight="1">
      <c r="A11" s="286"/>
      <c r="B11" s="376"/>
      <c r="C11" s="376" t="s">
        <v>71</v>
      </c>
      <c r="D11" s="292" t="s">
        <v>19</v>
      </c>
      <c r="E11" s="376" t="s">
        <v>169</v>
      </c>
      <c r="F11" s="376" t="s">
        <v>170</v>
      </c>
      <c r="G11" s="292" t="s">
        <v>62</v>
      </c>
      <c r="H11" s="358" t="s">
        <v>122</v>
      </c>
      <c r="I11" s="61"/>
      <c r="J11" s="285"/>
    </row>
    <row r="12" spans="1:10" ht="15.75" customHeight="1">
      <c r="A12" s="286"/>
      <c r="B12" s="348" t="s">
        <v>171</v>
      </c>
      <c r="C12" s="349">
        <f>'Store Details'!K18</f>
        <v>0</v>
      </c>
      <c r="D12" s="349">
        <f>'Store Details'!Q18</f>
        <v>0</v>
      </c>
      <c r="E12" s="349" t="e">
        <f>C12/'Store Details'!I18</f>
        <v>#DIV/0!</v>
      </c>
      <c r="F12" s="350" t="e">
        <f>'Store Details'!J18/'Store Details'!I18</f>
        <v>#DIV/0!</v>
      </c>
      <c r="G12" s="378">
        <f>'Store Details'!L18</f>
        <v>0</v>
      </c>
      <c r="H12" s="366" t="e">
        <f>'Store Details'!I18/G12</f>
        <v>#DIV/0!</v>
      </c>
      <c r="I12" s="61"/>
      <c r="J12" s="359"/>
    </row>
    <row r="13" spans="1:10" ht="15.75" customHeight="1">
      <c r="A13" s="286"/>
      <c r="B13" s="376" t="s">
        <v>172</v>
      </c>
      <c r="C13" s="351">
        <f>'Daily &amp; Weekly Totals'!G42</f>
        <v>0</v>
      </c>
      <c r="D13" s="351">
        <f>C13</f>
        <v>0</v>
      </c>
      <c r="E13" s="349">
        <f>IF(C13=0,0,'Daily &amp; Weekly Totals'!O42)</f>
        <v>0</v>
      </c>
      <c r="F13" s="352">
        <f>IF(C13=0,0,'Daily &amp; Weekly Totals'!R42)</f>
        <v>0</v>
      </c>
      <c r="G13" s="365">
        <f>'Daily &amp; Weekly Totals'!L42</f>
        <v>0</v>
      </c>
      <c r="H13" s="367">
        <f>IF(G13=0,0,'Daily &amp; Weekly Totals'!I42/G13)</f>
        <v>0</v>
      </c>
      <c r="I13" s="61"/>
      <c r="J13" s="359"/>
    </row>
    <row r="14" spans="1:10" ht="15.75" customHeight="1">
      <c r="A14" s="286"/>
      <c r="B14" s="376" t="s">
        <v>173</v>
      </c>
      <c r="C14" s="353">
        <f>C13-C12</f>
        <v>0</v>
      </c>
      <c r="D14" s="353">
        <f>D13-D12</f>
        <v>0</v>
      </c>
      <c r="E14" s="354" t="e">
        <f>E13-E12</f>
        <v>#DIV/0!</v>
      </c>
      <c r="F14" s="355" t="e">
        <f>F13-F12</f>
        <v>#DIV/0!</v>
      </c>
      <c r="G14" s="364">
        <f>G13-G12</f>
        <v>0</v>
      </c>
      <c r="H14" s="356"/>
      <c r="I14" s="61"/>
      <c r="J14" s="359"/>
    </row>
    <row r="15" spans="1:10" ht="15.75" customHeight="1">
      <c r="A15" s="286"/>
      <c r="B15" s="357" t="s">
        <v>174</v>
      </c>
      <c r="C15" s="368" t="e">
        <f>(C13/C12)-1</f>
        <v>#DIV/0!</v>
      </c>
      <c r="D15" s="368" t="e">
        <f>(D13/D12)-1</f>
        <v>#DIV/0!</v>
      </c>
      <c r="E15" s="369" t="e">
        <f>(E13/E12)-1</f>
        <v>#DIV/0!</v>
      </c>
      <c r="F15" s="368" t="e">
        <f>(F13/F12)-1</f>
        <v>#DIV/0!</v>
      </c>
      <c r="G15" s="368" t="e">
        <f>(G13/G12)-1</f>
        <v>#DIV/0!</v>
      </c>
      <c r="H15" s="370"/>
      <c r="I15" s="61"/>
      <c r="J15" s="359"/>
    </row>
    <row r="16" spans="1:10" ht="15.75" customHeight="1">
      <c r="A16" s="286"/>
      <c r="B16" s="61"/>
      <c r="C16" s="61"/>
      <c r="D16" s="61"/>
      <c r="E16" s="61"/>
      <c r="F16" s="61"/>
      <c r="G16" s="61"/>
      <c r="H16" s="61"/>
      <c r="I16" s="61"/>
      <c r="J16" s="359"/>
    </row>
    <row r="17" spans="1:10" ht="15.75" customHeight="1">
      <c r="A17" s="286"/>
      <c r="B17" s="61"/>
      <c r="C17" s="61"/>
      <c r="D17" s="61"/>
      <c r="E17" s="61"/>
      <c r="F17" s="61"/>
      <c r="G17" s="61"/>
      <c r="H17" s="61"/>
      <c r="I17" s="61"/>
      <c r="J17" s="359"/>
    </row>
    <row r="18" spans="1:10" ht="15.75" customHeight="1">
      <c r="A18" s="286"/>
      <c r="B18" s="61"/>
      <c r="C18" s="61"/>
      <c r="D18" s="61"/>
      <c r="E18" s="61"/>
      <c r="F18" s="61"/>
      <c r="G18" s="61"/>
      <c r="H18" s="61"/>
      <c r="I18" s="61"/>
      <c r="J18" s="359"/>
    </row>
    <row r="19" spans="1:10" ht="15.75" customHeight="1">
      <c r="A19" s="286"/>
      <c r="B19" s="61"/>
      <c r="C19" s="61"/>
      <c r="D19" s="61"/>
      <c r="E19" s="61"/>
      <c r="F19" s="61"/>
      <c r="G19" s="61"/>
      <c r="H19" s="61"/>
      <c r="I19" s="61"/>
      <c r="J19" s="359"/>
    </row>
    <row r="20" spans="1:10" ht="8.65" customHeight="1">
      <c r="A20" s="286"/>
      <c r="B20" s="61"/>
      <c r="C20" s="61"/>
      <c r="D20" s="61"/>
      <c r="E20" s="61"/>
      <c r="F20" s="61"/>
      <c r="G20" s="61"/>
      <c r="H20" s="61"/>
      <c r="I20" s="61"/>
      <c r="J20" s="285"/>
    </row>
    <row r="21" spans="1:10" ht="15" customHeight="1">
      <c r="A21" s="286"/>
      <c r="B21" s="491" t="s">
        <v>175</v>
      </c>
      <c r="C21" s="491"/>
      <c r="D21" s="491"/>
      <c r="E21" s="61"/>
      <c r="F21" s="493" t="s">
        <v>176</v>
      </c>
      <c r="G21" s="494"/>
      <c r="H21" s="300">
        <f>SUM(D23:D28)</f>
        <v>0</v>
      </c>
      <c r="I21" s="61"/>
      <c r="J21" s="285"/>
    </row>
    <row r="22" spans="1:10" ht="15" customHeight="1">
      <c r="A22" s="286"/>
      <c r="B22" s="376" t="s">
        <v>177</v>
      </c>
      <c r="C22" s="376" t="s">
        <v>178</v>
      </c>
      <c r="D22" s="292" t="s">
        <v>179</v>
      </c>
      <c r="E22" s="492" t="s">
        <v>180</v>
      </c>
      <c r="F22" s="492"/>
      <c r="G22" s="492"/>
      <c r="H22" s="492"/>
      <c r="I22" s="492"/>
      <c r="J22" s="285"/>
    </row>
    <row r="23" spans="1:10">
      <c r="A23" s="286"/>
      <c r="B23" s="295"/>
      <c r="C23" s="296"/>
      <c r="D23" s="297"/>
      <c r="E23" s="488"/>
      <c r="F23" s="489"/>
      <c r="G23" s="489"/>
      <c r="H23" s="489"/>
      <c r="I23" s="490"/>
      <c r="J23" s="285"/>
    </row>
    <row r="24" spans="1:10">
      <c r="A24" s="286"/>
      <c r="B24" s="295"/>
      <c r="C24" s="298"/>
      <c r="D24" s="299"/>
      <c r="E24" s="488"/>
      <c r="F24" s="489"/>
      <c r="G24" s="489"/>
      <c r="H24" s="489"/>
      <c r="I24" s="490"/>
      <c r="J24" s="285"/>
    </row>
    <row r="25" spans="1:10">
      <c r="A25" s="286"/>
      <c r="B25" s="295"/>
      <c r="C25" s="298"/>
      <c r="D25" s="299"/>
      <c r="E25" s="488"/>
      <c r="F25" s="489"/>
      <c r="G25" s="489"/>
      <c r="H25" s="489"/>
      <c r="I25" s="490"/>
      <c r="J25" s="285"/>
    </row>
    <row r="26" spans="1:10">
      <c r="A26" s="286"/>
      <c r="B26" s="295"/>
      <c r="C26" s="298"/>
      <c r="D26" s="299"/>
      <c r="E26" s="488"/>
      <c r="F26" s="489"/>
      <c r="G26" s="489"/>
      <c r="H26" s="489"/>
      <c r="I26" s="490"/>
      <c r="J26" s="285"/>
    </row>
    <row r="27" spans="1:10">
      <c r="A27" s="286"/>
      <c r="B27" s="360"/>
      <c r="C27" s="361"/>
      <c r="D27" s="362"/>
      <c r="E27" s="488"/>
      <c r="F27" s="489"/>
      <c r="G27" s="489"/>
      <c r="H27" s="489"/>
      <c r="I27" s="490"/>
      <c r="J27" s="285"/>
    </row>
    <row r="28" spans="1:10">
      <c r="A28" s="286"/>
      <c r="B28" s="61"/>
      <c r="C28" s="61"/>
      <c r="D28" s="61"/>
      <c r="E28" s="61"/>
      <c r="F28" s="61"/>
      <c r="G28" s="61"/>
      <c r="H28" s="61"/>
      <c r="I28" s="61"/>
      <c r="J28" s="285"/>
    </row>
    <row r="29" spans="1:10">
      <c r="A29" s="286"/>
      <c r="B29" s="61"/>
      <c r="C29" s="61"/>
      <c r="D29" s="61"/>
      <c r="E29" s="61"/>
      <c r="F29" s="61"/>
      <c r="G29" s="61"/>
      <c r="H29" s="61"/>
      <c r="I29" s="61"/>
      <c r="J29" s="285"/>
    </row>
    <row r="30" spans="1:10">
      <c r="A30" s="286"/>
      <c r="B30" s="61"/>
      <c r="C30" s="61"/>
      <c r="D30" s="61"/>
      <c r="E30" s="61"/>
      <c r="F30" s="61"/>
      <c r="G30" s="61"/>
      <c r="H30" s="61"/>
      <c r="I30" s="61"/>
      <c r="J30" s="285"/>
    </row>
    <row r="31" spans="1:10" ht="15" customHeight="1">
      <c r="A31" s="286"/>
      <c r="B31" s="495" t="s">
        <v>181</v>
      </c>
      <c r="C31" s="495"/>
      <c r="D31" s="495"/>
      <c r="E31" s="61"/>
      <c r="F31" s="493" t="s">
        <v>182</v>
      </c>
      <c r="G31" s="493"/>
      <c r="H31" s="300">
        <f>SUM(D33:D42)</f>
        <v>0</v>
      </c>
      <c r="I31" s="61"/>
      <c r="J31" s="285"/>
    </row>
    <row r="32" spans="1:10" ht="15" customHeight="1">
      <c r="A32" s="286"/>
      <c r="B32" s="376" t="s">
        <v>177</v>
      </c>
      <c r="C32" s="376" t="s">
        <v>178</v>
      </c>
      <c r="D32" s="292" t="s">
        <v>179</v>
      </c>
      <c r="E32" s="492" t="s">
        <v>180</v>
      </c>
      <c r="F32" s="492"/>
      <c r="G32" s="492"/>
      <c r="H32" s="492"/>
      <c r="I32" s="492"/>
      <c r="J32" s="285"/>
    </row>
    <row r="33" spans="1:10" ht="12.4" customHeight="1">
      <c r="A33" s="286"/>
      <c r="B33" s="295"/>
      <c r="C33" s="298"/>
      <c r="D33" s="299"/>
      <c r="E33" s="488"/>
      <c r="F33" s="489"/>
      <c r="G33" s="489"/>
      <c r="H33" s="489"/>
      <c r="I33" s="490"/>
      <c r="J33" s="285"/>
    </row>
    <row r="34" spans="1:10">
      <c r="A34" s="286"/>
      <c r="B34" s="295"/>
      <c r="C34" s="298"/>
      <c r="D34" s="299"/>
      <c r="E34" s="488"/>
      <c r="F34" s="489"/>
      <c r="G34" s="489"/>
      <c r="H34" s="489"/>
      <c r="I34" s="490"/>
      <c r="J34" s="285"/>
    </row>
    <row r="35" spans="1:10">
      <c r="A35" s="286"/>
      <c r="B35" s="295"/>
      <c r="C35" s="298"/>
      <c r="D35" s="299"/>
      <c r="E35" s="488"/>
      <c r="F35" s="489"/>
      <c r="G35" s="489"/>
      <c r="H35" s="489"/>
      <c r="I35" s="490"/>
      <c r="J35" s="285"/>
    </row>
    <row r="36" spans="1:10">
      <c r="A36" s="286"/>
      <c r="B36" s="295"/>
      <c r="C36" s="298"/>
      <c r="D36" s="299"/>
      <c r="E36" s="488"/>
      <c r="F36" s="489"/>
      <c r="G36" s="489"/>
      <c r="H36" s="489"/>
      <c r="I36" s="490"/>
      <c r="J36" s="285"/>
    </row>
    <row r="37" spans="1:10">
      <c r="A37" s="286"/>
      <c r="B37" s="360"/>
      <c r="C37" s="361"/>
      <c r="D37" s="362"/>
      <c r="E37" s="496"/>
      <c r="F37" s="497"/>
      <c r="G37" s="497"/>
      <c r="H37" s="497"/>
      <c r="I37" s="498"/>
      <c r="J37" s="285"/>
    </row>
    <row r="38" spans="1:10">
      <c r="A38" s="286"/>
      <c r="B38" s="61"/>
      <c r="C38" s="61"/>
      <c r="D38" s="61"/>
      <c r="E38" s="61"/>
      <c r="F38" s="61"/>
      <c r="G38" s="61"/>
      <c r="H38" s="61"/>
      <c r="I38" s="61"/>
      <c r="J38" s="285"/>
    </row>
    <row r="39" spans="1:10">
      <c r="A39" s="286"/>
      <c r="B39" s="61"/>
      <c r="C39" s="61"/>
      <c r="D39" s="61"/>
      <c r="E39" s="61"/>
      <c r="F39" s="61"/>
      <c r="G39" s="61"/>
      <c r="H39" s="61"/>
      <c r="I39" s="61"/>
      <c r="J39" s="285"/>
    </row>
    <row r="40" spans="1:10">
      <c r="A40" s="286"/>
      <c r="B40" s="61"/>
      <c r="C40" s="61"/>
      <c r="D40" s="61"/>
      <c r="E40" s="61"/>
      <c r="F40" s="61"/>
      <c r="G40" s="61"/>
      <c r="H40" s="61"/>
      <c r="I40" s="61"/>
      <c r="J40" s="285"/>
    </row>
    <row r="41" spans="1:10">
      <c r="A41" s="286"/>
      <c r="B41" s="61"/>
      <c r="C41" s="61"/>
      <c r="D41" s="61"/>
      <c r="E41" s="61"/>
      <c r="F41" s="61"/>
      <c r="G41" s="61"/>
      <c r="H41" s="61"/>
      <c r="I41" s="61"/>
      <c r="J41" s="285"/>
    </row>
    <row r="42" spans="1:10">
      <c r="A42" s="286"/>
      <c r="B42" s="61"/>
      <c r="C42" s="61"/>
      <c r="D42" s="61"/>
      <c r="E42" s="61"/>
      <c r="F42" s="61"/>
      <c r="G42" s="61"/>
      <c r="H42" s="61"/>
      <c r="I42" s="61"/>
      <c r="J42" s="285"/>
    </row>
    <row r="43" spans="1:10">
      <c r="A43" s="293"/>
      <c r="B43" s="61"/>
      <c r="C43" s="61"/>
      <c r="D43" s="61"/>
      <c r="E43" s="61"/>
      <c r="F43" s="61"/>
      <c r="G43" s="61"/>
      <c r="H43" s="61"/>
      <c r="I43" s="61"/>
      <c r="J43" s="294"/>
    </row>
    <row r="44" spans="1:10">
      <c r="A44" s="69"/>
      <c r="B44" s="69"/>
      <c r="C44" s="69"/>
      <c r="D44" s="69"/>
      <c r="E44" s="69"/>
      <c r="F44" s="69"/>
      <c r="G44" s="69"/>
      <c r="H44" s="69"/>
      <c r="I44" s="69"/>
      <c r="J44" s="69"/>
    </row>
    <row r="45" spans="1:10">
      <c r="A45" s="69"/>
      <c r="B45" s="69"/>
      <c r="C45" s="69"/>
      <c r="D45" s="69"/>
      <c r="E45" s="69"/>
      <c r="F45" s="69"/>
      <c r="G45" s="69"/>
      <c r="H45" s="69"/>
      <c r="I45" s="69"/>
      <c r="J45" s="69"/>
    </row>
    <row r="46" spans="1:10">
      <c r="A46" s="69"/>
      <c r="B46" s="69"/>
      <c r="C46" s="69"/>
      <c r="D46" s="69"/>
      <c r="E46" s="69"/>
      <c r="F46" s="69"/>
      <c r="G46" s="69"/>
      <c r="H46" s="69"/>
      <c r="I46" s="69"/>
      <c r="J46" s="69"/>
    </row>
    <row r="47" spans="1:10">
      <c r="A47" s="69"/>
      <c r="B47" s="69"/>
      <c r="C47" s="69"/>
      <c r="D47" s="69"/>
      <c r="E47" s="69"/>
      <c r="F47" s="69"/>
      <c r="G47" s="69"/>
      <c r="H47" s="69"/>
      <c r="I47" s="69"/>
      <c r="J47" s="69"/>
    </row>
    <row r="48" spans="1:10">
      <c r="A48" s="69"/>
      <c r="B48" s="69"/>
      <c r="C48" s="69"/>
      <c r="D48" s="69"/>
      <c r="E48" s="69"/>
      <c r="F48" s="69"/>
      <c r="G48" s="69"/>
      <c r="H48" s="69"/>
      <c r="I48" s="69"/>
      <c r="J48" s="69"/>
    </row>
    <row r="49" spans="1:10">
      <c r="A49" s="69"/>
      <c r="B49" s="69"/>
      <c r="C49" s="69"/>
      <c r="D49" s="69"/>
      <c r="E49" s="69"/>
      <c r="F49" s="69"/>
      <c r="G49" s="69"/>
      <c r="H49" s="69"/>
      <c r="I49" s="69"/>
      <c r="J49" s="69"/>
    </row>
    <row r="50" spans="1:10">
      <c r="A50" s="69"/>
      <c r="B50" s="69"/>
      <c r="C50" s="69"/>
      <c r="D50" s="69"/>
      <c r="E50" s="69"/>
      <c r="F50" s="69"/>
      <c r="G50" s="69"/>
      <c r="H50" s="69"/>
      <c r="I50" s="69"/>
      <c r="J50" s="69"/>
    </row>
    <row r="51" spans="1:10">
      <c r="A51" s="69"/>
      <c r="B51" s="69"/>
      <c r="C51" s="69"/>
      <c r="D51" s="69"/>
      <c r="E51" s="69"/>
      <c r="F51" s="69"/>
      <c r="G51" s="69"/>
      <c r="H51" s="69"/>
      <c r="I51" s="69"/>
      <c r="J51" s="69"/>
    </row>
    <row r="52" spans="1:10">
      <c r="A52" s="69"/>
      <c r="B52" s="69"/>
      <c r="C52" s="69"/>
      <c r="D52" s="69"/>
      <c r="E52" s="69"/>
      <c r="F52" s="69"/>
      <c r="G52" s="69"/>
      <c r="H52" s="69"/>
      <c r="I52" s="69"/>
      <c r="J52" s="69"/>
    </row>
    <row r="53" spans="1:10">
      <c r="A53" s="69"/>
      <c r="B53" s="69"/>
      <c r="C53" s="69"/>
      <c r="D53" s="69"/>
      <c r="E53" s="69"/>
      <c r="F53" s="69"/>
      <c r="G53" s="69"/>
      <c r="H53" s="69"/>
      <c r="I53" s="69"/>
      <c r="J53" s="69"/>
    </row>
    <row r="54" spans="1:10">
      <c r="A54" s="69"/>
      <c r="B54" s="69"/>
      <c r="C54" s="69"/>
      <c r="D54" s="69"/>
      <c r="E54" s="69"/>
      <c r="F54" s="69"/>
      <c r="G54" s="69"/>
      <c r="H54" s="69"/>
      <c r="I54" s="69"/>
      <c r="J54" s="69"/>
    </row>
    <row r="55" spans="1:10">
      <c r="A55" s="69"/>
      <c r="B55" s="69"/>
      <c r="C55" s="69"/>
      <c r="D55" s="69"/>
      <c r="E55" s="69"/>
      <c r="F55" s="69"/>
      <c r="G55" s="69"/>
      <c r="H55" s="69"/>
      <c r="I55" s="69"/>
      <c r="J55" s="69"/>
    </row>
    <row r="56" spans="1:10">
      <c r="A56" s="69"/>
      <c r="B56" s="69"/>
      <c r="C56" s="69"/>
      <c r="D56" s="69"/>
      <c r="E56" s="69"/>
      <c r="F56" s="69"/>
      <c r="G56" s="69"/>
      <c r="H56" s="69"/>
      <c r="I56" s="69"/>
      <c r="J56" s="69"/>
    </row>
    <row r="57" spans="1:10">
      <c r="A57" s="69"/>
      <c r="B57" s="69"/>
      <c r="C57" s="69"/>
      <c r="D57" s="69"/>
      <c r="E57" s="69"/>
      <c r="F57" s="69"/>
      <c r="G57" s="69"/>
      <c r="H57" s="69"/>
      <c r="I57" s="69"/>
      <c r="J57" s="69"/>
    </row>
    <row r="58" spans="1:10">
      <c r="A58" s="69"/>
      <c r="B58" s="69"/>
      <c r="C58" s="69"/>
      <c r="D58" s="69"/>
      <c r="E58" s="69"/>
      <c r="F58" s="69"/>
      <c r="G58" s="69"/>
      <c r="H58" s="69"/>
      <c r="I58" s="69"/>
      <c r="J58" s="69"/>
    </row>
    <row r="59" spans="1:10">
      <c r="A59" s="69"/>
      <c r="B59" s="69"/>
      <c r="C59" s="69"/>
      <c r="D59" s="69"/>
      <c r="E59" s="69"/>
      <c r="F59" s="69"/>
      <c r="G59" s="69"/>
      <c r="H59" s="69"/>
      <c r="I59" s="69"/>
      <c r="J59" s="69"/>
    </row>
    <row r="60" spans="1:10">
      <c r="A60" s="69"/>
      <c r="B60" s="69"/>
      <c r="C60" s="69"/>
      <c r="D60" s="69"/>
      <c r="E60" s="69"/>
      <c r="F60" s="69"/>
      <c r="G60" s="69"/>
      <c r="H60" s="69"/>
      <c r="I60" s="69"/>
      <c r="J60" s="69"/>
    </row>
    <row r="61" spans="1:10">
      <c r="A61" s="69"/>
      <c r="B61" s="69"/>
      <c r="C61" s="69"/>
      <c r="D61" s="69"/>
      <c r="E61" s="69"/>
      <c r="F61" s="69"/>
      <c r="G61" s="69"/>
      <c r="H61" s="69"/>
      <c r="I61" s="69"/>
      <c r="J61" s="69"/>
    </row>
    <row r="62" spans="1:10">
      <c r="A62" s="69"/>
      <c r="B62" s="69"/>
      <c r="C62" s="69"/>
      <c r="D62" s="69"/>
      <c r="E62" s="69"/>
      <c r="F62" s="69"/>
      <c r="G62" s="69"/>
      <c r="H62" s="69"/>
      <c r="I62" s="69"/>
      <c r="J62" s="69"/>
    </row>
    <row r="63" spans="1:10">
      <c r="A63" s="69"/>
      <c r="B63" s="69"/>
      <c r="C63" s="69"/>
      <c r="D63" s="69"/>
      <c r="E63" s="69"/>
      <c r="F63" s="69"/>
      <c r="G63" s="69"/>
      <c r="H63" s="69"/>
      <c r="I63" s="69"/>
      <c r="J63" s="69"/>
    </row>
    <row r="64" spans="1:10">
      <c r="A64" s="69"/>
      <c r="B64" s="69"/>
      <c r="C64" s="69"/>
      <c r="D64" s="69"/>
      <c r="E64" s="69"/>
      <c r="F64" s="69"/>
      <c r="G64" s="69"/>
      <c r="H64" s="69"/>
      <c r="I64" s="69"/>
      <c r="J64" s="69"/>
    </row>
    <row r="65" spans="1:10">
      <c r="A65" s="69"/>
      <c r="B65" s="69"/>
      <c r="C65" s="69"/>
      <c r="D65" s="69"/>
      <c r="E65" s="69"/>
      <c r="F65" s="69"/>
      <c r="G65" s="69"/>
      <c r="H65" s="69"/>
      <c r="I65" s="69"/>
      <c r="J65" s="69"/>
    </row>
    <row r="66" spans="1:10">
      <c r="A66" s="69"/>
      <c r="B66" s="69"/>
      <c r="C66" s="69"/>
      <c r="D66" s="69"/>
      <c r="E66" s="69"/>
      <c r="F66" s="69"/>
      <c r="G66" s="69"/>
      <c r="H66" s="69"/>
      <c r="I66" s="69"/>
      <c r="J66" s="69"/>
    </row>
    <row r="67" spans="1:10">
      <c r="A67" s="69"/>
      <c r="B67" s="69"/>
      <c r="C67" s="69"/>
      <c r="D67" s="69"/>
      <c r="E67" s="69"/>
      <c r="F67" s="69"/>
      <c r="G67" s="69"/>
      <c r="H67" s="69"/>
      <c r="I67" s="69"/>
      <c r="J67" s="69"/>
    </row>
    <row r="68" spans="1:10">
      <c r="A68" s="69"/>
      <c r="B68" s="69"/>
      <c r="C68" s="69"/>
      <c r="D68" s="69"/>
      <c r="E68" s="69"/>
      <c r="F68" s="69"/>
      <c r="G68" s="69"/>
      <c r="H68" s="69"/>
      <c r="I68" s="69"/>
      <c r="J68" s="69"/>
    </row>
    <row r="69" spans="1:10">
      <c r="A69" s="69"/>
      <c r="B69" s="69"/>
      <c r="C69" s="69"/>
      <c r="D69" s="69"/>
      <c r="E69" s="69"/>
      <c r="F69" s="69"/>
      <c r="G69" s="69"/>
      <c r="H69" s="69"/>
      <c r="I69" s="69"/>
      <c r="J69" s="69"/>
    </row>
    <row r="70" spans="1:10">
      <c r="A70" s="69"/>
      <c r="B70" s="69"/>
      <c r="C70" s="69"/>
      <c r="D70" s="69"/>
      <c r="E70" s="69"/>
      <c r="F70" s="69"/>
      <c r="G70" s="69"/>
      <c r="H70" s="69"/>
      <c r="I70" s="69"/>
      <c r="J70" s="69"/>
    </row>
    <row r="71" spans="1:10">
      <c r="A71" s="69"/>
      <c r="B71" s="69"/>
      <c r="C71" s="69"/>
      <c r="D71" s="69"/>
      <c r="E71" s="69"/>
      <c r="F71" s="69"/>
      <c r="G71" s="69"/>
      <c r="H71" s="69"/>
      <c r="I71" s="69"/>
      <c r="J71" s="69"/>
    </row>
    <row r="72" spans="1:10">
      <c r="A72" s="69"/>
      <c r="B72" s="69"/>
      <c r="C72" s="69"/>
      <c r="D72" s="69"/>
      <c r="E72" s="69"/>
      <c r="F72" s="69"/>
      <c r="G72" s="69"/>
      <c r="H72" s="69"/>
      <c r="I72" s="69"/>
      <c r="J72" s="69"/>
    </row>
    <row r="73" spans="1:10">
      <c r="A73" s="69"/>
      <c r="B73" s="69"/>
      <c r="C73" s="69"/>
      <c r="D73" s="69"/>
      <c r="E73" s="69"/>
      <c r="F73" s="69"/>
      <c r="G73" s="69"/>
      <c r="H73" s="69"/>
      <c r="I73" s="69"/>
      <c r="J73" s="69"/>
    </row>
    <row r="74" spans="1:10">
      <c r="A74" s="69"/>
      <c r="B74" s="69"/>
      <c r="C74" s="69"/>
      <c r="D74" s="69"/>
      <c r="E74" s="69"/>
      <c r="F74" s="69"/>
      <c r="G74" s="69"/>
      <c r="H74" s="69"/>
      <c r="I74" s="69"/>
      <c r="J74" s="69"/>
    </row>
    <row r="75" spans="1:10">
      <c r="A75" s="69"/>
      <c r="B75" s="69"/>
      <c r="C75" s="69"/>
      <c r="D75" s="69"/>
      <c r="E75" s="69"/>
      <c r="F75" s="69"/>
      <c r="G75" s="69"/>
      <c r="H75" s="69"/>
      <c r="I75" s="69"/>
      <c r="J75" s="69"/>
    </row>
    <row r="76" spans="1:10">
      <c r="A76" s="69"/>
      <c r="B76" s="69"/>
      <c r="C76" s="69"/>
      <c r="D76" s="69"/>
      <c r="E76" s="69"/>
      <c r="F76" s="69"/>
      <c r="G76" s="69"/>
      <c r="H76" s="69"/>
      <c r="I76" s="69"/>
      <c r="J76" s="69"/>
    </row>
    <row r="77" spans="1:10">
      <c r="A77" s="69"/>
      <c r="B77" s="69"/>
      <c r="C77" s="69"/>
      <c r="D77" s="69"/>
      <c r="E77" s="69"/>
      <c r="F77" s="69"/>
      <c r="G77" s="69"/>
      <c r="H77" s="69"/>
      <c r="I77" s="69"/>
      <c r="J77" s="69"/>
    </row>
    <row r="78" spans="1:10">
      <c r="A78" s="69"/>
      <c r="B78" s="69"/>
      <c r="C78" s="69"/>
      <c r="D78" s="69"/>
      <c r="E78" s="69"/>
      <c r="F78" s="69"/>
      <c r="G78" s="69"/>
      <c r="H78" s="69"/>
      <c r="I78" s="69"/>
      <c r="J78" s="69"/>
    </row>
    <row r="79" spans="1:10">
      <c r="A79" s="69"/>
      <c r="B79" s="69"/>
      <c r="C79" s="69"/>
      <c r="D79" s="69"/>
      <c r="E79" s="69"/>
      <c r="F79" s="69"/>
      <c r="G79" s="69"/>
      <c r="H79" s="69"/>
      <c r="I79" s="69"/>
      <c r="J79" s="69"/>
    </row>
  </sheetData>
  <sheetProtection algorithmName="SHA-512" hashValue="dUOUeySrWx1LseODlqgGbG+yguZi3jxaKpaQLqD00xAIbZSVt5gcp6oA7Wkofv64vMawBwwl2bGxrkusJD9nRA==" saltValue="Tad5UgmXaWeSK5Al6Edvyg==" spinCount="100000" sheet="1" objects="1" scenarios="1"/>
  <mergeCells count="24">
    <mergeCell ref="B31:D31"/>
    <mergeCell ref="F31:G31"/>
    <mergeCell ref="E32:I32"/>
    <mergeCell ref="E25:I25"/>
    <mergeCell ref="E26:I26"/>
    <mergeCell ref="E27:I27"/>
    <mergeCell ref="E34:I34"/>
    <mergeCell ref="E35:I35"/>
    <mergeCell ref="E36:I36"/>
    <mergeCell ref="E37:I37"/>
    <mergeCell ref="E33:I33"/>
    <mergeCell ref="B2:I2"/>
    <mergeCell ref="B4:C5"/>
    <mergeCell ref="F4:G4"/>
    <mergeCell ref="H4:I4"/>
    <mergeCell ref="F5:G5"/>
    <mergeCell ref="H5:I5"/>
    <mergeCell ref="H7:I7"/>
    <mergeCell ref="B7:C7"/>
    <mergeCell ref="E22:I22"/>
    <mergeCell ref="E23:I23"/>
    <mergeCell ref="E24:I24"/>
    <mergeCell ref="B21:D21"/>
    <mergeCell ref="F21:G21"/>
  </mergeCells>
  <phoneticPr fontId="10" type="noConversion"/>
  <conditionalFormatting sqref="F5:I5">
    <cfRule type="cellIs" dxfId="7" priority="2" stopIfTrue="1" operator="equal">
      <formula>0</formula>
    </cfRule>
  </conditionalFormatting>
  <conditionalFormatting sqref="H7:I7">
    <cfRule type="cellIs" dxfId="6" priority="3" stopIfTrue="1" operator="equal">
      <formula>0</formula>
    </cfRule>
  </conditionalFormatting>
  <conditionalFormatting sqref="B34:D37">
    <cfRule type="cellIs" dxfId="5" priority="1" stopIfTrue="1" operator="equal">
      <formula>0</formula>
    </cfRule>
  </conditionalFormatting>
  <printOptions horizontalCentered="1" verticalCentered="1"/>
  <pageMargins left="0.39374999999999999" right="0.39374999999999999" top="0.19652777777777777" bottom="0.19652777777777777" header="0.51180555555555551" footer="0.51180555555555551"/>
  <pageSetup paperSize="9" scale="77" firstPageNumber="0" orientation="portrait" horizontalDpi="300" verticalDpi="300"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pageSetUpPr fitToPage="1"/>
  </sheetPr>
  <dimension ref="A1:J79"/>
  <sheetViews>
    <sheetView topLeftCell="A7" zoomScaleNormal="100" workbookViewId="0">
      <selection activeCell="B33" sqref="B33:I34"/>
    </sheetView>
  </sheetViews>
  <sheetFormatPr defaultColWidth="11.5703125" defaultRowHeight="12.75"/>
  <cols>
    <col min="1" max="1" width="2.5703125" style="10" customWidth="1"/>
    <col min="2" max="2" width="16.42578125" style="10" customWidth="1"/>
    <col min="3" max="3" width="15.42578125" style="10" customWidth="1"/>
    <col min="4" max="4" width="13.42578125" style="10" customWidth="1"/>
    <col min="5" max="5" width="15.42578125" style="10" customWidth="1"/>
    <col min="6" max="6" width="15" style="10" customWidth="1"/>
    <col min="7" max="7" width="16.140625" style="10" customWidth="1"/>
    <col min="8" max="8" width="14.140625" style="10" customWidth="1"/>
    <col min="9" max="9" width="14" style="10" customWidth="1"/>
    <col min="10" max="10" width="2.5703125" style="10" customWidth="1"/>
    <col min="11" max="16384" width="11.5703125" style="10"/>
  </cols>
  <sheetData>
    <row r="1" spans="1:10" ht="6.2" customHeight="1">
      <c r="A1" s="281"/>
      <c r="B1" s="282"/>
      <c r="C1" s="282"/>
      <c r="D1" s="282"/>
      <c r="E1" s="282"/>
      <c r="F1" s="282"/>
      <c r="G1" s="282"/>
      <c r="H1" s="282"/>
      <c r="I1" s="282"/>
      <c r="J1" s="283"/>
    </row>
    <row r="2" spans="1:10" ht="20.25" customHeight="1">
      <c r="A2" s="284"/>
      <c r="B2" s="503" t="s">
        <v>167</v>
      </c>
      <c r="C2" s="503"/>
      <c r="D2" s="503"/>
      <c r="E2" s="503"/>
      <c r="F2" s="503"/>
      <c r="G2" s="503"/>
      <c r="H2" s="503"/>
      <c r="I2" s="503"/>
      <c r="J2" s="285"/>
    </row>
    <row r="3" spans="1:10" ht="6.2" customHeight="1">
      <c r="A3" s="284"/>
      <c r="B3" s="375"/>
      <c r="C3" s="375"/>
      <c r="D3" s="375"/>
      <c r="E3" s="375"/>
      <c r="F3" s="375"/>
      <c r="G3" s="375"/>
      <c r="H3" s="375"/>
      <c r="I3" s="375"/>
      <c r="J3" s="285"/>
    </row>
    <row r="4" spans="1:10" ht="12.75" customHeight="1">
      <c r="A4" s="286"/>
      <c r="B4" s="504" t="str">
        <f>'Store Details'!D2</f>
        <v>Auburn</v>
      </c>
      <c r="C4" s="504"/>
      <c r="D4" s="287"/>
      <c r="E4" s="288"/>
      <c r="F4" s="491" t="s">
        <v>168</v>
      </c>
      <c r="G4" s="491"/>
      <c r="H4" s="505" t="s">
        <v>50</v>
      </c>
      <c r="I4" s="505"/>
      <c r="J4" s="285"/>
    </row>
    <row r="5" spans="1:10" ht="14.25" customHeight="1">
      <c r="A5" s="286"/>
      <c r="B5" s="504"/>
      <c r="C5" s="504"/>
      <c r="D5" s="289"/>
      <c r="E5" s="289"/>
      <c r="F5" s="506">
        <f>'Store Details'!C$15</f>
        <v>0</v>
      </c>
      <c r="G5" s="506"/>
      <c r="H5" s="502">
        <f>'Store Details'!C$16</f>
        <v>0</v>
      </c>
      <c r="I5" s="502"/>
      <c r="J5" s="285"/>
    </row>
    <row r="6" spans="1:10" ht="6.2" customHeight="1">
      <c r="A6" s="286"/>
      <c r="B6" s="61"/>
      <c r="C6" s="61"/>
      <c r="D6" s="61"/>
      <c r="E6" s="61"/>
      <c r="F6" s="61"/>
      <c r="G6" s="61"/>
      <c r="H6" s="61"/>
      <c r="I6" s="61"/>
      <c r="J6" s="285"/>
    </row>
    <row r="7" spans="1:10" ht="15" customHeight="1">
      <c r="A7" s="286"/>
      <c r="B7" s="491" t="s">
        <v>164</v>
      </c>
      <c r="C7" s="491"/>
      <c r="D7" s="290">
        <f>'Daily &amp; Weekly Totals'!E51</f>
        <v>43954</v>
      </c>
      <c r="E7" s="61"/>
      <c r="F7" s="61"/>
      <c r="G7" s="61"/>
      <c r="H7" s="502">
        <f>'Store Details'!C$17</f>
        <v>0</v>
      </c>
      <c r="I7" s="502"/>
      <c r="J7" s="285"/>
    </row>
    <row r="8" spans="1:10" ht="6.75" customHeight="1">
      <c r="A8" s="286"/>
      <c r="B8" s="291"/>
      <c r="C8" s="347"/>
      <c r="D8" s="347"/>
      <c r="E8" s="61"/>
      <c r="F8" s="61"/>
      <c r="G8" s="61"/>
      <c r="H8" s="61"/>
      <c r="I8" s="61"/>
      <c r="J8" s="285"/>
    </row>
    <row r="9" spans="1:10" ht="6.75" customHeight="1">
      <c r="A9" s="286"/>
      <c r="B9" s="291"/>
      <c r="C9" s="363"/>
      <c r="D9" s="363"/>
      <c r="E9" s="61"/>
      <c r="F9" s="61"/>
      <c r="G9" s="61"/>
      <c r="H9" s="61"/>
      <c r="I9" s="61"/>
      <c r="J9" s="285"/>
    </row>
    <row r="10" spans="1:10" ht="16.7" customHeight="1">
      <c r="A10" s="286"/>
      <c r="B10" s="61"/>
      <c r="C10" s="61"/>
      <c r="D10" s="61"/>
      <c r="E10" s="61"/>
      <c r="F10" s="61"/>
      <c r="G10" s="61"/>
      <c r="H10" s="61"/>
      <c r="I10" s="61"/>
      <c r="J10" s="285"/>
    </row>
    <row r="11" spans="1:10" ht="15.75" customHeight="1">
      <c r="A11" s="286"/>
      <c r="B11" s="376"/>
      <c r="C11" s="376" t="s">
        <v>71</v>
      </c>
      <c r="D11" s="292" t="s">
        <v>19</v>
      </c>
      <c r="E11" s="376" t="s">
        <v>169</v>
      </c>
      <c r="F11" s="376" t="s">
        <v>170</v>
      </c>
      <c r="G11" s="292" t="s">
        <v>62</v>
      </c>
      <c r="H11" s="358" t="s">
        <v>122</v>
      </c>
      <c r="I11" s="61"/>
      <c r="J11" s="285"/>
    </row>
    <row r="12" spans="1:10" ht="15.75" customHeight="1">
      <c r="A12" s="286"/>
      <c r="B12" s="348" t="s">
        <v>171</v>
      </c>
      <c r="C12" s="349">
        <f>'Store Details'!K19</f>
        <v>0</v>
      </c>
      <c r="D12" s="349">
        <f>'Store Details'!Q19</f>
        <v>0</v>
      </c>
      <c r="E12" s="349" t="e">
        <f>C12/'Store Details'!I19</f>
        <v>#DIV/0!</v>
      </c>
      <c r="F12" s="350" t="e">
        <f>'Store Details'!J19/'Store Details'!I19</f>
        <v>#DIV/0!</v>
      </c>
      <c r="G12" s="371">
        <f>'Store Details'!L19</f>
        <v>0</v>
      </c>
      <c r="H12" s="366" t="e">
        <f>'Store Details'!I19/G12</f>
        <v>#DIV/0!</v>
      </c>
      <c r="I12" s="61"/>
      <c r="J12" s="359"/>
    </row>
    <row r="13" spans="1:10" ht="15.75" customHeight="1">
      <c r="A13" s="286"/>
      <c r="B13" s="376" t="s">
        <v>172</v>
      </c>
      <c r="C13" s="351">
        <f>'Daily &amp; Weekly Totals'!G52</f>
        <v>0</v>
      </c>
      <c r="D13" s="351">
        <f>C13</f>
        <v>0</v>
      </c>
      <c r="E13" s="349">
        <f>IF(C13=0,0,'Daily &amp; Weekly Totals'!O52)</f>
        <v>0</v>
      </c>
      <c r="F13" s="352">
        <f>IF(C13=0,0,'Daily &amp; Weekly Totals'!R52)</f>
        <v>0</v>
      </c>
      <c r="G13" s="365">
        <f>'Daily &amp; Weekly Totals'!L52</f>
        <v>0</v>
      </c>
      <c r="H13" s="367">
        <f>IF(G13=0,0,'Daily &amp; Weekly Totals'!I52/G13)</f>
        <v>0</v>
      </c>
      <c r="I13" s="61"/>
      <c r="J13" s="359"/>
    </row>
    <row r="14" spans="1:10" ht="15.75" customHeight="1">
      <c r="A14" s="286"/>
      <c r="B14" s="376" t="s">
        <v>173</v>
      </c>
      <c r="C14" s="353">
        <f>C13-C12</f>
        <v>0</v>
      </c>
      <c r="D14" s="353">
        <f>D13-D12</f>
        <v>0</v>
      </c>
      <c r="E14" s="354" t="e">
        <f>E13-E12</f>
        <v>#DIV/0!</v>
      </c>
      <c r="F14" s="355" t="e">
        <f>F13-F12</f>
        <v>#DIV/0!</v>
      </c>
      <c r="G14" s="364">
        <f>G13-G12</f>
        <v>0</v>
      </c>
      <c r="H14" s="356"/>
      <c r="I14" s="61"/>
      <c r="J14" s="359"/>
    </row>
    <row r="15" spans="1:10" ht="15.75" customHeight="1">
      <c r="A15" s="286"/>
      <c r="B15" s="357" t="s">
        <v>174</v>
      </c>
      <c r="C15" s="368" t="e">
        <f>(C13/C12)-1</f>
        <v>#DIV/0!</v>
      </c>
      <c r="D15" s="368" t="e">
        <f>(D13/D12)-1</f>
        <v>#DIV/0!</v>
      </c>
      <c r="E15" s="369" t="e">
        <f>(E13/E12)-1</f>
        <v>#DIV/0!</v>
      </c>
      <c r="F15" s="368" t="e">
        <f>(F13/F12)-1</f>
        <v>#DIV/0!</v>
      </c>
      <c r="G15" s="368" t="e">
        <f>(G13/G12)-1</f>
        <v>#DIV/0!</v>
      </c>
      <c r="H15" s="370"/>
      <c r="I15" s="61"/>
      <c r="J15" s="359"/>
    </row>
    <row r="16" spans="1:10" ht="15.75" customHeight="1">
      <c r="A16" s="286"/>
      <c r="B16" s="61"/>
      <c r="C16" s="61"/>
      <c r="D16" s="61"/>
      <c r="E16" s="61"/>
      <c r="F16" s="61"/>
      <c r="G16" s="61"/>
      <c r="H16" s="61"/>
      <c r="I16" s="61"/>
      <c r="J16" s="359"/>
    </row>
    <row r="17" spans="1:10" ht="15.75" customHeight="1">
      <c r="A17" s="286"/>
      <c r="B17" s="61"/>
      <c r="C17" s="61"/>
      <c r="D17" s="61"/>
      <c r="E17" s="61"/>
      <c r="F17" s="61"/>
      <c r="G17" s="61"/>
      <c r="H17" s="61"/>
      <c r="I17" s="61"/>
      <c r="J17" s="359"/>
    </row>
    <row r="18" spans="1:10" ht="15.75" customHeight="1">
      <c r="A18" s="286"/>
      <c r="B18" s="61"/>
      <c r="C18" s="61"/>
      <c r="D18" s="61"/>
      <c r="E18" s="61"/>
      <c r="F18" s="61"/>
      <c r="G18" s="61"/>
      <c r="H18" s="61"/>
      <c r="I18" s="61"/>
      <c r="J18" s="359"/>
    </row>
    <row r="19" spans="1:10" ht="15.75" customHeight="1">
      <c r="A19" s="286"/>
      <c r="B19" s="61"/>
      <c r="C19" s="61"/>
      <c r="D19" s="61"/>
      <c r="E19" s="61"/>
      <c r="F19" s="61"/>
      <c r="G19" s="61"/>
      <c r="H19" s="61"/>
      <c r="I19" s="61"/>
      <c r="J19" s="359"/>
    </row>
    <row r="20" spans="1:10" ht="8.65" customHeight="1">
      <c r="A20" s="286"/>
      <c r="B20" s="61"/>
      <c r="C20" s="61"/>
      <c r="D20" s="61"/>
      <c r="E20" s="61"/>
      <c r="F20" s="61"/>
      <c r="G20" s="61"/>
      <c r="H20" s="61"/>
      <c r="I20" s="61"/>
      <c r="J20" s="285"/>
    </row>
    <row r="21" spans="1:10" ht="15" customHeight="1">
      <c r="A21" s="286"/>
      <c r="B21" s="491" t="s">
        <v>175</v>
      </c>
      <c r="C21" s="491"/>
      <c r="D21" s="491"/>
      <c r="E21" s="61"/>
      <c r="F21" s="493" t="s">
        <v>176</v>
      </c>
      <c r="G21" s="494"/>
      <c r="H21" s="300">
        <f>SUM(D23:D28)</f>
        <v>0</v>
      </c>
      <c r="I21" s="61"/>
      <c r="J21" s="285"/>
    </row>
    <row r="22" spans="1:10" ht="15" customHeight="1">
      <c r="A22" s="286"/>
      <c r="B22" s="376" t="s">
        <v>177</v>
      </c>
      <c r="C22" s="376" t="s">
        <v>178</v>
      </c>
      <c r="D22" s="292" t="s">
        <v>179</v>
      </c>
      <c r="E22" s="492" t="s">
        <v>180</v>
      </c>
      <c r="F22" s="492"/>
      <c r="G22" s="492"/>
      <c r="H22" s="492"/>
      <c r="I22" s="492"/>
      <c r="J22" s="285"/>
    </row>
    <row r="23" spans="1:10">
      <c r="A23" s="286"/>
      <c r="B23" s="295"/>
      <c r="C23" s="296"/>
      <c r="D23" s="297"/>
      <c r="E23" s="488"/>
      <c r="F23" s="489"/>
      <c r="G23" s="489"/>
      <c r="H23" s="489"/>
      <c r="I23" s="490"/>
      <c r="J23" s="285"/>
    </row>
    <row r="24" spans="1:10">
      <c r="A24" s="286"/>
      <c r="B24" s="295"/>
      <c r="C24" s="298"/>
      <c r="D24" s="299"/>
      <c r="E24" s="488"/>
      <c r="F24" s="489"/>
      <c r="G24" s="489"/>
      <c r="H24" s="489"/>
      <c r="I24" s="490"/>
      <c r="J24" s="285"/>
    </row>
    <row r="25" spans="1:10">
      <c r="A25" s="286"/>
      <c r="B25" s="295"/>
      <c r="C25" s="298"/>
      <c r="D25" s="299"/>
      <c r="E25" s="488"/>
      <c r="F25" s="489"/>
      <c r="G25" s="489"/>
      <c r="H25" s="489"/>
      <c r="I25" s="490"/>
      <c r="J25" s="285"/>
    </row>
    <row r="26" spans="1:10">
      <c r="A26" s="286"/>
      <c r="B26" s="295"/>
      <c r="C26" s="298"/>
      <c r="D26" s="299"/>
      <c r="E26" s="488"/>
      <c r="F26" s="489"/>
      <c r="G26" s="489"/>
      <c r="H26" s="489"/>
      <c r="I26" s="490"/>
      <c r="J26" s="285"/>
    </row>
    <row r="27" spans="1:10">
      <c r="A27" s="286"/>
      <c r="B27" s="360"/>
      <c r="C27" s="421"/>
      <c r="D27" s="362"/>
      <c r="E27" s="488"/>
      <c r="F27" s="489"/>
      <c r="G27" s="489"/>
      <c r="H27" s="489"/>
      <c r="I27" s="490"/>
      <c r="J27" s="285"/>
    </row>
    <row r="28" spans="1:10">
      <c r="A28" s="286"/>
      <c r="B28" s="61"/>
      <c r="C28" s="61"/>
      <c r="D28" s="61"/>
      <c r="E28" s="61"/>
      <c r="F28" s="61"/>
      <c r="G28" s="61"/>
      <c r="H28" s="61"/>
      <c r="I28" s="61"/>
      <c r="J28" s="285"/>
    </row>
    <row r="29" spans="1:10">
      <c r="A29" s="286"/>
      <c r="B29" s="61"/>
      <c r="C29" s="61"/>
      <c r="D29" s="61"/>
      <c r="E29" s="61"/>
      <c r="F29" s="61"/>
      <c r="G29" s="61"/>
      <c r="H29" s="61"/>
      <c r="I29" s="61"/>
      <c r="J29" s="285"/>
    </row>
    <row r="30" spans="1:10">
      <c r="A30" s="286"/>
      <c r="B30" s="61"/>
      <c r="C30" s="61"/>
      <c r="D30" s="61"/>
      <c r="E30" s="61"/>
      <c r="F30" s="61"/>
      <c r="G30" s="61"/>
      <c r="H30" s="61"/>
      <c r="I30" s="61"/>
      <c r="J30" s="285"/>
    </row>
    <row r="31" spans="1:10" ht="15" customHeight="1">
      <c r="A31" s="286"/>
      <c r="B31" s="495" t="s">
        <v>181</v>
      </c>
      <c r="C31" s="495"/>
      <c r="D31" s="495"/>
      <c r="E31" s="61"/>
      <c r="F31" s="493" t="s">
        <v>182</v>
      </c>
      <c r="G31" s="493"/>
      <c r="H31" s="300">
        <f>SUM(D33:D42)</f>
        <v>0</v>
      </c>
      <c r="I31" s="61"/>
      <c r="J31" s="285"/>
    </row>
    <row r="32" spans="1:10" ht="15" customHeight="1">
      <c r="A32" s="286"/>
      <c r="B32" s="376" t="s">
        <v>177</v>
      </c>
      <c r="C32" s="376" t="s">
        <v>178</v>
      </c>
      <c r="D32" s="292" t="s">
        <v>179</v>
      </c>
      <c r="E32" s="492" t="s">
        <v>180</v>
      </c>
      <c r="F32" s="492"/>
      <c r="G32" s="492"/>
      <c r="H32" s="492"/>
      <c r="I32" s="492"/>
      <c r="J32" s="285"/>
    </row>
    <row r="33" spans="1:10" ht="12.4" customHeight="1">
      <c r="A33" s="286"/>
      <c r="B33" s="413"/>
      <c r="C33" s="414"/>
      <c r="D33" s="415"/>
      <c r="E33" s="499"/>
      <c r="F33" s="500"/>
      <c r="G33" s="500"/>
      <c r="H33" s="500"/>
      <c r="I33" s="501"/>
      <c r="J33" s="285"/>
    </row>
    <row r="34" spans="1:10">
      <c r="A34" s="286"/>
      <c r="B34" s="413"/>
      <c r="C34" s="416"/>
      <c r="D34" s="417"/>
      <c r="E34" s="499"/>
      <c r="F34" s="500"/>
      <c r="G34" s="500"/>
      <c r="H34" s="500"/>
      <c r="I34" s="501"/>
      <c r="J34" s="285"/>
    </row>
    <row r="35" spans="1:10">
      <c r="A35" s="286"/>
      <c r="B35" s="295"/>
      <c r="C35" s="298"/>
      <c r="D35" s="299"/>
      <c r="E35" s="488"/>
      <c r="F35" s="489"/>
      <c r="G35" s="489"/>
      <c r="H35" s="489"/>
      <c r="I35" s="490"/>
      <c r="J35" s="285"/>
    </row>
    <row r="36" spans="1:10">
      <c r="A36" s="286"/>
      <c r="B36" s="295"/>
      <c r="C36" s="298"/>
      <c r="D36" s="299"/>
      <c r="E36" s="488"/>
      <c r="F36" s="489"/>
      <c r="G36" s="489"/>
      <c r="H36" s="489"/>
      <c r="I36" s="490"/>
      <c r="J36" s="285"/>
    </row>
    <row r="37" spans="1:10">
      <c r="A37" s="286"/>
      <c r="B37" s="360"/>
      <c r="C37" s="361"/>
      <c r="D37" s="362"/>
      <c r="E37" s="496"/>
      <c r="F37" s="497"/>
      <c r="G37" s="497"/>
      <c r="H37" s="497"/>
      <c r="I37" s="498"/>
      <c r="J37" s="285"/>
    </row>
    <row r="38" spans="1:10">
      <c r="A38" s="286"/>
      <c r="B38" s="61"/>
      <c r="C38" s="61"/>
      <c r="D38" s="61"/>
      <c r="E38" s="61"/>
      <c r="F38" s="61"/>
      <c r="G38" s="61"/>
      <c r="H38" s="61"/>
      <c r="I38" s="61"/>
      <c r="J38" s="285"/>
    </row>
    <row r="39" spans="1:10">
      <c r="A39" s="286"/>
      <c r="B39" s="61"/>
      <c r="C39" s="61"/>
      <c r="D39" s="61"/>
      <c r="E39" s="61"/>
      <c r="F39" s="61"/>
      <c r="G39" s="61"/>
      <c r="H39" s="61"/>
      <c r="I39" s="61"/>
      <c r="J39" s="285"/>
    </row>
    <row r="40" spans="1:10">
      <c r="A40" s="286"/>
      <c r="B40" s="61"/>
      <c r="C40" s="61"/>
      <c r="D40" s="61"/>
      <c r="E40" s="61"/>
      <c r="F40" s="61"/>
      <c r="G40" s="61"/>
      <c r="H40" s="61"/>
      <c r="I40" s="61"/>
      <c r="J40" s="285"/>
    </row>
    <row r="41" spans="1:10">
      <c r="A41" s="286"/>
      <c r="B41" s="61"/>
      <c r="C41" s="61"/>
      <c r="D41" s="61"/>
      <c r="E41" s="61"/>
      <c r="F41" s="61"/>
      <c r="G41" s="61"/>
      <c r="H41" s="61"/>
      <c r="I41" s="61"/>
      <c r="J41" s="285"/>
    </row>
    <row r="42" spans="1:10">
      <c r="A42" s="286"/>
      <c r="B42" s="61"/>
      <c r="C42" s="61"/>
      <c r="D42" s="61"/>
      <c r="E42" s="61"/>
      <c r="F42" s="61"/>
      <c r="G42" s="61"/>
      <c r="H42" s="61"/>
      <c r="I42" s="61"/>
      <c r="J42" s="285"/>
    </row>
    <row r="43" spans="1:10">
      <c r="A43" s="293"/>
      <c r="B43" s="61"/>
      <c r="C43" s="61"/>
      <c r="D43" s="61"/>
      <c r="E43" s="61"/>
      <c r="F43" s="61"/>
      <c r="G43" s="61"/>
      <c r="H43" s="61"/>
      <c r="I43" s="61"/>
      <c r="J43" s="294"/>
    </row>
    <row r="44" spans="1:10">
      <c r="A44" s="69"/>
      <c r="B44" s="69"/>
      <c r="C44" s="69"/>
      <c r="D44" s="69"/>
      <c r="E44" s="69"/>
      <c r="F44" s="69"/>
      <c r="G44" s="69"/>
      <c r="H44" s="69"/>
      <c r="I44" s="69"/>
      <c r="J44" s="69"/>
    </row>
    <row r="45" spans="1:10">
      <c r="A45" s="69"/>
      <c r="B45" s="69"/>
      <c r="C45" s="69"/>
      <c r="D45" s="69"/>
      <c r="E45" s="69"/>
      <c r="F45" s="69"/>
      <c r="G45" s="69"/>
      <c r="H45" s="69"/>
      <c r="I45" s="69"/>
      <c r="J45" s="69"/>
    </row>
    <row r="46" spans="1:10">
      <c r="A46" s="69"/>
      <c r="B46" s="69"/>
      <c r="C46" s="69"/>
      <c r="D46" s="69"/>
      <c r="E46" s="69"/>
      <c r="F46" s="69"/>
      <c r="G46" s="69"/>
      <c r="H46" s="69"/>
      <c r="I46" s="69"/>
      <c r="J46" s="69"/>
    </row>
    <row r="47" spans="1:10">
      <c r="A47" s="69"/>
      <c r="B47" s="69"/>
      <c r="C47" s="69"/>
      <c r="D47" s="69"/>
      <c r="E47" s="69"/>
      <c r="F47" s="69"/>
      <c r="G47" s="69"/>
      <c r="H47" s="69"/>
      <c r="I47" s="69"/>
      <c r="J47" s="69"/>
    </row>
    <row r="48" spans="1:10">
      <c r="A48" s="69"/>
      <c r="B48" s="69"/>
      <c r="C48" s="69"/>
      <c r="D48" s="69"/>
      <c r="E48" s="69"/>
      <c r="F48" s="69"/>
      <c r="G48" s="69"/>
      <c r="H48" s="69"/>
      <c r="I48" s="69"/>
      <c r="J48" s="69"/>
    </row>
    <row r="49" spans="1:10">
      <c r="A49" s="69"/>
      <c r="B49" s="69"/>
      <c r="C49" s="69"/>
      <c r="D49" s="69"/>
      <c r="E49" s="69"/>
      <c r="F49" s="69"/>
      <c r="G49" s="69"/>
      <c r="H49" s="69"/>
      <c r="I49" s="69"/>
      <c r="J49" s="69"/>
    </row>
    <row r="50" spans="1:10">
      <c r="A50" s="69"/>
      <c r="B50" s="69"/>
      <c r="C50" s="69"/>
      <c r="D50" s="69"/>
      <c r="E50" s="69"/>
      <c r="F50" s="69"/>
      <c r="G50" s="69"/>
      <c r="H50" s="69"/>
      <c r="I50" s="69"/>
      <c r="J50" s="69"/>
    </row>
    <row r="51" spans="1:10">
      <c r="A51" s="69"/>
      <c r="B51" s="69"/>
      <c r="C51" s="69"/>
      <c r="D51" s="69"/>
      <c r="E51" s="69"/>
      <c r="F51" s="69"/>
      <c r="G51" s="69"/>
      <c r="H51" s="69"/>
      <c r="I51" s="69"/>
      <c r="J51" s="69"/>
    </row>
    <row r="52" spans="1:10">
      <c r="A52" s="69"/>
      <c r="B52" s="69"/>
      <c r="C52" s="69"/>
      <c r="D52" s="69"/>
      <c r="E52" s="69"/>
      <c r="F52" s="69"/>
      <c r="G52" s="69"/>
      <c r="H52" s="69"/>
      <c r="I52" s="69"/>
      <c r="J52" s="69"/>
    </row>
    <row r="53" spans="1:10">
      <c r="A53" s="69"/>
      <c r="B53" s="69"/>
      <c r="C53" s="69"/>
      <c r="D53" s="69"/>
      <c r="E53" s="69"/>
      <c r="F53" s="69"/>
      <c r="G53" s="69"/>
      <c r="H53" s="69"/>
      <c r="I53" s="69"/>
      <c r="J53" s="69"/>
    </row>
    <row r="54" spans="1:10">
      <c r="A54" s="69"/>
      <c r="B54" s="69"/>
      <c r="C54" s="69"/>
      <c r="D54" s="69"/>
      <c r="E54" s="69"/>
      <c r="F54" s="69"/>
      <c r="G54" s="69"/>
      <c r="H54" s="69"/>
      <c r="I54" s="69"/>
      <c r="J54" s="69"/>
    </row>
    <row r="55" spans="1:10">
      <c r="A55" s="69"/>
      <c r="B55" s="69"/>
      <c r="C55" s="69"/>
      <c r="D55" s="69"/>
      <c r="E55" s="69"/>
      <c r="F55" s="69"/>
      <c r="G55" s="69"/>
      <c r="H55" s="69"/>
      <c r="I55" s="69"/>
      <c r="J55" s="69"/>
    </row>
    <row r="56" spans="1:10">
      <c r="A56" s="69"/>
      <c r="B56" s="69"/>
      <c r="C56" s="69"/>
      <c r="D56" s="69"/>
      <c r="E56" s="69"/>
      <c r="F56" s="69"/>
      <c r="G56" s="69"/>
      <c r="H56" s="69"/>
      <c r="I56" s="69"/>
      <c r="J56" s="69"/>
    </row>
    <row r="57" spans="1:10">
      <c r="A57" s="69"/>
      <c r="B57" s="69"/>
      <c r="C57" s="69"/>
      <c r="D57" s="69"/>
      <c r="E57" s="69"/>
      <c r="F57" s="69"/>
      <c r="G57" s="69"/>
      <c r="H57" s="69"/>
      <c r="I57" s="69"/>
      <c r="J57" s="69"/>
    </row>
    <row r="58" spans="1:10">
      <c r="A58" s="69"/>
      <c r="B58" s="69"/>
      <c r="C58" s="69"/>
      <c r="D58" s="69"/>
      <c r="E58" s="69"/>
      <c r="F58" s="69"/>
      <c r="G58" s="69"/>
      <c r="H58" s="69"/>
      <c r="I58" s="69"/>
      <c r="J58" s="69"/>
    </row>
    <row r="59" spans="1:10">
      <c r="A59" s="69"/>
      <c r="B59" s="69"/>
      <c r="C59" s="69"/>
      <c r="D59" s="69"/>
      <c r="E59" s="69"/>
      <c r="F59" s="69"/>
      <c r="G59" s="69"/>
      <c r="H59" s="69"/>
      <c r="I59" s="69"/>
      <c r="J59" s="69"/>
    </row>
    <row r="60" spans="1:10">
      <c r="A60" s="69"/>
      <c r="B60" s="69"/>
      <c r="C60" s="69"/>
      <c r="D60" s="69"/>
      <c r="E60" s="69"/>
      <c r="F60" s="69"/>
      <c r="G60" s="69"/>
      <c r="H60" s="69"/>
      <c r="I60" s="69"/>
      <c r="J60" s="69"/>
    </row>
    <row r="61" spans="1:10">
      <c r="A61" s="69"/>
      <c r="B61" s="69"/>
      <c r="C61" s="69"/>
      <c r="D61" s="69"/>
      <c r="E61" s="69"/>
      <c r="F61" s="69"/>
      <c r="G61" s="69"/>
      <c r="H61" s="69"/>
      <c r="I61" s="69"/>
      <c r="J61" s="69"/>
    </row>
    <row r="62" spans="1:10">
      <c r="A62" s="69"/>
      <c r="B62" s="69"/>
      <c r="C62" s="69"/>
      <c r="D62" s="69"/>
      <c r="E62" s="69"/>
      <c r="F62" s="69"/>
      <c r="G62" s="69"/>
      <c r="H62" s="69"/>
      <c r="I62" s="69"/>
      <c r="J62" s="69"/>
    </row>
    <row r="63" spans="1:10">
      <c r="A63" s="69"/>
      <c r="B63" s="69"/>
      <c r="C63" s="69"/>
      <c r="D63" s="69"/>
      <c r="E63" s="69"/>
      <c r="F63" s="69"/>
      <c r="G63" s="69"/>
      <c r="H63" s="69"/>
      <c r="I63" s="69"/>
      <c r="J63" s="69"/>
    </row>
    <row r="64" spans="1:10">
      <c r="A64" s="69"/>
      <c r="B64" s="69"/>
      <c r="C64" s="69"/>
      <c r="D64" s="69"/>
      <c r="E64" s="69"/>
      <c r="F64" s="69"/>
      <c r="G64" s="69"/>
      <c r="H64" s="69"/>
      <c r="I64" s="69"/>
      <c r="J64" s="69"/>
    </row>
    <row r="65" spans="1:10">
      <c r="A65" s="69"/>
      <c r="B65" s="69"/>
      <c r="C65" s="69"/>
      <c r="D65" s="69"/>
      <c r="E65" s="69"/>
      <c r="F65" s="69"/>
      <c r="G65" s="69"/>
      <c r="H65" s="69"/>
      <c r="I65" s="69"/>
      <c r="J65" s="69"/>
    </row>
    <row r="66" spans="1:10">
      <c r="A66" s="69"/>
      <c r="B66" s="69"/>
      <c r="C66" s="69"/>
      <c r="D66" s="69"/>
      <c r="E66" s="69"/>
      <c r="F66" s="69"/>
      <c r="G66" s="69"/>
      <c r="H66" s="69"/>
      <c r="I66" s="69"/>
      <c r="J66" s="69"/>
    </row>
    <row r="67" spans="1:10">
      <c r="A67" s="69"/>
      <c r="B67" s="69"/>
      <c r="C67" s="69"/>
      <c r="D67" s="69"/>
      <c r="E67" s="69"/>
      <c r="F67" s="69"/>
      <c r="G67" s="69"/>
      <c r="H67" s="69"/>
      <c r="I67" s="69"/>
      <c r="J67" s="69"/>
    </row>
    <row r="68" spans="1:10">
      <c r="A68" s="69"/>
      <c r="B68" s="69"/>
      <c r="C68" s="69"/>
      <c r="D68" s="69"/>
      <c r="E68" s="69"/>
      <c r="F68" s="69"/>
      <c r="G68" s="69"/>
      <c r="H68" s="69"/>
      <c r="I68" s="69"/>
      <c r="J68" s="69"/>
    </row>
    <row r="69" spans="1:10">
      <c r="A69" s="69"/>
      <c r="B69" s="69"/>
      <c r="C69" s="69"/>
      <c r="D69" s="69"/>
      <c r="E69" s="69"/>
      <c r="F69" s="69"/>
      <c r="G69" s="69"/>
      <c r="H69" s="69"/>
      <c r="I69" s="69"/>
      <c r="J69" s="69"/>
    </row>
    <row r="70" spans="1:10">
      <c r="A70" s="69"/>
      <c r="B70" s="69"/>
      <c r="C70" s="69"/>
      <c r="D70" s="69"/>
      <c r="E70" s="69"/>
      <c r="F70" s="69"/>
      <c r="G70" s="69"/>
      <c r="H70" s="69"/>
      <c r="I70" s="69"/>
      <c r="J70" s="69"/>
    </row>
    <row r="71" spans="1:10">
      <c r="A71" s="69"/>
      <c r="B71" s="69"/>
      <c r="C71" s="69"/>
      <c r="D71" s="69"/>
      <c r="E71" s="69"/>
      <c r="F71" s="69"/>
      <c r="G71" s="69"/>
      <c r="H71" s="69"/>
      <c r="I71" s="69"/>
      <c r="J71" s="69"/>
    </row>
    <row r="72" spans="1:10">
      <c r="A72" s="69"/>
      <c r="B72" s="69"/>
      <c r="C72" s="69"/>
      <c r="D72" s="69"/>
      <c r="E72" s="69"/>
      <c r="F72" s="69"/>
      <c r="G72" s="69"/>
      <c r="H72" s="69"/>
      <c r="I72" s="69"/>
      <c r="J72" s="69"/>
    </row>
    <row r="73" spans="1:10">
      <c r="A73" s="69"/>
      <c r="B73" s="69"/>
      <c r="C73" s="69"/>
      <c r="D73" s="69"/>
      <c r="E73" s="69"/>
      <c r="F73" s="69"/>
      <c r="G73" s="69"/>
      <c r="H73" s="69"/>
      <c r="I73" s="69"/>
      <c r="J73" s="69"/>
    </row>
    <row r="74" spans="1:10">
      <c r="A74" s="69"/>
      <c r="B74" s="69"/>
      <c r="C74" s="69"/>
      <c r="D74" s="69"/>
      <c r="E74" s="69"/>
      <c r="F74" s="69"/>
      <c r="G74" s="69"/>
      <c r="H74" s="69"/>
      <c r="I74" s="69"/>
      <c r="J74" s="69"/>
    </row>
    <row r="75" spans="1:10">
      <c r="A75" s="69"/>
      <c r="B75" s="69"/>
      <c r="C75" s="69"/>
      <c r="D75" s="69"/>
      <c r="E75" s="69"/>
      <c r="F75" s="69"/>
      <c r="G75" s="69"/>
      <c r="H75" s="69"/>
      <c r="I75" s="69"/>
      <c r="J75" s="69"/>
    </row>
    <row r="76" spans="1:10">
      <c r="A76" s="69"/>
      <c r="B76" s="69"/>
      <c r="C76" s="69"/>
      <c r="D76" s="69"/>
      <c r="E76" s="69"/>
      <c r="F76" s="69"/>
      <c r="G76" s="69"/>
      <c r="H76" s="69"/>
      <c r="I76" s="69"/>
      <c r="J76" s="69"/>
    </row>
    <row r="77" spans="1:10">
      <c r="A77" s="69"/>
      <c r="B77" s="69"/>
      <c r="C77" s="69"/>
      <c r="D77" s="69"/>
      <c r="E77" s="69"/>
      <c r="F77" s="69"/>
      <c r="G77" s="69"/>
      <c r="H77" s="69"/>
      <c r="I77" s="69"/>
      <c r="J77" s="69"/>
    </row>
    <row r="78" spans="1:10">
      <c r="A78" s="69"/>
      <c r="B78" s="69"/>
      <c r="C78" s="69"/>
      <c r="D78" s="69"/>
      <c r="E78" s="69"/>
      <c r="F78" s="69"/>
      <c r="G78" s="69"/>
      <c r="H78" s="69"/>
      <c r="I78" s="69"/>
      <c r="J78" s="69"/>
    </row>
    <row r="79" spans="1:10">
      <c r="A79" s="69"/>
      <c r="B79" s="69"/>
      <c r="C79" s="69"/>
      <c r="D79" s="69"/>
      <c r="E79" s="69"/>
      <c r="F79" s="69"/>
      <c r="G79" s="69"/>
      <c r="H79" s="69"/>
      <c r="I79" s="69"/>
      <c r="J79" s="69"/>
    </row>
  </sheetData>
  <sheetProtection algorithmName="SHA-512" hashValue="Jvw36BSCVFxZ5QGOBFIK0oIblvHPIjFrQRNBNTxCy31E+G0tYTFqF8Wsv3hkuCRmJv5aff8lMTAdV0BGUHfLhA==" saltValue="Cl5GrXwg9FPtJOd9QPllEg==" spinCount="100000" sheet="1" objects="1" scenarios="1"/>
  <mergeCells count="24">
    <mergeCell ref="B31:D31"/>
    <mergeCell ref="F31:G31"/>
    <mergeCell ref="E32:I32"/>
    <mergeCell ref="E25:I25"/>
    <mergeCell ref="E26:I26"/>
    <mergeCell ref="E27:I27"/>
    <mergeCell ref="E34:I34"/>
    <mergeCell ref="E35:I35"/>
    <mergeCell ref="E36:I36"/>
    <mergeCell ref="E37:I37"/>
    <mergeCell ref="E33:I33"/>
    <mergeCell ref="B2:I2"/>
    <mergeCell ref="B4:C5"/>
    <mergeCell ref="F4:G4"/>
    <mergeCell ref="H4:I4"/>
    <mergeCell ref="F5:G5"/>
    <mergeCell ref="H5:I5"/>
    <mergeCell ref="H7:I7"/>
    <mergeCell ref="B7:C7"/>
    <mergeCell ref="E22:I22"/>
    <mergeCell ref="E23:I23"/>
    <mergeCell ref="E24:I24"/>
    <mergeCell ref="B21:D21"/>
    <mergeCell ref="F21:G21"/>
  </mergeCells>
  <phoneticPr fontId="10" type="noConversion"/>
  <conditionalFormatting sqref="F5:I5">
    <cfRule type="cellIs" dxfId="4" priority="2" stopIfTrue="1" operator="equal">
      <formula>0</formula>
    </cfRule>
  </conditionalFormatting>
  <conditionalFormatting sqref="H7:I7">
    <cfRule type="cellIs" dxfId="3" priority="3" stopIfTrue="1" operator="equal">
      <formula>0</formula>
    </cfRule>
  </conditionalFormatting>
  <conditionalFormatting sqref="B35:D37">
    <cfRule type="cellIs" dxfId="2" priority="1" stopIfTrue="1" operator="equal">
      <formula>0</formula>
    </cfRule>
  </conditionalFormatting>
  <printOptions horizontalCentered="1" verticalCentered="1"/>
  <pageMargins left="0.39374999999999999" right="0.39374999999999999" top="0.19652777777777777" bottom="0.19652777777777777" header="0.51180555555555551" footer="0.51180555555555551"/>
  <pageSetup paperSize="9" scale="77" firstPageNumber="0" orientation="portrait" horizontalDpi="300" verticalDpi="300"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dimension ref="A1:IV153"/>
  <sheetViews>
    <sheetView zoomScale="90" zoomScaleNormal="90" workbookViewId="0">
      <selection activeCell="O7" sqref="O7"/>
    </sheetView>
  </sheetViews>
  <sheetFormatPr defaultColWidth="11.5703125" defaultRowHeight="12.75"/>
  <cols>
    <col min="1" max="4" width="25.5703125" customWidth="1"/>
    <col min="5" max="5" width="19.42578125" customWidth="1"/>
    <col min="6" max="10" width="11.5703125" hidden="1" customWidth="1"/>
    <col min="11" max="11" width="16" hidden="1" customWidth="1"/>
    <col min="12" max="12" width="16.42578125" hidden="1" customWidth="1"/>
  </cols>
  <sheetData>
    <row r="1" spans="1:256" s="10" customFormat="1" ht="45.95" customHeight="1">
      <c r="A1" s="165"/>
      <c r="B1" s="165"/>
      <c r="C1" s="165"/>
      <c r="D1" s="165"/>
      <c r="E1" s="166"/>
      <c r="IT1"/>
      <c r="IU1"/>
      <c r="IV1"/>
    </row>
    <row r="2" spans="1:256" s="10" customFormat="1" ht="6.75" customHeight="1">
      <c r="A2" s="165"/>
      <c r="B2" s="165"/>
      <c r="C2" s="165"/>
      <c r="D2" s="165"/>
      <c r="E2" s="166"/>
      <c r="IT2"/>
      <c r="IU2"/>
      <c r="IV2"/>
    </row>
    <row r="3" spans="1:256" s="10" customFormat="1" ht="31.9" customHeight="1">
      <c r="A3" s="167"/>
      <c r="B3" s="205"/>
      <c r="C3" s="508" t="s">
        <v>183</v>
      </c>
      <c r="D3" s="508"/>
      <c r="E3" s="168"/>
      <c r="IT3"/>
      <c r="IU3"/>
      <c r="IV3"/>
    </row>
    <row r="4" spans="1:256" s="10" customFormat="1" ht="37.9" customHeight="1">
      <c r="A4" s="509" t="str">
        <f>'Store Details'!D2</f>
        <v>Auburn</v>
      </c>
      <c r="B4" s="509"/>
      <c r="C4" s="169" t="s">
        <v>184</v>
      </c>
      <c r="D4" s="203">
        <f>'Monthly Statistics'!C2</f>
        <v>43922</v>
      </c>
      <c r="E4" s="166"/>
      <c r="F4" s="170"/>
      <c r="G4" s="171" t="s">
        <v>121</v>
      </c>
      <c r="H4" s="171" t="s">
        <v>40</v>
      </c>
      <c r="I4" s="171" t="s">
        <v>98</v>
      </c>
      <c r="J4" s="171" t="s">
        <v>99</v>
      </c>
      <c r="K4" s="171" t="s">
        <v>91</v>
      </c>
      <c r="L4" s="171" t="s">
        <v>185</v>
      </c>
      <c r="IT4"/>
      <c r="IU4"/>
      <c r="IV4"/>
    </row>
    <row r="5" spans="1:256" s="10" customFormat="1" ht="28.5" customHeight="1">
      <c r="A5" s="172" t="s">
        <v>186</v>
      </c>
      <c r="B5" s="173" t="s">
        <v>187</v>
      </c>
      <c r="C5" s="173" t="s">
        <v>186</v>
      </c>
      <c r="D5" s="174" t="s">
        <v>187</v>
      </c>
      <c r="E5" s="166"/>
      <c r="F5" s="171" t="s">
        <v>188</v>
      </c>
      <c r="G5" s="175" t="str">
        <f>'Weekly Statistics'!I9</f>
        <v/>
      </c>
      <c r="H5" s="202" t="str">
        <f>'Weekly Statistics'!I7</f>
        <v/>
      </c>
      <c r="I5" s="175" t="str">
        <f>'Weekly Statistics'!I6</f>
        <v/>
      </c>
      <c r="J5" s="202" t="str">
        <f>'Weekly Statistics'!I8</f>
        <v/>
      </c>
      <c r="K5" s="175" t="e">
        <f>'Weekly Minimums Planner'!N7</f>
        <v>#N/A</v>
      </c>
      <c r="L5" s="175" t="e">
        <f>'Weekly Statistics'!D6</f>
        <v>#N/A</v>
      </c>
      <c r="IT5"/>
      <c r="IU5"/>
      <c r="IV5"/>
    </row>
    <row r="6" spans="1:256" s="10" customFormat="1" ht="25.5" customHeight="1">
      <c r="A6" s="176">
        <f>'Store Details'!C15</f>
        <v>0</v>
      </c>
      <c r="B6" s="177"/>
      <c r="C6" s="178">
        <f>'Store Details'!C25</f>
        <v>0</v>
      </c>
      <c r="D6" s="179"/>
      <c r="E6" s="166"/>
      <c r="F6" s="180">
        <f t="shared" ref="F6:F15" si="0">A6</f>
        <v>0</v>
      </c>
      <c r="G6" s="175" t="str">
        <f>IF('Weekly Minimums Planner'!AB13&gt;0,'Weekly Minimums Planner'!AB13,"")</f>
        <v/>
      </c>
      <c r="H6" s="202" t="str">
        <f>'Weekly Minimums Planner'!AC13</f>
        <v/>
      </c>
      <c r="I6" s="175" t="str">
        <f>'Weekly Minimums Planner'!AD13</f>
        <v/>
      </c>
      <c r="J6" s="202" t="str">
        <f>IF('Weekly Minimums Planner'!AE13&gt;0,'Weekly Minimums Planner'!AE13,"")</f>
        <v/>
      </c>
      <c r="K6" s="175" t="e">
        <f>'Weekly Minimums Planner'!M13</f>
        <v>#N/A</v>
      </c>
      <c r="L6" s="175">
        <f>'Weekly Minimums Planner'!P13</f>
        <v>0</v>
      </c>
      <c r="IT6"/>
      <c r="IU6"/>
      <c r="IV6"/>
    </row>
    <row r="7" spans="1:256" s="10" customFormat="1" ht="25.5" customHeight="1">
      <c r="A7" s="181">
        <f>'Store Details'!C16</f>
        <v>0</v>
      </c>
      <c r="B7" s="182"/>
      <c r="C7" s="183">
        <f>'Store Details'!C26</f>
        <v>0</v>
      </c>
      <c r="D7" s="184"/>
      <c r="E7" s="166"/>
      <c r="F7" s="180">
        <f t="shared" si="0"/>
        <v>0</v>
      </c>
      <c r="G7" s="175" t="str">
        <f>IF('Weekly Minimums Planner'!AB14&gt;0,'Weekly Minimums Planner'!AB14,"")</f>
        <v/>
      </c>
      <c r="H7" s="202" t="str">
        <f>'Weekly Minimums Planner'!AC14</f>
        <v/>
      </c>
      <c r="I7" s="175" t="str">
        <f>'Weekly Minimums Planner'!AD14</f>
        <v/>
      </c>
      <c r="J7" s="202" t="str">
        <f>IF('Weekly Minimums Planner'!AE14&gt;0,'Weekly Minimums Planner'!AE14,"")</f>
        <v/>
      </c>
      <c r="K7" s="175" t="e">
        <f>'Weekly Minimums Planner'!M14</f>
        <v>#N/A</v>
      </c>
      <c r="L7" s="175">
        <f>'Weekly Minimums Planner'!P14</f>
        <v>0</v>
      </c>
      <c r="IT7"/>
      <c r="IU7"/>
      <c r="IV7"/>
    </row>
    <row r="8" spans="1:256" s="10" customFormat="1" ht="25.5" customHeight="1">
      <c r="A8" s="181">
        <f>'Store Details'!C17</f>
        <v>0</v>
      </c>
      <c r="B8" s="182"/>
      <c r="C8" s="183">
        <f>'Store Details'!C27</f>
        <v>0</v>
      </c>
      <c r="D8" s="184"/>
      <c r="E8" s="166"/>
      <c r="F8" s="180">
        <f t="shared" si="0"/>
        <v>0</v>
      </c>
      <c r="G8" s="175" t="str">
        <f>IF('Weekly Minimums Planner'!AB15&gt;0,'Weekly Minimums Planner'!AB15,"")</f>
        <v/>
      </c>
      <c r="H8" s="202" t="str">
        <f>'Weekly Minimums Planner'!AC15</f>
        <v/>
      </c>
      <c r="I8" s="175" t="str">
        <f>'Weekly Minimums Planner'!AD15</f>
        <v/>
      </c>
      <c r="J8" s="202" t="str">
        <f>IF('Weekly Minimums Planner'!AE15&gt;0,'Weekly Minimums Planner'!AE15,"")</f>
        <v/>
      </c>
      <c r="K8" s="175" t="e">
        <f>'Weekly Minimums Planner'!M15</f>
        <v>#N/A</v>
      </c>
      <c r="L8" s="175">
        <f>'Weekly Minimums Planner'!P15</f>
        <v>0</v>
      </c>
      <c r="IT8"/>
      <c r="IU8"/>
      <c r="IV8"/>
    </row>
    <row r="9" spans="1:256" s="10" customFormat="1" ht="25.5" customHeight="1">
      <c r="A9" s="181">
        <f>'Store Details'!C18</f>
        <v>0</v>
      </c>
      <c r="B9" s="182"/>
      <c r="C9" s="183">
        <f>'Store Details'!C28</f>
        <v>0</v>
      </c>
      <c r="D9" s="184"/>
      <c r="E9" s="166"/>
      <c r="F9" s="180">
        <f t="shared" si="0"/>
        <v>0</v>
      </c>
      <c r="G9" s="175" t="str">
        <f>IF('Weekly Minimums Planner'!AB16&gt;0,'Weekly Minimums Planner'!AB16,"")</f>
        <v/>
      </c>
      <c r="H9" s="202" t="str">
        <f>'Weekly Minimums Planner'!AC16</f>
        <v/>
      </c>
      <c r="I9" s="175" t="str">
        <f>'Weekly Minimums Planner'!AD16</f>
        <v/>
      </c>
      <c r="J9" s="202" t="str">
        <f>IF('Weekly Minimums Planner'!AE16&gt;0,'Weekly Minimums Planner'!AE16,"")</f>
        <v/>
      </c>
      <c r="K9" s="175" t="e">
        <f>'Weekly Minimums Planner'!M16</f>
        <v>#N/A</v>
      </c>
      <c r="L9" s="175">
        <f>'Weekly Minimums Planner'!P16</f>
        <v>0</v>
      </c>
      <c r="IT9"/>
      <c r="IU9"/>
      <c r="IV9"/>
    </row>
    <row r="10" spans="1:256" s="10" customFormat="1" ht="25.5" customHeight="1">
      <c r="A10" s="181">
        <f>'Store Details'!C19</f>
        <v>0</v>
      </c>
      <c r="B10" s="185"/>
      <c r="C10" s="183">
        <f>'Store Details'!C29</f>
        <v>0</v>
      </c>
      <c r="D10" s="184"/>
      <c r="E10" s="166"/>
      <c r="F10" s="180">
        <f t="shared" si="0"/>
        <v>0</v>
      </c>
      <c r="G10" s="175" t="str">
        <f>IF('Weekly Minimums Planner'!AB17&gt;0,'Weekly Minimums Planner'!AB17,"")</f>
        <v/>
      </c>
      <c r="H10" s="202" t="str">
        <f>'Weekly Minimums Planner'!AC17</f>
        <v/>
      </c>
      <c r="I10" s="175" t="str">
        <f>'Weekly Minimums Planner'!AD17</f>
        <v/>
      </c>
      <c r="J10" s="202" t="str">
        <f>IF('Weekly Minimums Planner'!AE17&gt;0,'Weekly Minimums Planner'!AE17,"")</f>
        <v/>
      </c>
      <c r="K10" s="175" t="e">
        <f>'Weekly Minimums Planner'!M17</f>
        <v>#N/A</v>
      </c>
      <c r="L10" s="175">
        <f>'Weekly Minimums Planner'!P17</f>
        <v>0</v>
      </c>
      <c r="IT10"/>
      <c r="IU10"/>
      <c r="IV10"/>
    </row>
    <row r="11" spans="1:256" s="10" customFormat="1" ht="25.5" customHeight="1">
      <c r="A11" s="181">
        <f>'Store Details'!C20</f>
        <v>0</v>
      </c>
      <c r="B11" s="185"/>
      <c r="C11" s="183">
        <f>'Store Details'!C30</f>
        <v>0</v>
      </c>
      <c r="D11" s="184"/>
      <c r="E11" s="166"/>
      <c r="F11" s="180">
        <f t="shared" si="0"/>
        <v>0</v>
      </c>
      <c r="G11" s="175" t="str">
        <f>IF('Weekly Minimums Planner'!AB18&gt;0,'Weekly Minimums Planner'!AB18,"")</f>
        <v/>
      </c>
      <c r="H11" s="202" t="str">
        <f>'Weekly Minimums Planner'!AC18</f>
        <v/>
      </c>
      <c r="I11" s="175" t="str">
        <f>'Weekly Minimums Planner'!AD18</f>
        <v/>
      </c>
      <c r="J11" s="202" t="str">
        <f>IF('Weekly Minimums Planner'!AE18&gt;0,'Weekly Minimums Planner'!AE18,"")</f>
        <v/>
      </c>
      <c r="K11" s="175" t="e">
        <f>'Weekly Minimums Planner'!M18</f>
        <v>#N/A</v>
      </c>
      <c r="L11" s="175">
        <f>'Weekly Minimums Planner'!P18</f>
        <v>0</v>
      </c>
      <c r="IT11"/>
      <c r="IU11"/>
      <c r="IV11"/>
    </row>
    <row r="12" spans="1:256" s="10" customFormat="1" ht="25.5" customHeight="1">
      <c r="A12" s="181">
        <f>'Store Details'!C21</f>
        <v>0</v>
      </c>
      <c r="B12" s="185"/>
      <c r="C12" s="183">
        <f>'Store Details'!C31</f>
        <v>0</v>
      </c>
      <c r="D12" s="184"/>
      <c r="E12" s="166"/>
      <c r="F12" s="180">
        <f t="shared" si="0"/>
        <v>0</v>
      </c>
      <c r="G12" s="175" t="str">
        <f>IF('Weekly Minimums Planner'!AB19&gt;0,'Weekly Minimums Planner'!AB19,"")</f>
        <v/>
      </c>
      <c r="H12" s="202" t="str">
        <f>'Weekly Minimums Planner'!AC19</f>
        <v/>
      </c>
      <c r="I12" s="175" t="str">
        <f>'Weekly Minimums Planner'!AD19</f>
        <v/>
      </c>
      <c r="J12" s="202" t="str">
        <f>IF('Weekly Minimums Planner'!AE19&gt;0,'Weekly Minimums Planner'!AE19,"")</f>
        <v/>
      </c>
      <c r="K12" s="175" t="e">
        <f>'Weekly Minimums Planner'!M19</f>
        <v>#N/A</v>
      </c>
      <c r="L12" s="175">
        <f>'Weekly Minimums Planner'!P19</f>
        <v>0</v>
      </c>
      <c r="IT12"/>
      <c r="IU12"/>
      <c r="IV12"/>
    </row>
    <row r="13" spans="1:256" s="10" customFormat="1" ht="25.5" customHeight="1">
      <c r="A13" s="181">
        <f>'Store Details'!C22</f>
        <v>0</v>
      </c>
      <c r="B13" s="185"/>
      <c r="C13" s="183">
        <f>'Store Details'!C32</f>
        <v>0</v>
      </c>
      <c r="D13" s="184"/>
      <c r="E13" s="166"/>
      <c r="F13" s="180">
        <f t="shared" si="0"/>
        <v>0</v>
      </c>
      <c r="G13" s="175" t="str">
        <f>IF('Weekly Minimums Planner'!AB20&gt;0,'Weekly Minimums Planner'!AB20,"")</f>
        <v/>
      </c>
      <c r="H13" s="202" t="str">
        <f>'Weekly Minimums Planner'!AC20</f>
        <v/>
      </c>
      <c r="I13" s="175" t="str">
        <f>'Weekly Minimums Planner'!AD20</f>
        <v/>
      </c>
      <c r="J13" s="202" t="str">
        <f>IF('Weekly Minimums Planner'!AE20&gt;0,'Weekly Minimums Planner'!AE20,"")</f>
        <v/>
      </c>
      <c r="K13" s="175" t="e">
        <f>'Weekly Minimums Planner'!M20</f>
        <v>#N/A</v>
      </c>
      <c r="L13" s="175">
        <f>'Weekly Minimums Planner'!P20</f>
        <v>0</v>
      </c>
      <c r="IT13"/>
      <c r="IU13"/>
      <c r="IV13"/>
    </row>
    <row r="14" spans="1:256" s="10" customFormat="1" ht="25.5" customHeight="1">
      <c r="A14" s="181">
        <f>'Store Details'!C23</f>
        <v>0</v>
      </c>
      <c r="B14" s="185"/>
      <c r="C14" s="183">
        <f>'Store Details'!C33</f>
        <v>0</v>
      </c>
      <c r="D14" s="184"/>
      <c r="E14" s="166"/>
      <c r="F14" s="180">
        <f t="shared" si="0"/>
        <v>0</v>
      </c>
      <c r="G14" s="175" t="str">
        <f>IF('Weekly Minimums Planner'!AB21&gt;0,'Weekly Minimums Planner'!AB21,"")</f>
        <v/>
      </c>
      <c r="H14" s="202" t="str">
        <f>'Weekly Minimums Planner'!AC21</f>
        <v/>
      </c>
      <c r="I14" s="175" t="str">
        <f>'Weekly Minimums Planner'!AD21</f>
        <v/>
      </c>
      <c r="J14" s="202" t="str">
        <f>IF('Weekly Minimums Planner'!AE21&gt;0,'Weekly Minimums Planner'!AE21,"")</f>
        <v/>
      </c>
      <c r="K14" s="175" t="e">
        <f>'Weekly Minimums Planner'!M21</f>
        <v>#N/A</v>
      </c>
      <c r="L14" s="175">
        <f>'Weekly Minimums Planner'!P21</f>
        <v>0</v>
      </c>
      <c r="IT14"/>
      <c r="IU14"/>
      <c r="IV14"/>
    </row>
    <row r="15" spans="1:256" s="10" customFormat="1" ht="25.5" customHeight="1">
      <c r="A15" s="181">
        <f>'Store Details'!C24</f>
        <v>0</v>
      </c>
      <c r="B15" s="185"/>
      <c r="C15" s="183">
        <f>'Store Details'!C34</f>
        <v>0</v>
      </c>
      <c r="D15" s="184"/>
      <c r="E15" s="166"/>
      <c r="F15" s="180">
        <f t="shared" si="0"/>
        <v>0</v>
      </c>
      <c r="G15" s="175" t="str">
        <f>IF('Weekly Minimums Planner'!AB22&gt;0,'Weekly Minimums Planner'!AB22,"")</f>
        <v/>
      </c>
      <c r="H15" s="202" t="str">
        <f>'Weekly Minimums Planner'!AC22</f>
        <v/>
      </c>
      <c r="I15" s="175" t="str">
        <f>'Weekly Minimums Planner'!AD22</f>
        <v/>
      </c>
      <c r="J15" s="202" t="str">
        <f>IF('Weekly Minimums Planner'!AE22&gt;0,'Weekly Minimums Planner'!AE22,"")</f>
        <v/>
      </c>
      <c r="K15" s="175" t="e">
        <f>'Weekly Minimums Planner'!M22</f>
        <v>#N/A</v>
      </c>
      <c r="L15" s="175">
        <f>'Weekly Minimums Planner'!P22</f>
        <v>0</v>
      </c>
      <c r="IT15"/>
      <c r="IU15"/>
      <c r="IV15"/>
    </row>
    <row r="16" spans="1:256" s="10" customFormat="1" ht="25.5" customHeight="1">
      <c r="A16" s="186" t="s">
        <v>49</v>
      </c>
      <c r="B16" s="187">
        <f>'Store Details'!C15</f>
        <v>0</v>
      </c>
      <c r="C16" s="188" t="s">
        <v>9</v>
      </c>
      <c r="D16" s="189">
        <f>'Store Details'!D11</f>
        <v>0</v>
      </c>
      <c r="E16" s="166"/>
      <c r="F16" s="180">
        <f t="shared" ref="F16:F24" si="1">C6</f>
        <v>0</v>
      </c>
      <c r="G16" s="175" t="str">
        <f>IF('Weekly Minimums Planner'!AB23&gt;0,'Weekly Minimums Planner'!AB23,"")</f>
        <v/>
      </c>
      <c r="H16" s="202" t="str">
        <f>'Weekly Minimums Planner'!AC23</f>
        <v/>
      </c>
      <c r="I16" s="175" t="str">
        <f>'Weekly Minimums Planner'!AD23</f>
        <v/>
      </c>
      <c r="J16" s="202" t="str">
        <f>IF('Weekly Minimums Planner'!AE23&gt;0,'Weekly Minimums Planner'!AE23,"")</f>
        <v/>
      </c>
      <c r="K16" s="175" t="e">
        <f>'Weekly Minimums Planner'!M23</f>
        <v>#N/A</v>
      </c>
      <c r="L16" s="175">
        <f>'Weekly Minimums Planner'!P23</f>
        <v>0</v>
      </c>
      <c r="IT16"/>
      <c r="IU16"/>
      <c r="IV16"/>
    </row>
    <row r="17" spans="1:256" s="10" customFormat="1" ht="25.5" customHeight="1">
      <c r="A17" s="166"/>
      <c r="B17" s="166"/>
      <c r="C17" s="166"/>
      <c r="D17" s="166"/>
      <c r="E17" s="166"/>
      <c r="F17" s="180">
        <f t="shared" si="1"/>
        <v>0</v>
      </c>
      <c r="G17" s="175" t="str">
        <f>IF('Weekly Minimums Planner'!AB24&gt;0,'Weekly Minimums Planner'!AB24,"")</f>
        <v/>
      </c>
      <c r="H17" s="202" t="str">
        <f>'Weekly Minimums Planner'!AC24</f>
        <v/>
      </c>
      <c r="I17" s="175" t="str">
        <f>'Weekly Minimums Planner'!AD24</f>
        <v/>
      </c>
      <c r="J17" s="202" t="str">
        <f>IF('Weekly Minimums Planner'!AE24&gt;0,'Weekly Minimums Planner'!AE24,"")</f>
        <v/>
      </c>
      <c r="K17" s="175" t="e">
        <f>'Weekly Minimums Planner'!M24</f>
        <v>#N/A</v>
      </c>
      <c r="L17" s="175">
        <f>'Weekly Minimums Planner'!P24</f>
        <v>0</v>
      </c>
      <c r="IT17"/>
      <c r="IU17"/>
      <c r="IV17"/>
    </row>
    <row r="18" spans="1:256" s="10" customFormat="1" ht="25.5" customHeight="1">
      <c r="A18" s="166"/>
      <c r="B18" s="166"/>
      <c r="C18" s="166"/>
      <c r="D18" s="166"/>
      <c r="E18" s="166"/>
      <c r="F18" s="180">
        <f t="shared" si="1"/>
        <v>0</v>
      </c>
      <c r="G18" s="175" t="str">
        <f>IF('Weekly Minimums Planner'!AB25&gt;0,'Weekly Minimums Planner'!AB25,"")</f>
        <v/>
      </c>
      <c r="H18" s="202" t="str">
        <f>'Weekly Minimums Planner'!AC25</f>
        <v/>
      </c>
      <c r="I18" s="175" t="str">
        <f>'Weekly Minimums Planner'!AD25</f>
        <v/>
      </c>
      <c r="J18" s="202" t="str">
        <f>IF('Weekly Minimums Planner'!AE25&gt;0,'Weekly Minimums Planner'!AE25,"")</f>
        <v/>
      </c>
      <c r="K18" s="175" t="e">
        <f>'Weekly Minimums Planner'!M25</f>
        <v>#N/A</v>
      </c>
      <c r="L18" s="175">
        <f>'Weekly Minimums Planner'!P25</f>
        <v>0</v>
      </c>
      <c r="IT18"/>
      <c r="IU18"/>
      <c r="IV18"/>
    </row>
    <row r="19" spans="1:256" s="10" customFormat="1" ht="25.5" customHeight="1">
      <c r="F19" s="180">
        <f t="shared" si="1"/>
        <v>0</v>
      </c>
      <c r="G19" s="175" t="str">
        <f>IF('Weekly Minimums Planner'!AB26&gt;0,'Weekly Minimums Planner'!AB26,"")</f>
        <v/>
      </c>
      <c r="H19" s="202" t="str">
        <f>'Weekly Minimums Planner'!AC26</f>
        <v/>
      </c>
      <c r="I19" s="175" t="str">
        <f>'Weekly Minimums Planner'!AD26</f>
        <v/>
      </c>
      <c r="J19" s="202" t="str">
        <f>IF('Weekly Minimums Planner'!AE26&gt;0,'Weekly Minimums Planner'!AE26,"")</f>
        <v/>
      </c>
      <c r="K19" s="175" t="e">
        <f>'Weekly Minimums Planner'!M26</f>
        <v>#N/A</v>
      </c>
      <c r="L19" s="175">
        <f>'Weekly Minimums Planner'!P26</f>
        <v>0</v>
      </c>
      <c r="IT19"/>
      <c r="IU19"/>
      <c r="IV19"/>
    </row>
    <row r="20" spans="1:256" s="10" customFormat="1" ht="25.5" customHeight="1">
      <c r="F20" s="180">
        <f t="shared" si="1"/>
        <v>0</v>
      </c>
      <c r="G20" s="175" t="str">
        <f>IF('Weekly Minimums Planner'!AB31&gt;0,'Weekly Minimums Planner'!AB31,"")</f>
        <v/>
      </c>
      <c r="H20" s="202" t="str">
        <f>'Weekly Minimums Planner'!AC31</f>
        <v/>
      </c>
      <c r="I20" s="175" t="str">
        <f>'Weekly Minimums Planner'!AD31</f>
        <v/>
      </c>
      <c r="J20" s="202" t="str">
        <f>IF('Weekly Minimums Planner'!AE31&gt;0,'Weekly Minimums Planner'!AE31,"")</f>
        <v/>
      </c>
      <c r="K20" s="175" t="e">
        <f>'Weekly Minimums Planner'!M31</f>
        <v>#N/A</v>
      </c>
      <c r="L20" s="175">
        <f>'Weekly Minimums Planner'!P31</f>
        <v>0</v>
      </c>
      <c r="IT20"/>
      <c r="IU20"/>
      <c r="IV20"/>
    </row>
    <row r="21" spans="1:256" s="10" customFormat="1" ht="25.5" customHeight="1">
      <c r="F21" s="180">
        <f t="shared" si="1"/>
        <v>0</v>
      </c>
      <c r="G21" s="175" t="str">
        <f>IF('Weekly Minimums Planner'!AB32&gt;0,'Weekly Minimums Planner'!AB32,"")</f>
        <v/>
      </c>
      <c r="H21" s="202" t="str">
        <f>'Weekly Minimums Planner'!AC32</f>
        <v/>
      </c>
      <c r="I21" s="175" t="str">
        <f>'Weekly Minimums Planner'!AD32</f>
        <v/>
      </c>
      <c r="J21" s="202" t="str">
        <f>IF('Weekly Minimums Planner'!AE32&gt;0,'Weekly Minimums Planner'!AE32,"")</f>
        <v/>
      </c>
      <c r="K21" s="175" t="e">
        <f>'Weekly Minimums Planner'!M32</f>
        <v>#N/A</v>
      </c>
      <c r="L21" s="175">
        <f>'Weekly Minimums Planner'!P32</f>
        <v>0</v>
      </c>
      <c r="IT21"/>
      <c r="IU21"/>
      <c r="IV21"/>
    </row>
    <row r="22" spans="1:256" s="10" customFormat="1" ht="25.5" customHeight="1">
      <c r="F22" s="180">
        <f t="shared" si="1"/>
        <v>0</v>
      </c>
      <c r="G22" s="175" t="str">
        <f>IF('Weekly Minimums Planner'!AB33&gt;0,'Weekly Minimums Planner'!AB33,"")</f>
        <v/>
      </c>
      <c r="H22" s="202" t="str">
        <f>'Weekly Minimums Planner'!AC33</f>
        <v/>
      </c>
      <c r="I22" s="175" t="str">
        <f>'Weekly Minimums Planner'!AD33</f>
        <v/>
      </c>
      <c r="J22" s="202" t="str">
        <f>IF('Weekly Minimums Planner'!AE33&gt;0,'Weekly Minimums Planner'!AE33,"")</f>
        <v/>
      </c>
      <c r="K22" s="175" t="e">
        <f>'Weekly Minimums Planner'!M33</f>
        <v>#N/A</v>
      </c>
      <c r="L22" s="175">
        <f>'Weekly Minimums Planner'!P33</f>
        <v>0</v>
      </c>
      <c r="IT22"/>
      <c r="IU22"/>
      <c r="IV22"/>
    </row>
    <row r="23" spans="1:256" s="10" customFormat="1" ht="25.5" customHeight="1">
      <c r="F23" s="180">
        <f t="shared" si="1"/>
        <v>0</v>
      </c>
      <c r="G23" s="175" t="str">
        <f>IF('Weekly Minimums Planner'!AB34&gt;0,'Weekly Minimums Planner'!AB34,"")</f>
        <v/>
      </c>
      <c r="H23" s="202" t="str">
        <f>'Weekly Minimums Planner'!AC34</f>
        <v/>
      </c>
      <c r="I23" s="175" t="str">
        <f>'Weekly Minimums Planner'!AD34</f>
        <v/>
      </c>
      <c r="J23" s="202" t="str">
        <f>IF('Weekly Minimums Planner'!AE34&gt;0,'Weekly Minimums Planner'!AE34,"")</f>
        <v/>
      </c>
      <c r="K23" s="175" t="e">
        <f>'Weekly Minimums Planner'!M34</f>
        <v>#N/A</v>
      </c>
      <c r="L23" s="175">
        <f>'Weekly Minimums Planner'!P34</f>
        <v>0</v>
      </c>
      <c r="IT23"/>
      <c r="IU23"/>
      <c r="IV23"/>
    </row>
    <row r="24" spans="1:256" s="10" customFormat="1" ht="25.5" customHeight="1">
      <c r="F24" s="180">
        <f t="shared" si="1"/>
        <v>0</v>
      </c>
      <c r="G24" s="175" t="str">
        <f>IF('Weekly Minimums Planner'!AB35&gt;0,'Weekly Minimums Planner'!AB35,"")</f>
        <v/>
      </c>
      <c r="H24" s="202" t="str">
        <f>'Weekly Minimums Planner'!AC35</f>
        <v/>
      </c>
      <c r="I24" s="175" t="str">
        <f>'Weekly Minimums Planner'!AD35</f>
        <v/>
      </c>
      <c r="J24" s="202" t="str">
        <f>IF('Weekly Minimums Planner'!AE35&gt;0,'Weekly Minimums Planner'!AE35,"")</f>
        <v/>
      </c>
      <c r="K24" s="175" t="e">
        <f>'Weekly Minimums Planner'!M35</f>
        <v>#N/A</v>
      </c>
      <c r="L24" s="175">
        <f>'Weekly Minimums Planner'!P35</f>
        <v>0</v>
      </c>
      <c r="IT24"/>
      <c r="IU24"/>
      <c r="IV24"/>
    </row>
    <row r="25" spans="1:256" s="10" customFormat="1" ht="25.5" customHeight="1">
      <c r="F25" s="180">
        <f>C15</f>
        <v>0</v>
      </c>
      <c r="G25" s="175" t="str">
        <f>IF('Weekly Minimums Planner'!AB36&gt;0,'Weekly Minimums Planner'!AB36,"")</f>
        <v/>
      </c>
      <c r="H25" s="202" t="str">
        <f>'Weekly Minimums Planner'!AC36</f>
        <v/>
      </c>
      <c r="I25" s="175" t="str">
        <f>'Weekly Minimums Planner'!AD36</f>
        <v/>
      </c>
      <c r="J25" s="202" t="str">
        <f>IF('Weekly Minimums Planner'!AE36&gt;0,'Weekly Minimums Planner'!AE36,"")</f>
        <v/>
      </c>
      <c r="K25" s="175" t="e">
        <f>'Weekly Minimums Planner'!M36</f>
        <v>#N/A</v>
      </c>
      <c r="L25" s="175">
        <f>'Weekly Minimums Planner'!P36</f>
        <v>0</v>
      </c>
      <c r="IT25"/>
      <c r="IU25"/>
      <c r="IV25"/>
    </row>
    <row r="26" spans="1:256" s="10" customFormat="1">
      <c r="IT26"/>
      <c r="IU26"/>
      <c r="IV26"/>
    </row>
    <row r="27" spans="1:256" s="10" customFormat="1">
      <c r="IT27"/>
      <c r="IU27"/>
      <c r="IV27"/>
    </row>
    <row r="28" spans="1:256" s="10" customFormat="1">
      <c r="IT28"/>
      <c r="IU28"/>
      <c r="IV28"/>
    </row>
    <row r="29" spans="1:256" s="10" customFormat="1">
      <c r="IT29"/>
      <c r="IU29"/>
      <c r="IV29"/>
    </row>
    <row r="30" spans="1:256" s="10" customFormat="1">
      <c r="IT30"/>
      <c r="IU30"/>
      <c r="IV30"/>
    </row>
    <row r="31" spans="1:256" s="10" customFormat="1">
      <c r="IT31"/>
      <c r="IU31"/>
      <c r="IV31"/>
    </row>
    <row r="32" spans="1:256" s="10" customFormat="1">
      <c r="IT32"/>
      <c r="IU32"/>
      <c r="IV32"/>
    </row>
    <row r="33" spans="254:256" s="10" customFormat="1">
      <c r="IT33"/>
      <c r="IU33"/>
      <c r="IV33"/>
    </row>
    <row r="34" spans="254:256" s="10" customFormat="1">
      <c r="IT34"/>
      <c r="IU34"/>
      <c r="IV34"/>
    </row>
    <row r="35" spans="254:256" s="10" customFormat="1">
      <c r="IT35"/>
      <c r="IU35"/>
      <c r="IV35"/>
    </row>
    <row r="36" spans="254:256" s="10" customFormat="1">
      <c r="IT36"/>
      <c r="IU36"/>
      <c r="IV36"/>
    </row>
    <row r="37" spans="254:256" s="10" customFormat="1">
      <c r="IT37"/>
      <c r="IU37"/>
      <c r="IV37"/>
    </row>
    <row r="38" spans="254:256" s="10" customFormat="1">
      <c r="IT38"/>
      <c r="IU38"/>
      <c r="IV38"/>
    </row>
    <row r="39" spans="254:256" s="10" customFormat="1">
      <c r="IT39"/>
      <c r="IU39"/>
      <c r="IV39"/>
    </row>
    <row r="40" spans="254:256" s="10" customFormat="1">
      <c r="IT40"/>
      <c r="IU40"/>
      <c r="IV40"/>
    </row>
    <row r="41" spans="254:256" s="10" customFormat="1">
      <c r="IT41"/>
      <c r="IU41"/>
      <c r="IV41"/>
    </row>
    <row r="42" spans="254:256" s="10" customFormat="1">
      <c r="IT42"/>
      <c r="IU42"/>
      <c r="IV42"/>
    </row>
    <row r="43" spans="254:256" s="10" customFormat="1">
      <c r="IT43"/>
      <c r="IU43"/>
      <c r="IV43"/>
    </row>
    <row r="44" spans="254:256" s="10" customFormat="1">
      <c r="IT44"/>
      <c r="IU44"/>
      <c r="IV44"/>
    </row>
    <row r="45" spans="254:256" s="10" customFormat="1">
      <c r="IT45"/>
      <c r="IU45"/>
      <c r="IV45"/>
    </row>
    <row r="46" spans="254:256" s="10" customFormat="1">
      <c r="IT46"/>
      <c r="IU46"/>
      <c r="IV46"/>
    </row>
    <row r="47" spans="254:256" s="10" customFormat="1">
      <c r="IT47"/>
      <c r="IU47"/>
      <c r="IV47"/>
    </row>
    <row r="48" spans="254:256" s="10" customFormat="1">
      <c r="IT48"/>
      <c r="IU48"/>
      <c r="IV48"/>
    </row>
    <row r="49" spans="254:256" s="10" customFormat="1">
      <c r="IT49"/>
      <c r="IU49"/>
      <c r="IV49"/>
    </row>
    <row r="50" spans="254:256" s="10" customFormat="1">
      <c r="IT50"/>
      <c r="IU50"/>
      <c r="IV50"/>
    </row>
    <row r="51" spans="254:256" s="10" customFormat="1">
      <c r="IT51"/>
      <c r="IU51"/>
      <c r="IV51"/>
    </row>
    <row r="52" spans="254:256" s="10" customFormat="1">
      <c r="IT52"/>
      <c r="IU52"/>
      <c r="IV52"/>
    </row>
    <row r="53" spans="254:256" s="10" customFormat="1">
      <c r="IT53"/>
      <c r="IU53"/>
      <c r="IV53"/>
    </row>
    <row r="54" spans="254:256" s="10" customFormat="1">
      <c r="IT54"/>
      <c r="IU54"/>
      <c r="IV54"/>
    </row>
    <row r="55" spans="254:256" s="10" customFormat="1">
      <c r="IT55"/>
      <c r="IU55"/>
      <c r="IV55"/>
    </row>
    <row r="56" spans="254:256" s="10" customFormat="1">
      <c r="IT56"/>
      <c r="IU56"/>
      <c r="IV56"/>
    </row>
    <row r="57" spans="254:256" s="10" customFormat="1">
      <c r="IT57"/>
      <c r="IU57"/>
      <c r="IV57"/>
    </row>
    <row r="58" spans="254:256" s="10" customFormat="1">
      <c r="IT58"/>
      <c r="IU58"/>
      <c r="IV58"/>
    </row>
    <row r="59" spans="254:256" s="10" customFormat="1">
      <c r="IT59"/>
      <c r="IU59"/>
      <c r="IV59"/>
    </row>
    <row r="60" spans="254:256" s="10" customFormat="1">
      <c r="IT60"/>
      <c r="IU60"/>
      <c r="IV60"/>
    </row>
    <row r="61" spans="254:256" s="10" customFormat="1">
      <c r="IT61"/>
      <c r="IU61"/>
      <c r="IV61"/>
    </row>
    <row r="62" spans="254:256" s="10" customFormat="1">
      <c r="IT62"/>
      <c r="IU62"/>
      <c r="IV62"/>
    </row>
    <row r="63" spans="254:256" s="10" customFormat="1">
      <c r="IT63"/>
      <c r="IU63"/>
      <c r="IV63"/>
    </row>
    <row r="64" spans="254:256" s="10" customFormat="1">
      <c r="IT64"/>
      <c r="IU64"/>
      <c r="IV64"/>
    </row>
    <row r="65" spans="254:256" s="10" customFormat="1">
      <c r="IT65"/>
      <c r="IU65"/>
      <c r="IV65"/>
    </row>
    <row r="66" spans="254:256" s="10" customFormat="1">
      <c r="IT66"/>
      <c r="IU66"/>
      <c r="IV66"/>
    </row>
    <row r="67" spans="254:256" s="10" customFormat="1">
      <c r="IT67"/>
      <c r="IU67"/>
      <c r="IV67"/>
    </row>
    <row r="68" spans="254:256" s="10" customFormat="1">
      <c r="IT68"/>
      <c r="IU68"/>
      <c r="IV68"/>
    </row>
    <row r="69" spans="254:256" s="10" customFormat="1">
      <c r="IT69"/>
      <c r="IU69"/>
      <c r="IV69"/>
    </row>
    <row r="70" spans="254:256" s="10" customFormat="1">
      <c r="IT70"/>
      <c r="IU70"/>
      <c r="IV70"/>
    </row>
    <row r="71" spans="254:256" s="10" customFormat="1">
      <c r="IT71"/>
      <c r="IU71"/>
      <c r="IV71"/>
    </row>
    <row r="72" spans="254:256" s="10" customFormat="1">
      <c r="IT72"/>
      <c r="IU72"/>
      <c r="IV72"/>
    </row>
    <row r="73" spans="254:256" s="10" customFormat="1">
      <c r="IT73"/>
      <c r="IU73"/>
      <c r="IV73"/>
    </row>
    <row r="74" spans="254:256" s="10" customFormat="1">
      <c r="IT74"/>
      <c r="IU74"/>
      <c r="IV74"/>
    </row>
    <row r="75" spans="254:256" s="10" customFormat="1">
      <c r="IT75"/>
      <c r="IU75"/>
      <c r="IV75"/>
    </row>
    <row r="76" spans="254:256" s="10" customFormat="1">
      <c r="IT76"/>
      <c r="IU76"/>
      <c r="IV76"/>
    </row>
    <row r="77" spans="254:256" s="10" customFormat="1">
      <c r="IT77"/>
      <c r="IU77"/>
      <c r="IV77"/>
    </row>
    <row r="78" spans="254:256" s="10" customFormat="1">
      <c r="IT78"/>
      <c r="IU78"/>
      <c r="IV78"/>
    </row>
    <row r="79" spans="254:256" s="10" customFormat="1">
      <c r="IT79"/>
      <c r="IU79"/>
      <c r="IV79"/>
    </row>
    <row r="80" spans="254:256" s="10" customFormat="1">
      <c r="IT80"/>
      <c r="IU80"/>
      <c r="IV80"/>
    </row>
    <row r="81" spans="254:256" s="10" customFormat="1">
      <c r="IT81"/>
      <c r="IU81"/>
      <c r="IV81"/>
    </row>
    <row r="82" spans="254:256" s="10" customFormat="1">
      <c r="IT82"/>
      <c r="IU82"/>
      <c r="IV82"/>
    </row>
    <row r="83" spans="254:256" s="10" customFormat="1">
      <c r="IT83"/>
      <c r="IU83"/>
      <c r="IV83"/>
    </row>
    <row r="84" spans="254:256" s="10" customFormat="1">
      <c r="IT84"/>
      <c r="IU84"/>
      <c r="IV84"/>
    </row>
    <row r="85" spans="254:256" s="10" customFormat="1">
      <c r="IT85"/>
      <c r="IU85"/>
      <c r="IV85"/>
    </row>
    <row r="86" spans="254:256" s="10" customFormat="1">
      <c r="IT86"/>
      <c r="IU86"/>
      <c r="IV86"/>
    </row>
    <row r="87" spans="254:256" s="10" customFormat="1">
      <c r="IT87"/>
      <c r="IU87"/>
      <c r="IV87"/>
    </row>
    <row r="88" spans="254:256" s="10" customFormat="1">
      <c r="IT88"/>
      <c r="IU88"/>
      <c r="IV88"/>
    </row>
    <row r="89" spans="254:256" s="10" customFormat="1">
      <c r="IT89"/>
      <c r="IU89"/>
      <c r="IV89"/>
    </row>
    <row r="90" spans="254:256" s="10" customFormat="1">
      <c r="IT90"/>
      <c r="IU90"/>
      <c r="IV90"/>
    </row>
    <row r="91" spans="254:256" s="10" customFormat="1">
      <c r="IT91"/>
      <c r="IU91"/>
      <c r="IV91"/>
    </row>
    <row r="92" spans="254:256" s="10" customFormat="1">
      <c r="IT92"/>
      <c r="IU92"/>
      <c r="IV92"/>
    </row>
    <row r="93" spans="254:256" s="10" customFormat="1">
      <c r="IT93"/>
      <c r="IU93"/>
      <c r="IV93"/>
    </row>
    <row r="94" spans="254:256" s="10" customFormat="1">
      <c r="IT94"/>
      <c r="IU94"/>
      <c r="IV94"/>
    </row>
    <row r="95" spans="254:256" s="10" customFormat="1">
      <c r="IT95"/>
      <c r="IU95"/>
      <c r="IV95"/>
    </row>
    <row r="96" spans="254:256" s="10" customFormat="1">
      <c r="IT96"/>
      <c r="IU96"/>
      <c r="IV96"/>
    </row>
    <row r="97" spans="254:256" s="10" customFormat="1">
      <c r="IT97"/>
      <c r="IU97"/>
      <c r="IV97"/>
    </row>
    <row r="98" spans="254:256" s="10" customFormat="1">
      <c r="IT98"/>
      <c r="IU98"/>
      <c r="IV98"/>
    </row>
    <row r="99" spans="254:256" s="10" customFormat="1">
      <c r="IT99"/>
      <c r="IU99"/>
      <c r="IV99"/>
    </row>
    <row r="100" spans="254:256" s="10" customFormat="1">
      <c r="IT100"/>
      <c r="IU100"/>
      <c r="IV100"/>
    </row>
    <row r="101" spans="254:256" s="10" customFormat="1">
      <c r="IT101"/>
      <c r="IU101"/>
      <c r="IV101"/>
    </row>
    <row r="102" spans="254:256" s="10" customFormat="1">
      <c r="IT102"/>
      <c r="IU102"/>
      <c r="IV102"/>
    </row>
    <row r="103" spans="254:256" s="10" customFormat="1">
      <c r="IT103"/>
      <c r="IU103"/>
      <c r="IV103"/>
    </row>
    <row r="104" spans="254:256" s="10" customFormat="1">
      <c r="IT104"/>
      <c r="IU104"/>
      <c r="IV104"/>
    </row>
    <row r="105" spans="254:256" s="10" customFormat="1">
      <c r="IT105"/>
      <c r="IU105"/>
      <c r="IV105"/>
    </row>
    <row r="106" spans="254:256" s="10" customFormat="1">
      <c r="IT106"/>
      <c r="IU106"/>
      <c r="IV106"/>
    </row>
    <row r="107" spans="254:256" s="10" customFormat="1">
      <c r="IT107"/>
      <c r="IU107"/>
      <c r="IV107"/>
    </row>
    <row r="108" spans="254:256" s="10" customFormat="1">
      <c r="IT108"/>
      <c r="IU108"/>
      <c r="IV108"/>
    </row>
    <row r="109" spans="254:256" s="10" customFormat="1">
      <c r="IT109"/>
      <c r="IU109"/>
      <c r="IV109"/>
    </row>
    <row r="110" spans="254:256" s="10" customFormat="1">
      <c r="IT110"/>
      <c r="IU110"/>
      <c r="IV110"/>
    </row>
    <row r="111" spans="254:256" s="10" customFormat="1">
      <c r="IT111"/>
      <c r="IU111"/>
      <c r="IV111"/>
    </row>
    <row r="112" spans="254:256" s="10" customFormat="1">
      <c r="IT112"/>
      <c r="IU112"/>
      <c r="IV112"/>
    </row>
    <row r="113" spans="254:256" s="10" customFormat="1">
      <c r="IT113"/>
      <c r="IU113"/>
      <c r="IV113"/>
    </row>
    <row r="114" spans="254:256" s="10" customFormat="1">
      <c r="IT114"/>
      <c r="IU114"/>
      <c r="IV114"/>
    </row>
    <row r="115" spans="254:256" s="10" customFormat="1">
      <c r="IT115"/>
      <c r="IU115"/>
      <c r="IV115"/>
    </row>
    <row r="116" spans="254:256" s="10" customFormat="1">
      <c r="IT116"/>
      <c r="IU116"/>
      <c r="IV116"/>
    </row>
    <row r="117" spans="254:256" s="10" customFormat="1">
      <c r="IT117"/>
      <c r="IU117"/>
      <c r="IV117"/>
    </row>
    <row r="118" spans="254:256" s="10" customFormat="1">
      <c r="IT118"/>
      <c r="IU118"/>
      <c r="IV118"/>
    </row>
    <row r="119" spans="254:256" s="10" customFormat="1">
      <c r="IT119"/>
      <c r="IU119"/>
      <c r="IV119"/>
    </row>
    <row r="120" spans="254:256" s="10" customFormat="1">
      <c r="IT120"/>
      <c r="IU120"/>
      <c r="IV120"/>
    </row>
    <row r="121" spans="254:256" s="10" customFormat="1">
      <c r="IT121"/>
      <c r="IU121"/>
      <c r="IV121"/>
    </row>
    <row r="122" spans="254:256" s="10" customFormat="1">
      <c r="IT122"/>
      <c r="IU122"/>
      <c r="IV122"/>
    </row>
    <row r="123" spans="254:256" s="10" customFormat="1">
      <c r="IT123"/>
      <c r="IU123"/>
      <c r="IV123"/>
    </row>
    <row r="124" spans="254:256" s="10" customFormat="1">
      <c r="IT124"/>
      <c r="IU124"/>
      <c r="IV124"/>
    </row>
    <row r="125" spans="254:256" s="10" customFormat="1">
      <c r="IT125"/>
      <c r="IU125"/>
      <c r="IV125"/>
    </row>
    <row r="126" spans="254:256" s="10" customFormat="1">
      <c r="IT126"/>
      <c r="IU126"/>
      <c r="IV126"/>
    </row>
    <row r="127" spans="254:256" s="10" customFormat="1">
      <c r="IT127"/>
      <c r="IU127"/>
      <c r="IV127"/>
    </row>
    <row r="128" spans="254:256" s="10" customFormat="1">
      <c r="IT128"/>
      <c r="IU128"/>
      <c r="IV128"/>
    </row>
    <row r="129" spans="254:256" s="10" customFormat="1">
      <c r="IT129"/>
      <c r="IU129"/>
      <c r="IV129"/>
    </row>
    <row r="130" spans="254:256" s="10" customFormat="1">
      <c r="IT130"/>
      <c r="IU130"/>
      <c r="IV130"/>
    </row>
    <row r="131" spans="254:256" s="10" customFormat="1">
      <c r="IT131"/>
      <c r="IU131"/>
      <c r="IV131"/>
    </row>
    <row r="132" spans="254:256" s="10" customFormat="1">
      <c r="IT132"/>
      <c r="IU132"/>
      <c r="IV132"/>
    </row>
    <row r="133" spans="254:256" s="10" customFormat="1">
      <c r="IT133"/>
      <c r="IU133"/>
      <c r="IV133"/>
    </row>
    <row r="134" spans="254:256" s="10" customFormat="1">
      <c r="IT134"/>
      <c r="IU134"/>
      <c r="IV134"/>
    </row>
    <row r="135" spans="254:256" s="10" customFormat="1">
      <c r="IT135"/>
      <c r="IU135"/>
      <c r="IV135"/>
    </row>
    <row r="136" spans="254:256" s="10" customFormat="1">
      <c r="IT136"/>
      <c r="IU136"/>
      <c r="IV136"/>
    </row>
    <row r="137" spans="254:256" s="10" customFormat="1">
      <c r="IT137"/>
      <c r="IU137"/>
      <c r="IV137"/>
    </row>
    <row r="138" spans="254:256" s="10" customFormat="1">
      <c r="IT138"/>
      <c r="IU138"/>
      <c r="IV138"/>
    </row>
    <row r="139" spans="254:256" s="10" customFormat="1">
      <c r="IT139"/>
      <c r="IU139"/>
      <c r="IV139"/>
    </row>
    <row r="140" spans="254:256" s="10" customFormat="1">
      <c r="IT140"/>
      <c r="IU140"/>
      <c r="IV140"/>
    </row>
    <row r="141" spans="254:256" s="10" customFormat="1">
      <c r="IT141"/>
      <c r="IU141"/>
      <c r="IV141"/>
    </row>
    <row r="142" spans="254:256" s="10" customFormat="1">
      <c r="IT142"/>
      <c r="IU142"/>
      <c r="IV142"/>
    </row>
    <row r="143" spans="254:256" s="10" customFormat="1">
      <c r="IT143"/>
      <c r="IU143"/>
      <c r="IV143"/>
    </row>
    <row r="144" spans="254:256" s="10" customFormat="1">
      <c r="IT144"/>
      <c r="IU144"/>
      <c r="IV144"/>
    </row>
    <row r="145" spans="254:256" s="10" customFormat="1">
      <c r="IT145"/>
      <c r="IU145"/>
      <c r="IV145"/>
    </row>
    <row r="146" spans="254:256" s="10" customFormat="1">
      <c r="IT146"/>
      <c r="IU146"/>
      <c r="IV146"/>
    </row>
    <row r="147" spans="254:256" s="10" customFormat="1">
      <c r="IT147"/>
      <c r="IU147"/>
      <c r="IV147"/>
    </row>
    <row r="148" spans="254:256" s="10" customFormat="1">
      <c r="IT148"/>
      <c r="IU148"/>
      <c r="IV148"/>
    </row>
    <row r="149" spans="254:256" s="10" customFormat="1">
      <c r="IT149"/>
      <c r="IU149"/>
      <c r="IV149"/>
    </row>
    <row r="150" spans="254:256" s="10" customFormat="1">
      <c r="IT150"/>
      <c r="IU150"/>
      <c r="IV150"/>
    </row>
    <row r="151" spans="254:256" s="10" customFormat="1">
      <c r="IT151"/>
      <c r="IU151"/>
      <c r="IV151"/>
    </row>
    <row r="152" spans="254:256" s="10" customFormat="1">
      <c r="IT152"/>
      <c r="IU152"/>
      <c r="IV152"/>
    </row>
    <row r="153" spans="254:256" s="10" customFormat="1">
      <c r="IT153"/>
      <c r="IU153"/>
      <c r="IV153"/>
    </row>
  </sheetData>
  <sheetProtection algorithmName="SHA-512" hashValue="MgnnKG8BqQG2De1tg5PHciPCkzRvvUiuvNx8ChKzi97ozbYl5IWyFgRPeaFm8MQXA2Nt8Qqb6/Kr/ZKfyh3N1w==" saltValue="MS9QCSIy1u/BA/9u2fJHtA==" spinCount="100000" sheet="1"/>
  <mergeCells count="2">
    <mergeCell ref="C3:D3"/>
    <mergeCell ref="A4:B4"/>
  </mergeCells>
  <phoneticPr fontId="10" type="noConversion"/>
  <conditionalFormatting sqref="B16 D16">
    <cfRule type="cellIs" dxfId="1" priority="1" stopIfTrue="1" operator="equal">
      <formula>0</formula>
    </cfRule>
  </conditionalFormatting>
  <conditionalFormatting sqref="A6:A15 C6:C15">
    <cfRule type="cellIs" dxfId="0" priority="2" stopIfTrue="1" operator="equal">
      <formula>0</formula>
    </cfRule>
  </conditionalFormatting>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dimension ref="A1:F20"/>
  <sheetViews>
    <sheetView zoomScale="90" zoomScaleNormal="90" workbookViewId="0">
      <selection activeCell="A9" sqref="A9:B9"/>
    </sheetView>
  </sheetViews>
  <sheetFormatPr defaultColWidth="11.5703125" defaultRowHeight="12.75"/>
  <cols>
    <col min="1" max="1" width="21.42578125" style="372" customWidth="1"/>
    <col min="2" max="3" width="19.42578125" style="372" customWidth="1"/>
    <col min="4" max="4" width="18.5703125" style="372" customWidth="1"/>
    <col min="5" max="5" width="19.42578125" style="372" customWidth="1"/>
    <col min="6" max="6" width="25.5703125" style="372" customWidth="1"/>
    <col min="7" max="16384" width="11.570312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 customHeight="1" thickBot="1">
      <c r="A3" s="524"/>
      <c r="B3" s="525"/>
      <c r="C3" s="381" t="s">
        <v>308</v>
      </c>
      <c r="D3" s="382">
        <f>'Store Details'!H2-1</f>
        <v>43863</v>
      </c>
      <c r="E3" s="383" t="s">
        <v>309</v>
      </c>
      <c r="F3" s="384" t="str">
        <f>IF('Store Details'!C15=0,"CL1",'Store Details'!C15)</f>
        <v>CL1</v>
      </c>
    </row>
    <row r="4" spans="1:6" ht="32.1" customHeight="1" thickBot="1">
      <c r="A4" s="524"/>
      <c r="B4" s="525"/>
      <c r="C4" s="385" t="s">
        <v>19</v>
      </c>
      <c r="D4" s="386" t="s">
        <v>172</v>
      </c>
      <c r="E4" s="386" t="s">
        <v>173</v>
      </c>
      <c r="F4" s="387" t="s">
        <v>310</v>
      </c>
    </row>
    <row r="5" spans="1:6" ht="22.5" customHeight="1" thickBot="1">
      <c r="A5" s="524"/>
      <c r="B5" s="525"/>
      <c r="C5" s="388" t="e">
        <f>'Weekly Minimums Planner'!M13</f>
        <v>#N/A</v>
      </c>
      <c r="D5" s="389">
        <f>'Weekly Minimums Planner'!P13</f>
        <v>0</v>
      </c>
      <c r="E5" s="389" t="e">
        <f>D5-C5</f>
        <v>#N/A</v>
      </c>
      <c r="F5" s="390" t="e">
        <f>(D5/C5)-1</f>
        <v>#N/A</v>
      </c>
    </row>
    <row r="6" spans="1:6" ht="15.6"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Planner'!AB13</f>
        <v/>
      </c>
      <c r="D8" s="398" t="str">
        <f>'Weekly Minimums Planner'!AC13</f>
        <v/>
      </c>
      <c r="E8" s="399" t="str">
        <f>'Weekly Minimums Planner'!AD13</f>
        <v/>
      </c>
      <c r="F8" s="400" t="str">
        <f>'Weekly Minimums Planner'!AE13</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3.5" thickBot="1">
      <c r="A18" s="514"/>
      <c r="B18" s="515"/>
      <c r="C18" s="520"/>
      <c r="D18" s="520"/>
      <c r="E18" s="520"/>
      <c r="F18" s="521"/>
    </row>
    <row r="19" spans="1:6" ht="15">
      <c r="A19" s="402" t="s">
        <v>11</v>
      </c>
      <c r="B19" s="403" t="s">
        <v>189</v>
      </c>
      <c r="C19" s="404" t="s">
        <v>316</v>
      </c>
      <c r="D19" s="405" t="s">
        <v>317</v>
      </c>
      <c r="E19" s="406" t="s">
        <v>189</v>
      </c>
      <c r="F19" s="404" t="s">
        <v>316</v>
      </c>
    </row>
    <row r="20" spans="1:6" ht="15.75" thickBot="1">
      <c r="A20" s="407" t="str">
        <f>F3</f>
        <v>CL1</v>
      </c>
      <c r="B20" s="408"/>
      <c r="C20" s="409"/>
      <c r="D20" s="407">
        <f>'Store Details'!D11</f>
        <v>0</v>
      </c>
      <c r="E20" s="408"/>
      <c r="F20" s="410"/>
    </row>
  </sheetData>
  <sheetProtection algorithmName="SHA-512" hashValue="Jm+an+KmNFWjo2NC5+uH55+SMhAsiQ8s/+FYQrzVTRP1CcMaKJP+n4MQp6n4guyqPlHRjHpaid4ZEo2Gras3ow==" saltValue="8nuEAMZhjTdKL12RbwATIA==" spinCount="100000" sheet="1" objects="1" scenarios="1"/>
  <mergeCells count="12">
    <mergeCell ref="A16:B18"/>
    <mergeCell ref="C16:F18"/>
    <mergeCell ref="A1:B6"/>
    <mergeCell ref="C1:D2"/>
    <mergeCell ref="E1:F2"/>
    <mergeCell ref="A7:B7"/>
    <mergeCell ref="A8:B8"/>
    <mergeCell ref="A9:B9"/>
    <mergeCell ref="A10:B12"/>
    <mergeCell ref="C10:F12"/>
    <mergeCell ref="A13:B15"/>
    <mergeCell ref="C13:F15"/>
  </mergeCells>
  <phoneticPr fontId="10" type="noConversion"/>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dimension ref="A1:F20"/>
  <sheetViews>
    <sheetView zoomScale="90" zoomScaleNormal="90" workbookViewId="0">
      <selection activeCell="F3" sqref="F3"/>
    </sheetView>
  </sheetViews>
  <sheetFormatPr defaultColWidth="11.5703125" defaultRowHeight="12.75"/>
  <cols>
    <col min="1" max="1" width="21.42578125" style="372" customWidth="1"/>
    <col min="2" max="3" width="19.42578125" style="372" customWidth="1"/>
    <col min="4" max="4" width="18.5703125" style="372" customWidth="1"/>
    <col min="5" max="5" width="19.42578125" style="372" customWidth="1"/>
    <col min="6" max="6" width="25.5703125" style="372" customWidth="1"/>
    <col min="7" max="16384" width="11.570312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 customHeight="1" thickBot="1">
      <c r="A3" s="524"/>
      <c r="B3" s="525"/>
      <c r="C3" s="381" t="s">
        <v>308</v>
      </c>
      <c r="D3" s="382">
        <f>'Store Details'!H2-1</f>
        <v>43863</v>
      </c>
      <c r="E3" s="383" t="s">
        <v>309</v>
      </c>
      <c r="F3" s="384" t="str">
        <f>IF('Store Details'!C16=0,"CL2",'Store Details'!C16)</f>
        <v>CL2</v>
      </c>
    </row>
    <row r="4" spans="1:6" ht="32.1" customHeight="1" thickBot="1">
      <c r="A4" s="524"/>
      <c r="B4" s="525"/>
      <c r="C4" s="385" t="s">
        <v>19</v>
      </c>
      <c r="D4" s="386" t="s">
        <v>172</v>
      </c>
      <c r="E4" s="386" t="s">
        <v>173</v>
      </c>
      <c r="F4" s="387" t="s">
        <v>310</v>
      </c>
    </row>
    <row r="5" spans="1:6" ht="22.5" customHeight="1" thickBot="1">
      <c r="A5" s="524"/>
      <c r="B5" s="525"/>
      <c r="C5" s="388" t="e">
        <f>'Weekly Minimums Planner'!M14</f>
        <v>#N/A</v>
      </c>
      <c r="D5" s="389">
        <f>'Weekly Minimums Planner'!P14</f>
        <v>0</v>
      </c>
      <c r="E5" s="389" t="e">
        <f>D5-C5</f>
        <v>#N/A</v>
      </c>
      <c r="F5" s="390" t="e">
        <f>(D5/C5)-1</f>
        <v>#N/A</v>
      </c>
    </row>
    <row r="6" spans="1:6" ht="15.6"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Planner'!AB14</f>
        <v/>
      </c>
      <c r="D8" s="398" t="str">
        <f>'Weekly Minimums Planner'!AC14</f>
        <v/>
      </c>
      <c r="E8" s="399" t="str">
        <f>'Weekly Minimums Planner'!AD14</f>
        <v/>
      </c>
      <c r="F8" s="400" t="str">
        <f>'Weekly Minimums Planner'!AE14</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3.5" thickBot="1">
      <c r="A18" s="514"/>
      <c r="B18" s="515"/>
      <c r="C18" s="520"/>
      <c r="D18" s="520"/>
      <c r="E18" s="520"/>
      <c r="F18" s="521"/>
    </row>
    <row r="19" spans="1:6" ht="15">
      <c r="A19" s="402" t="s">
        <v>11</v>
      </c>
      <c r="B19" s="403" t="s">
        <v>189</v>
      </c>
      <c r="C19" s="404" t="s">
        <v>316</v>
      </c>
      <c r="D19" s="405" t="s">
        <v>317</v>
      </c>
      <c r="E19" s="406" t="s">
        <v>189</v>
      </c>
      <c r="F19" s="404" t="s">
        <v>316</v>
      </c>
    </row>
    <row r="20" spans="1:6" ht="15.75" thickBot="1">
      <c r="A20" s="407" t="str">
        <f>F3</f>
        <v>CL2</v>
      </c>
      <c r="B20" s="408"/>
      <c r="C20" s="409"/>
      <c r="D20" s="407">
        <f>'Store Details'!C15</f>
        <v>0</v>
      </c>
      <c r="E20" s="408"/>
      <c r="F20" s="410"/>
    </row>
  </sheetData>
  <sheetProtection algorithmName="SHA-512" hashValue="V3xLkRPYY9XGFo/ECH+7TnZWOWu11Y/jts7sXzTnIoESgT5Vl/MGbXrY4ELEdzz+WIPP7FykERQYtJoCkptpHg==" saltValue="DP4Lk/hEwM8o1/WkaVbUsg=="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r:id="rId1"/>
  <headerFooter alignWithMargins="0"/>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dimension ref="A1:F20"/>
  <sheetViews>
    <sheetView zoomScale="90" zoomScaleNormal="90" workbookViewId="0">
      <selection activeCell="C10" sqref="C10:F12"/>
    </sheetView>
  </sheetViews>
  <sheetFormatPr defaultColWidth="11.5703125" defaultRowHeight="12.75"/>
  <cols>
    <col min="1" max="1" width="21.42578125" style="372" customWidth="1"/>
    <col min="2" max="3" width="19.42578125" style="372" customWidth="1"/>
    <col min="4" max="4" width="18.5703125" style="372" customWidth="1"/>
    <col min="5" max="5" width="19.42578125" style="372" customWidth="1"/>
    <col min="6" max="6" width="25.5703125" style="372" customWidth="1"/>
    <col min="7" max="16384" width="11.570312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 customHeight="1" thickBot="1">
      <c r="A3" s="524"/>
      <c r="B3" s="525"/>
      <c r="C3" s="381" t="s">
        <v>308</v>
      </c>
      <c r="D3" s="382">
        <f>'Store Details'!H2-1</f>
        <v>43863</v>
      </c>
      <c r="E3" s="383" t="s">
        <v>309</v>
      </c>
      <c r="F3" s="384" t="str">
        <f>IF('Store Details'!C17=0,"CL3",'Store Details'!C17)</f>
        <v>CL3</v>
      </c>
    </row>
    <row r="4" spans="1:6" ht="32.1" customHeight="1" thickBot="1">
      <c r="A4" s="524"/>
      <c r="B4" s="525"/>
      <c r="C4" s="385" t="s">
        <v>19</v>
      </c>
      <c r="D4" s="386" t="s">
        <v>172</v>
      </c>
      <c r="E4" s="386" t="s">
        <v>173</v>
      </c>
      <c r="F4" s="387" t="s">
        <v>310</v>
      </c>
    </row>
    <row r="5" spans="1:6" ht="22.5" customHeight="1" thickBot="1">
      <c r="A5" s="524"/>
      <c r="B5" s="525"/>
      <c r="C5" s="388" t="e">
        <f>'Weekly Minimums Planner'!M15</f>
        <v>#N/A</v>
      </c>
      <c r="D5" s="389">
        <f>'Weekly Minimums Planner'!P15</f>
        <v>0</v>
      </c>
      <c r="E5" s="389" t="e">
        <f>D5-C5</f>
        <v>#N/A</v>
      </c>
      <c r="F5" s="390" t="e">
        <f>(D5/C5)-1</f>
        <v>#N/A</v>
      </c>
    </row>
    <row r="6" spans="1:6" ht="15.6"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Planner'!AB15</f>
        <v/>
      </c>
      <c r="D8" s="398" t="str">
        <f>'Weekly Minimums Planner'!AC15</f>
        <v/>
      </c>
      <c r="E8" s="399" t="str">
        <f>'Weekly Minimums Planner'!AD15</f>
        <v/>
      </c>
      <c r="F8" s="400" t="str">
        <f>'Weekly Minimums Planner'!AE15</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3.5" thickBot="1">
      <c r="A18" s="514"/>
      <c r="B18" s="515"/>
      <c r="C18" s="520"/>
      <c r="D18" s="520"/>
      <c r="E18" s="520"/>
      <c r="F18" s="521"/>
    </row>
    <row r="19" spans="1:6" ht="15">
      <c r="A19" s="402" t="s">
        <v>11</v>
      </c>
      <c r="B19" s="403" t="s">
        <v>189</v>
      </c>
      <c r="C19" s="404" t="s">
        <v>316</v>
      </c>
      <c r="D19" s="405" t="s">
        <v>317</v>
      </c>
      <c r="E19" s="406" t="s">
        <v>189</v>
      </c>
      <c r="F19" s="404" t="s">
        <v>316</v>
      </c>
    </row>
    <row r="20" spans="1:6" ht="15.75" thickBot="1">
      <c r="A20" s="407" t="str">
        <f>F3</f>
        <v>CL3</v>
      </c>
      <c r="B20" s="408"/>
      <c r="C20" s="409"/>
      <c r="D20" s="407">
        <f>'Store Details'!C15</f>
        <v>0</v>
      </c>
      <c r="E20" s="408"/>
      <c r="F20" s="410"/>
    </row>
  </sheetData>
  <sheetProtection algorithmName="SHA-512" hashValue="118F34Uu/Psqo5ySVNAi5YiJB1Lf28y4s/M9toiD2VebVSNHFpHYQIfJmYMUzv2rKI6zqT66+qEOadegvsNkIg==" saltValue="XFMtfOGu9IpDn633xQBbjw=="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1:F20"/>
  <sheetViews>
    <sheetView zoomScaleNormal="100" workbookViewId="0">
      <selection activeCell="F3" sqref="F3"/>
    </sheetView>
  </sheetViews>
  <sheetFormatPr defaultColWidth="11.5703125" defaultRowHeight="12.75"/>
  <cols>
    <col min="1" max="1" width="21.42578125" style="372" customWidth="1"/>
    <col min="2" max="3" width="19.42578125" style="372" customWidth="1"/>
    <col min="4" max="4" width="18.5703125" style="372" customWidth="1"/>
    <col min="5" max="5" width="19.42578125" style="372" customWidth="1"/>
    <col min="6" max="6" width="25.5703125" style="372" customWidth="1"/>
    <col min="7" max="16384" width="11.570312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 customHeight="1" thickBot="1">
      <c r="A3" s="524"/>
      <c r="B3" s="525"/>
      <c r="C3" s="381" t="s">
        <v>308</v>
      </c>
      <c r="D3" s="382">
        <f>'Store Details'!H2-1</f>
        <v>43863</v>
      </c>
      <c r="E3" s="383" t="s">
        <v>309</v>
      </c>
      <c r="F3" s="384" t="str">
        <f>IF('Store Details'!C18=0,"CL4",'Store Details'!C18)</f>
        <v>CL4</v>
      </c>
    </row>
    <row r="4" spans="1:6" ht="32.1" customHeight="1" thickBot="1">
      <c r="A4" s="524"/>
      <c r="B4" s="525"/>
      <c r="C4" s="385" t="s">
        <v>19</v>
      </c>
      <c r="D4" s="386" t="s">
        <v>172</v>
      </c>
      <c r="E4" s="386" t="s">
        <v>173</v>
      </c>
      <c r="F4" s="387" t="s">
        <v>310</v>
      </c>
    </row>
    <row r="5" spans="1:6" ht="22.5" customHeight="1" thickBot="1">
      <c r="A5" s="524"/>
      <c r="B5" s="525"/>
      <c r="C5" s="388" t="e">
        <f>'Weekly Minimums Planner'!M16</f>
        <v>#N/A</v>
      </c>
      <c r="D5" s="389">
        <f>'Weekly Minimums Planner'!P16</f>
        <v>0</v>
      </c>
      <c r="E5" s="389" t="e">
        <f>D5-C5</f>
        <v>#N/A</v>
      </c>
      <c r="F5" s="390" t="e">
        <f>(D5/C5)-1</f>
        <v>#N/A</v>
      </c>
    </row>
    <row r="6" spans="1:6" ht="15.6"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Planner'!AB16</f>
        <v/>
      </c>
      <c r="D8" s="398" t="str">
        <f>'Weekly Minimums Planner'!AC16</f>
        <v/>
      </c>
      <c r="E8" s="399" t="str">
        <f>'Weekly Minimums Planner'!AD16</f>
        <v/>
      </c>
      <c r="F8" s="400" t="str">
        <f>'Weekly Minimums Planner'!AE16</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3.5" thickBot="1">
      <c r="A18" s="514"/>
      <c r="B18" s="515"/>
      <c r="C18" s="520"/>
      <c r="D18" s="520"/>
      <c r="E18" s="520"/>
      <c r="F18" s="521"/>
    </row>
    <row r="19" spans="1:6" ht="15">
      <c r="A19" s="402" t="s">
        <v>11</v>
      </c>
      <c r="B19" s="403" t="s">
        <v>189</v>
      </c>
      <c r="C19" s="404" t="s">
        <v>316</v>
      </c>
      <c r="D19" s="405" t="s">
        <v>317</v>
      </c>
      <c r="E19" s="406" t="s">
        <v>189</v>
      </c>
      <c r="F19" s="404" t="s">
        <v>316</v>
      </c>
    </row>
    <row r="20" spans="1:6" ht="15.75" thickBot="1">
      <c r="A20" s="407" t="str">
        <f>F3</f>
        <v>CL4</v>
      </c>
      <c r="B20" s="408"/>
      <c r="C20" s="409"/>
      <c r="D20" s="407">
        <f>'Store Details'!C15</f>
        <v>0</v>
      </c>
      <c r="E20" s="408"/>
      <c r="F20" s="410"/>
    </row>
  </sheetData>
  <sheetProtection algorithmName="SHA-512" hashValue="A9bzQ8a/auNbaz9phNRpqfSVBPHi+AalMyIE96+CfXrwy2QIwEP7hGpohBvlkxJw5QikFoIlTINGLDB8D7JQZg==" saltValue="61Agd5clIWb6VDfybtTd7Q=="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dimension ref="A1:F20"/>
  <sheetViews>
    <sheetView zoomScale="90" zoomScaleNormal="90" workbookViewId="0">
      <selection activeCell="F6" sqref="F6"/>
    </sheetView>
  </sheetViews>
  <sheetFormatPr defaultColWidth="11.5703125" defaultRowHeight="12.75"/>
  <cols>
    <col min="1" max="1" width="21.42578125" style="372" customWidth="1"/>
    <col min="2" max="3" width="19.42578125" style="372" customWidth="1"/>
    <col min="4" max="4" width="18.5703125" style="372" customWidth="1"/>
    <col min="5" max="5" width="19.42578125" style="372" customWidth="1"/>
    <col min="6" max="6" width="25.5703125" style="372" customWidth="1"/>
    <col min="7" max="16384" width="11.570312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 customHeight="1" thickBot="1">
      <c r="A3" s="524"/>
      <c r="B3" s="525"/>
      <c r="C3" s="381" t="s">
        <v>308</v>
      </c>
      <c r="D3" s="382">
        <f>'Store Details'!H2-1</f>
        <v>43863</v>
      </c>
      <c r="E3" s="383" t="s">
        <v>309</v>
      </c>
      <c r="F3" s="384" t="str">
        <f>IF('Store Details'!C19=0,"CL5",'Store Details'!C19)</f>
        <v>CL5</v>
      </c>
    </row>
    <row r="4" spans="1:6" ht="32.1" customHeight="1" thickBot="1">
      <c r="A4" s="524"/>
      <c r="B4" s="525"/>
      <c r="C4" s="385" t="s">
        <v>19</v>
      </c>
      <c r="D4" s="386" t="s">
        <v>172</v>
      </c>
      <c r="E4" s="386" t="s">
        <v>173</v>
      </c>
      <c r="F4" s="387" t="s">
        <v>310</v>
      </c>
    </row>
    <row r="5" spans="1:6" ht="22.5" customHeight="1" thickBot="1">
      <c r="A5" s="524"/>
      <c r="B5" s="525"/>
      <c r="C5" s="388" t="e">
        <f>'Weekly Minimums Planner'!M17</f>
        <v>#N/A</v>
      </c>
      <c r="D5" s="389">
        <f>'Weekly Minimums Planner'!P17</f>
        <v>0</v>
      </c>
      <c r="E5" s="389" t="e">
        <f>D5-C5</f>
        <v>#N/A</v>
      </c>
      <c r="F5" s="390" t="e">
        <f>(D5/C5)-1</f>
        <v>#N/A</v>
      </c>
    </row>
    <row r="6" spans="1:6" ht="15.6"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Planner'!AB17</f>
        <v/>
      </c>
      <c r="D8" s="398" t="str">
        <f>'Weekly Minimums Planner'!AC17</f>
        <v/>
      </c>
      <c r="E8" s="399" t="str">
        <f>'Weekly Minimums Planner'!AD17</f>
        <v/>
      </c>
      <c r="F8" s="400" t="str">
        <f>'Weekly Minimums Planner'!AE17</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3.5" thickBot="1">
      <c r="A18" s="514"/>
      <c r="B18" s="515"/>
      <c r="C18" s="520"/>
      <c r="D18" s="520"/>
      <c r="E18" s="520"/>
      <c r="F18" s="521"/>
    </row>
    <row r="19" spans="1:6" ht="15">
      <c r="A19" s="402" t="s">
        <v>11</v>
      </c>
      <c r="B19" s="403" t="s">
        <v>189</v>
      </c>
      <c r="C19" s="404" t="s">
        <v>316</v>
      </c>
      <c r="D19" s="405" t="s">
        <v>317</v>
      </c>
      <c r="E19" s="406" t="s">
        <v>189</v>
      </c>
      <c r="F19" s="404" t="s">
        <v>316</v>
      </c>
    </row>
    <row r="20" spans="1:6" ht="15.75" thickBot="1">
      <c r="A20" s="407" t="str">
        <f>F3</f>
        <v>CL5</v>
      </c>
      <c r="B20" s="408"/>
      <c r="C20" s="409"/>
      <c r="D20" s="407">
        <f>'Store Details'!C15</f>
        <v>0</v>
      </c>
      <c r="E20" s="408"/>
      <c r="F20" s="410"/>
    </row>
  </sheetData>
  <sheetProtection algorithmName="SHA-512" hashValue="PgLghUSmaIl++exvAkgjRZrHmi5hgjNT9xQiOBAnVB8Nx9HKALz+UHukbOx+LBpCvB25RaTcXg7UD166Mho0ZQ==" saltValue="HV6Uq+zCjVrD1p6JbUVEBQ=="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1:F20"/>
  <sheetViews>
    <sheetView zoomScale="90" zoomScaleNormal="90" workbookViewId="0">
      <selection activeCell="C13" sqref="C13:F15"/>
    </sheetView>
  </sheetViews>
  <sheetFormatPr defaultColWidth="11.5703125" defaultRowHeight="12.75"/>
  <cols>
    <col min="1" max="1" width="21.42578125" style="372" customWidth="1"/>
    <col min="2" max="3" width="19.42578125" style="372" customWidth="1"/>
    <col min="4" max="4" width="18.5703125" style="372" customWidth="1"/>
    <col min="5" max="5" width="19.42578125" style="372" customWidth="1"/>
    <col min="6" max="6" width="25.5703125" style="372" customWidth="1"/>
    <col min="7" max="16384" width="11.570312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 customHeight="1" thickBot="1">
      <c r="A3" s="524"/>
      <c r="B3" s="525"/>
      <c r="C3" s="381" t="s">
        <v>308</v>
      </c>
      <c r="D3" s="382">
        <f>'Store Details'!H2-1</f>
        <v>43863</v>
      </c>
      <c r="E3" s="383" t="s">
        <v>309</v>
      </c>
      <c r="F3" s="384" t="str">
        <f>IF('Store Details'!C20=0,"CL6",'Store Details'!C20)</f>
        <v>CL6</v>
      </c>
    </row>
    <row r="4" spans="1:6" ht="32.1" customHeight="1" thickBot="1">
      <c r="A4" s="524"/>
      <c r="B4" s="525"/>
      <c r="C4" s="385" t="s">
        <v>19</v>
      </c>
      <c r="D4" s="386" t="s">
        <v>172</v>
      </c>
      <c r="E4" s="386" t="s">
        <v>173</v>
      </c>
      <c r="F4" s="387" t="s">
        <v>310</v>
      </c>
    </row>
    <row r="5" spans="1:6" ht="22.5" customHeight="1" thickBot="1">
      <c r="A5" s="524"/>
      <c r="B5" s="525"/>
      <c r="C5" s="388" t="e">
        <f>'Weekly Minimums Planner'!M18</f>
        <v>#N/A</v>
      </c>
      <c r="D5" s="389">
        <f>'Weekly Minimums Planner'!P18</f>
        <v>0</v>
      </c>
      <c r="E5" s="389" t="e">
        <f>D5-C5</f>
        <v>#N/A</v>
      </c>
      <c r="F5" s="390" t="e">
        <f>(D5/C5)-1</f>
        <v>#N/A</v>
      </c>
    </row>
    <row r="6" spans="1:6" ht="15.6"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Planner'!AB18</f>
        <v/>
      </c>
      <c r="D8" s="398" t="str">
        <f>'Weekly Minimums Planner'!AC18</f>
        <v/>
      </c>
      <c r="E8" s="399" t="str">
        <f>'Weekly Minimums Planner'!AD18</f>
        <v/>
      </c>
      <c r="F8" s="400" t="str">
        <f>'Weekly Minimums Planner'!AE18</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3.5" thickBot="1">
      <c r="A18" s="514"/>
      <c r="B18" s="515"/>
      <c r="C18" s="520"/>
      <c r="D18" s="520"/>
      <c r="E18" s="520"/>
      <c r="F18" s="521"/>
    </row>
    <row r="19" spans="1:6" ht="15">
      <c r="A19" s="402" t="s">
        <v>11</v>
      </c>
      <c r="B19" s="403" t="s">
        <v>189</v>
      </c>
      <c r="C19" s="404" t="s">
        <v>316</v>
      </c>
      <c r="D19" s="405" t="s">
        <v>317</v>
      </c>
      <c r="E19" s="406" t="s">
        <v>189</v>
      </c>
      <c r="F19" s="404" t="s">
        <v>316</v>
      </c>
    </row>
    <row r="20" spans="1:6" ht="15.75" thickBot="1">
      <c r="A20" s="407" t="str">
        <f>F3</f>
        <v>CL6</v>
      </c>
      <c r="B20" s="408"/>
      <c r="C20" s="409"/>
      <c r="D20" s="407">
        <f>'Store Details'!C15</f>
        <v>0</v>
      </c>
      <c r="E20" s="408"/>
      <c r="F20" s="410"/>
    </row>
  </sheetData>
  <sheetProtection algorithmName="SHA-512" hashValue="svK95neyrmDmrgZzCLdFaimXFECt+k49TvORUH+CDHb6mR805nRE+XrhBrl7Yj71FdV6NpyCjE8zwpO7a8KGmA==" saltValue="ycYsQUEd2iO3ol3i8dUe3A=="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A1:F20"/>
  <sheetViews>
    <sheetView zoomScale="90" zoomScaleNormal="90" workbookViewId="0">
      <selection activeCell="C10" sqref="C10:F12"/>
    </sheetView>
  </sheetViews>
  <sheetFormatPr defaultColWidth="11.5703125" defaultRowHeight="12.75"/>
  <cols>
    <col min="1" max="1" width="21.42578125" style="372" customWidth="1"/>
    <col min="2" max="3" width="19.42578125" style="372" customWidth="1"/>
    <col min="4" max="4" width="18.5703125" style="372" customWidth="1"/>
    <col min="5" max="5" width="19.42578125" style="372" customWidth="1"/>
    <col min="6" max="6" width="25.5703125" style="372" customWidth="1"/>
    <col min="7" max="16384" width="11.570312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 customHeight="1" thickBot="1">
      <c r="A3" s="524"/>
      <c r="B3" s="525"/>
      <c r="C3" s="381" t="s">
        <v>308</v>
      </c>
      <c r="D3" s="382">
        <f>'Store Details'!H2-1</f>
        <v>43863</v>
      </c>
      <c r="E3" s="383" t="s">
        <v>309</v>
      </c>
      <c r="F3" s="384" t="str">
        <f>IF('Store Details'!C21=0,"CL7",'Store Details'!C21)</f>
        <v>CL7</v>
      </c>
    </row>
    <row r="4" spans="1:6" ht="32.1" customHeight="1" thickBot="1">
      <c r="A4" s="524"/>
      <c r="B4" s="525"/>
      <c r="C4" s="385" t="s">
        <v>19</v>
      </c>
      <c r="D4" s="386" t="s">
        <v>172</v>
      </c>
      <c r="E4" s="386" t="s">
        <v>173</v>
      </c>
      <c r="F4" s="387" t="s">
        <v>310</v>
      </c>
    </row>
    <row r="5" spans="1:6" ht="22.5" customHeight="1" thickBot="1">
      <c r="A5" s="524"/>
      <c r="B5" s="525"/>
      <c r="C5" s="388" t="e">
        <f>'Weekly Minimums Planner'!M19</f>
        <v>#N/A</v>
      </c>
      <c r="D5" s="389">
        <f>'Weekly Minimums Planner'!P19</f>
        <v>0</v>
      </c>
      <c r="E5" s="389" t="e">
        <f>D5-C5</f>
        <v>#N/A</v>
      </c>
      <c r="F5" s="390" t="e">
        <f>(D5/C5)-1</f>
        <v>#N/A</v>
      </c>
    </row>
    <row r="6" spans="1:6" ht="15.6"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Planner'!AB19</f>
        <v/>
      </c>
      <c r="D8" s="398" t="str">
        <f>'Weekly Minimums Planner'!AC19</f>
        <v/>
      </c>
      <c r="E8" s="399" t="str">
        <f>'Weekly Minimums Planner'!AD19</f>
        <v/>
      </c>
      <c r="F8" s="400" t="str">
        <f>'Weekly Minimums Planner'!AE19</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3.5" thickBot="1">
      <c r="A18" s="514"/>
      <c r="B18" s="515"/>
      <c r="C18" s="520"/>
      <c r="D18" s="520"/>
      <c r="E18" s="520"/>
      <c r="F18" s="521"/>
    </row>
    <row r="19" spans="1:6" ht="15">
      <c r="A19" s="402" t="s">
        <v>11</v>
      </c>
      <c r="B19" s="403" t="s">
        <v>189</v>
      </c>
      <c r="C19" s="404" t="s">
        <v>316</v>
      </c>
      <c r="D19" s="405" t="s">
        <v>317</v>
      </c>
      <c r="E19" s="406" t="s">
        <v>189</v>
      </c>
      <c r="F19" s="404" t="s">
        <v>316</v>
      </c>
    </row>
    <row r="20" spans="1:6" ht="15.75" thickBot="1">
      <c r="A20" s="407" t="str">
        <f>F3</f>
        <v>CL7</v>
      </c>
      <c r="B20" s="408"/>
      <c r="C20" s="409"/>
      <c r="D20" s="407">
        <f>'Store Details'!C15</f>
        <v>0</v>
      </c>
      <c r="E20" s="408"/>
      <c r="F20" s="410"/>
    </row>
  </sheetData>
  <sheetProtection algorithmName="SHA-512" hashValue="N+w9kRKG/Sayd3jj7ASgATnCT+0kDLZ44VncHOMa/+4p6I/ms2VBT9P78juVMZBGiv9mpT1k2O3TM0J/WZDpIA==" saltValue="vmSpoIupHHGXHzF9IiKZFQ=="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dimension ref="A1:F20"/>
  <sheetViews>
    <sheetView zoomScale="90" zoomScaleNormal="90" workbookViewId="0">
      <selection activeCell="F6" sqref="F6"/>
    </sheetView>
  </sheetViews>
  <sheetFormatPr defaultColWidth="11.5703125" defaultRowHeight="12.75"/>
  <cols>
    <col min="1" max="1" width="21.42578125" style="372" customWidth="1"/>
    <col min="2" max="3" width="19.42578125" style="372" customWidth="1"/>
    <col min="4" max="4" width="18.5703125" style="372" customWidth="1"/>
    <col min="5" max="5" width="19.42578125" style="372" customWidth="1"/>
    <col min="6" max="6" width="25.5703125" style="372" customWidth="1"/>
    <col min="7" max="16384" width="11.570312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 customHeight="1" thickBot="1">
      <c r="A3" s="524"/>
      <c r="B3" s="525"/>
      <c r="C3" s="381" t="s">
        <v>308</v>
      </c>
      <c r="D3" s="382">
        <f>'Store Details'!H2-1</f>
        <v>43863</v>
      </c>
      <c r="E3" s="383" t="s">
        <v>309</v>
      </c>
      <c r="F3" s="384" t="str">
        <f>IF('Store Details'!C22=0,"CL8",'Store Details'!C22)</f>
        <v>CL8</v>
      </c>
    </row>
    <row r="4" spans="1:6" ht="32.1" customHeight="1" thickBot="1">
      <c r="A4" s="524"/>
      <c r="B4" s="525"/>
      <c r="C4" s="385" t="s">
        <v>19</v>
      </c>
      <c r="D4" s="386" t="s">
        <v>172</v>
      </c>
      <c r="E4" s="386" t="s">
        <v>173</v>
      </c>
      <c r="F4" s="387" t="s">
        <v>310</v>
      </c>
    </row>
    <row r="5" spans="1:6" ht="22.5" customHeight="1" thickBot="1">
      <c r="A5" s="524"/>
      <c r="B5" s="525"/>
      <c r="C5" s="388" t="e">
        <f>'Weekly Minimums Planner'!M20</f>
        <v>#N/A</v>
      </c>
      <c r="D5" s="389">
        <f>'Weekly Minimums Planner'!P20</f>
        <v>0</v>
      </c>
      <c r="E5" s="389" t="e">
        <f>D5-C5</f>
        <v>#N/A</v>
      </c>
      <c r="F5" s="390" t="e">
        <f>(D5/C5)-1</f>
        <v>#N/A</v>
      </c>
    </row>
    <row r="6" spans="1:6" ht="15.6"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Planner'!AB20</f>
        <v/>
      </c>
      <c r="D8" s="398" t="str">
        <f>'Weekly Minimums Planner'!AC20</f>
        <v/>
      </c>
      <c r="E8" s="399" t="str">
        <f>'Weekly Minimums Planner'!AD20</f>
        <v/>
      </c>
      <c r="F8" s="400" t="str">
        <f>'Weekly Minimums Planner'!AE20</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3.5" thickBot="1">
      <c r="A18" s="514"/>
      <c r="B18" s="515"/>
      <c r="C18" s="520"/>
      <c r="D18" s="520"/>
      <c r="E18" s="520"/>
      <c r="F18" s="521"/>
    </row>
    <row r="19" spans="1:6" ht="15">
      <c r="A19" s="402" t="s">
        <v>11</v>
      </c>
      <c r="B19" s="403" t="s">
        <v>189</v>
      </c>
      <c r="C19" s="404" t="s">
        <v>316</v>
      </c>
      <c r="D19" s="405" t="s">
        <v>317</v>
      </c>
      <c r="E19" s="406" t="s">
        <v>189</v>
      </c>
      <c r="F19" s="404" t="s">
        <v>316</v>
      </c>
    </row>
    <row r="20" spans="1:6" ht="15.75" thickBot="1">
      <c r="A20" s="407" t="str">
        <f>F3</f>
        <v>CL8</v>
      </c>
      <c r="B20" s="408"/>
      <c r="C20" s="409"/>
      <c r="D20" s="407">
        <f>'Store Details'!C15</f>
        <v>0</v>
      </c>
      <c r="E20" s="408"/>
      <c r="F20" s="410"/>
    </row>
  </sheetData>
  <sheetProtection algorithmName="SHA-512" hashValue="MbR61ungKwBjXsCLlaqOzzIq0FTACb2ORVL2NVqeJuUlXTF8fiIv6psYESpIWAiT3NpuvUEWtQWfnsQz38/Yxg==" saltValue="GWOHQJ0LZDgtEgGFmccsUQ=="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r:id="rId1"/>
  <headerFooter alignWithMargins="0"/>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dimension ref="A1:F20"/>
  <sheetViews>
    <sheetView zoomScale="90" zoomScaleNormal="90" workbookViewId="0">
      <selection activeCell="F6" sqref="F6"/>
    </sheetView>
  </sheetViews>
  <sheetFormatPr defaultColWidth="11.5703125" defaultRowHeight="12.75"/>
  <cols>
    <col min="1" max="1" width="21.42578125" style="372" customWidth="1"/>
    <col min="2" max="3" width="19.42578125" style="372" customWidth="1"/>
    <col min="4" max="4" width="18.5703125" style="372" customWidth="1"/>
    <col min="5" max="5" width="19.42578125" style="372" customWidth="1"/>
    <col min="6" max="6" width="25.5703125" style="372" customWidth="1"/>
    <col min="7" max="16384" width="11.570312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 customHeight="1" thickBot="1">
      <c r="A3" s="524"/>
      <c r="B3" s="525"/>
      <c r="C3" s="381" t="s">
        <v>308</v>
      </c>
      <c r="D3" s="382">
        <f>'Store Details'!H2-1</f>
        <v>43863</v>
      </c>
      <c r="E3" s="383" t="s">
        <v>309</v>
      </c>
      <c r="F3" s="384" t="str">
        <f>IF('Store Details'!C23=0,"CL9",'Store Details'!C23)</f>
        <v>CL9</v>
      </c>
    </row>
    <row r="4" spans="1:6" ht="32.1" customHeight="1" thickBot="1">
      <c r="A4" s="524"/>
      <c r="B4" s="525"/>
      <c r="C4" s="385" t="s">
        <v>19</v>
      </c>
      <c r="D4" s="386" t="s">
        <v>172</v>
      </c>
      <c r="E4" s="386" t="s">
        <v>173</v>
      </c>
      <c r="F4" s="387" t="s">
        <v>310</v>
      </c>
    </row>
    <row r="5" spans="1:6" ht="22.5" customHeight="1" thickBot="1">
      <c r="A5" s="524"/>
      <c r="B5" s="525"/>
      <c r="C5" s="388" t="e">
        <f>'Weekly Minimums Planner'!M21</f>
        <v>#N/A</v>
      </c>
      <c r="D5" s="389">
        <f>'Weekly Minimums Planner'!P21</f>
        <v>0</v>
      </c>
      <c r="E5" s="389" t="e">
        <f>D5-C5</f>
        <v>#N/A</v>
      </c>
      <c r="F5" s="390" t="e">
        <f>(D5/C5)-1</f>
        <v>#N/A</v>
      </c>
    </row>
    <row r="6" spans="1:6" ht="15.6"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Planner'!AB21</f>
        <v/>
      </c>
      <c r="D8" s="398" t="str">
        <f>'Weekly Minimums Planner'!AC21</f>
        <v/>
      </c>
      <c r="E8" s="399" t="str">
        <f>'Weekly Minimums Planner'!AD21</f>
        <v/>
      </c>
      <c r="F8" s="400" t="str">
        <f>'Weekly Minimums Planner'!AE21</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3.5" thickBot="1">
      <c r="A18" s="514"/>
      <c r="B18" s="515"/>
      <c r="C18" s="520"/>
      <c r="D18" s="520"/>
      <c r="E18" s="520"/>
      <c r="F18" s="521"/>
    </row>
    <row r="19" spans="1:6" ht="15">
      <c r="A19" s="402" t="s">
        <v>11</v>
      </c>
      <c r="B19" s="403" t="s">
        <v>189</v>
      </c>
      <c r="C19" s="404" t="s">
        <v>316</v>
      </c>
      <c r="D19" s="405" t="s">
        <v>317</v>
      </c>
      <c r="E19" s="406" t="s">
        <v>189</v>
      </c>
      <c r="F19" s="404" t="s">
        <v>316</v>
      </c>
    </row>
    <row r="20" spans="1:6" ht="15.75" thickBot="1">
      <c r="A20" s="407" t="str">
        <f>F3</f>
        <v>CL9</v>
      </c>
      <c r="B20" s="408"/>
      <c r="C20" s="409"/>
      <c r="D20" s="407">
        <f>'Store Details'!C15</f>
        <v>0</v>
      </c>
      <c r="E20" s="408"/>
      <c r="F20" s="410"/>
    </row>
  </sheetData>
  <sheetProtection algorithmName="SHA-512" hashValue="NKLdFvtN1HaGmEP9JzdY+8IOO3LJA0z0m4r3yqeUU+faEcopK7bhEaNtkXvzS5qqFcjvS7+yGDkLatr6AexOVw==" saltValue="XknCGE7WlOup1OnzsFg+1A=="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7"/>
  <dimension ref="A1:F20"/>
  <sheetViews>
    <sheetView zoomScale="90" zoomScaleNormal="90" workbookViewId="0">
      <selection activeCell="F6" sqref="F6"/>
    </sheetView>
  </sheetViews>
  <sheetFormatPr defaultColWidth="11.5703125" defaultRowHeight="12.75"/>
  <cols>
    <col min="1" max="1" width="21.42578125" style="372" customWidth="1"/>
    <col min="2" max="3" width="19.42578125" style="372" customWidth="1"/>
    <col min="4" max="4" width="18.5703125" style="372" customWidth="1"/>
    <col min="5" max="5" width="19.42578125" style="372" customWidth="1"/>
    <col min="6" max="6" width="25.5703125" style="372" customWidth="1"/>
    <col min="7" max="16384" width="11.570312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 customHeight="1" thickBot="1">
      <c r="A3" s="524"/>
      <c r="B3" s="525"/>
      <c r="C3" s="381" t="s">
        <v>308</v>
      </c>
      <c r="D3" s="382">
        <f>'Store Details'!H2-1</f>
        <v>43863</v>
      </c>
      <c r="E3" s="383" t="s">
        <v>309</v>
      </c>
      <c r="F3" s="384" t="str">
        <f>IF('Store Details'!C24=0,"CL10",'Store Details'!C24)</f>
        <v>CL10</v>
      </c>
    </row>
    <row r="4" spans="1:6" ht="32.1" customHeight="1" thickBot="1">
      <c r="A4" s="524"/>
      <c r="B4" s="525"/>
      <c r="C4" s="385" t="s">
        <v>19</v>
      </c>
      <c r="D4" s="386" t="s">
        <v>172</v>
      </c>
      <c r="E4" s="386" t="s">
        <v>173</v>
      </c>
      <c r="F4" s="387" t="s">
        <v>310</v>
      </c>
    </row>
    <row r="5" spans="1:6" ht="22.5" customHeight="1" thickBot="1">
      <c r="A5" s="524"/>
      <c r="B5" s="525"/>
      <c r="C5" s="388" t="e">
        <f>'Weekly Minimums Planner'!M22</f>
        <v>#N/A</v>
      </c>
      <c r="D5" s="389">
        <f>'Weekly Minimums Planner'!P22</f>
        <v>0</v>
      </c>
      <c r="E5" s="389" t="e">
        <f>D5-C5</f>
        <v>#N/A</v>
      </c>
      <c r="F5" s="390" t="e">
        <f>(D5/C5)-1</f>
        <v>#N/A</v>
      </c>
    </row>
    <row r="6" spans="1:6" ht="15.6"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Planner'!AB22</f>
        <v/>
      </c>
      <c r="D8" s="398" t="str">
        <f>'Weekly Minimums Planner'!AC22</f>
        <v/>
      </c>
      <c r="E8" s="399" t="str">
        <f>'Weekly Minimums Planner'!AD22</f>
        <v/>
      </c>
      <c r="F8" s="400" t="str">
        <f>'Weekly Minimums Planner'!AE22</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52"/>
      <c r="D16" s="552"/>
      <c r="E16" s="552"/>
      <c r="F16" s="553"/>
    </row>
    <row r="17" spans="1:6">
      <c r="A17" s="512"/>
      <c r="B17" s="513"/>
      <c r="C17" s="554"/>
      <c r="D17" s="554"/>
      <c r="E17" s="554"/>
      <c r="F17" s="555"/>
    </row>
    <row r="18" spans="1:6" ht="13.5" thickBot="1">
      <c r="A18" s="514"/>
      <c r="B18" s="515"/>
      <c r="C18" s="556"/>
      <c r="D18" s="556"/>
      <c r="E18" s="556"/>
      <c r="F18" s="557"/>
    </row>
    <row r="19" spans="1:6" ht="15">
      <c r="A19" s="402" t="s">
        <v>11</v>
      </c>
      <c r="B19" s="403" t="s">
        <v>189</v>
      </c>
      <c r="C19" s="404" t="s">
        <v>316</v>
      </c>
      <c r="D19" s="405" t="s">
        <v>317</v>
      </c>
      <c r="E19" s="406" t="s">
        <v>189</v>
      </c>
      <c r="F19" s="404" t="s">
        <v>316</v>
      </c>
    </row>
    <row r="20" spans="1:6" ht="15.75" thickBot="1">
      <c r="A20" s="407" t="str">
        <f>F3</f>
        <v>CL10</v>
      </c>
      <c r="B20" s="408"/>
      <c r="C20" s="409"/>
      <c r="D20" s="407">
        <f>'Store Details'!C15</f>
        <v>0</v>
      </c>
      <c r="E20" s="408"/>
      <c r="F20" s="410"/>
    </row>
  </sheetData>
  <sheetProtection algorithmName="SHA-512" hashValue="ZfieZDp/RUw7G/F5n4ivi4DY/6d9PeRSOKMv+YwxTF3/L502HIAezQKVrTe8BW2gBqC4gSMjTVKHdZjNBDvM5g==" saltValue="8g4G+l2fFeScXN43JjjK5Q=="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r:id="rId1"/>
  <headerFooter alignWithMargins="0"/>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dimension ref="A1:F20"/>
  <sheetViews>
    <sheetView zoomScale="90" zoomScaleNormal="90" workbookViewId="0">
      <selection activeCell="C10" sqref="C10:F12"/>
    </sheetView>
  </sheetViews>
  <sheetFormatPr defaultColWidth="11.5703125" defaultRowHeight="12.75"/>
  <cols>
    <col min="1" max="1" width="21.42578125" style="372" customWidth="1"/>
    <col min="2" max="3" width="19.42578125" style="372" customWidth="1"/>
    <col min="4" max="4" width="18.5703125" style="372" customWidth="1"/>
    <col min="5" max="5" width="19.42578125" style="372" customWidth="1"/>
    <col min="6" max="6" width="25.5703125" style="372" customWidth="1"/>
    <col min="7" max="16384" width="11.570312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 customHeight="1" thickBot="1">
      <c r="A3" s="524"/>
      <c r="B3" s="525"/>
      <c r="C3" s="381" t="s">
        <v>308</v>
      </c>
      <c r="D3" s="382">
        <f>'Store Details'!H2-1</f>
        <v>43863</v>
      </c>
      <c r="E3" s="383" t="s">
        <v>309</v>
      </c>
      <c r="F3" s="384" t="str">
        <f>IF('Store Details'!C25=0,"CL11",'Store Details'!C25)</f>
        <v>CL11</v>
      </c>
    </row>
    <row r="4" spans="1:6" ht="32.1" customHeight="1" thickBot="1">
      <c r="A4" s="524"/>
      <c r="B4" s="525"/>
      <c r="C4" s="385" t="s">
        <v>19</v>
      </c>
      <c r="D4" s="386" t="s">
        <v>172</v>
      </c>
      <c r="E4" s="386" t="s">
        <v>173</v>
      </c>
      <c r="F4" s="387" t="s">
        <v>310</v>
      </c>
    </row>
    <row r="5" spans="1:6" ht="22.5" customHeight="1" thickBot="1">
      <c r="A5" s="524"/>
      <c r="B5" s="525"/>
      <c r="C5" s="388" t="e">
        <f>'Weekly Minimums Planner'!M23</f>
        <v>#N/A</v>
      </c>
      <c r="D5" s="389">
        <f>'Weekly Minimums Planner'!P23</f>
        <v>0</v>
      </c>
      <c r="E5" s="389" t="e">
        <f>D5-C5</f>
        <v>#N/A</v>
      </c>
      <c r="F5" s="390" t="e">
        <f>(D5/C5)-1</f>
        <v>#N/A</v>
      </c>
    </row>
    <row r="6" spans="1:6" ht="15.6"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Planner'!AB23</f>
        <v/>
      </c>
      <c r="D8" s="398" t="str">
        <f>'Weekly Minimums Planner'!AC23</f>
        <v/>
      </c>
      <c r="E8" s="399" t="str">
        <f>'Weekly Minimums Planner'!AD23</f>
        <v/>
      </c>
      <c r="F8" s="400" t="str">
        <f>'Weekly Minimums Planner'!AE23</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3.5" thickBot="1">
      <c r="A18" s="514"/>
      <c r="B18" s="515"/>
      <c r="C18" s="520"/>
      <c r="D18" s="520"/>
      <c r="E18" s="520"/>
      <c r="F18" s="521"/>
    </row>
    <row r="19" spans="1:6" ht="15">
      <c r="A19" s="402" t="s">
        <v>11</v>
      </c>
      <c r="B19" s="403" t="s">
        <v>189</v>
      </c>
      <c r="C19" s="404" t="s">
        <v>316</v>
      </c>
      <c r="D19" s="405" t="s">
        <v>317</v>
      </c>
      <c r="E19" s="406" t="s">
        <v>189</v>
      </c>
      <c r="F19" s="404" t="s">
        <v>316</v>
      </c>
    </row>
    <row r="20" spans="1:6" ht="15.75" thickBot="1">
      <c r="A20" s="407" t="str">
        <f>F3</f>
        <v>CL11</v>
      </c>
      <c r="B20" s="408"/>
      <c r="C20" s="409"/>
      <c r="D20" s="407">
        <f>'Store Details'!C15</f>
        <v>0</v>
      </c>
      <c r="E20" s="408"/>
      <c r="F20" s="410"/>
    </row>
  </sheetData>
  <sheetProtection algorithmName="SHA-512" hashValue="90qazC3jLa/GJkLp5zUz4dRo05f23uvPKEBShP79n/P40LimUYO+Y1cgD1pfB0FWzkakvBuzxzwIVfl5A/nmMA==" saltValue="eHaZNOpUCs2LsmoEITXjlQ=="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F20"/>
  <sheetViews>
    <sheetView topLeftCell="A2" zoomScale="90" zoomScaleNormal="90" workbookViewId="0">
      <selection activeCell="C10" sqref="C10:F18"/>
    </sheetView>
  </sheetViews>
  <sheetFormatPr defaultColWidth="11.5703125" defaultRowHeight="12.75"/>
  <cols>
    <col min="1" max="1" width="21.42578125" style="372" customWidth="1"/>
    <col min="2" max="3" width="19.42578125" style="372" customWidth="1"/>
    <col min="4" max="4" width="18.5703125" style="372" customWidth="1"/>
    <col min="5" max="5" width="19.42578125" style="372" customWidth="1"/>
    <col min="6" max="6" width="25.5703125" style="372" customWidth="1"/>
    <col min="7" max="16384" width="11.570312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 customHeight="1" thickBot="1">
      <c r="A3" s="524"/>
      <c r="B3" s="525"/>
      <c r="C3" s="381" t="s">
        <v>308</v>
      </c>
      <c r="D3" s="382">
        <f>'Store Details'!H2-1</f>
        <v>43863</v>
      </c>
      <c r="E3" s="383" t="s">
        <v>309</v>
      </c>
      <c r="F3" s="384" t="str">
        <f>IF('Store Details'!C26=0,"CL12",'Store Details'!C26)</f>
        <v>CL12</v>
      </c>
    </row>
    <row r="4" spans="1:6" ht="32.1" customHeight="1" thickBot="1">
      <c r="A4" s="524"/>
      <c r="B4" s="525"/>
      <c r="C4" s="385" t="s">
        <v>19</v>
      </c>
      <c r="D4" s="386" t="s">
        <v>172</v>
      </c>
      <c r="E4" s="386" t="s">
        <v>173</v>
      </c>
      <c r="F4" s="387" t="s">
        <v>310</v>
      </c>
    </row>
    <row r="5" spans="1:6" ht="22.5" customHeight="1" thickBot="1">
      <c r="A5" s="524"/>
      <c r="B5" s="525"/>
      <c r="C5" s="388" t="e">
        <f>'Weekly Minimums Planner'!M24</f>
        <v>#N/A</v>
      </c>
      <c r="D5" s="389">
        <f>'Weekly Minimums Planner'!P24</f>
        <v>0</v>
      </c>
      <c r="E5" s="389" t="e">
        <f>D5-C5</f>
        <v>#N/A</v>
      </c>
      <c r="F5" s="390" t="e">
        <f>(D5/C5)-1</f>
        <v>#N/A</v>
      </c>
    </row>
    <row r="6" spans="1:6" ht="15.6"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Planner'!AB24</f>
        <v/>
      </c>
      <c r="D8" s="398" t="str">
        <f>'Weekly Minimums Planner'!AC24</f>
        <v/>
      </c>
      <c r="E8" s="399" t="str">
        <f>'Weekly Minimums Planner'!AD24</f>
        <v/>
      </c>
      <c r="F8" s="400" t="str">
        <f>'Weekly Minimums Planner'!AE24</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3.5" thickBot="1">
      <c r="A18" s="514"/>
      <c r="B18" s="515"/>
      <c r="C18" s="520"/>
      <c r="D18" s="520"/>
      <c r="E18" s="520"/>
      <c r="F18" s="521"/>
    </row>
    <row r="19" spans="1:6" ht="15">
      <c r="A19" s="402" t="s">
        <v>11</v>
      </c>
      <c r="B19" s="403" t="s">
        <v>189</v>
      </c>
      <c r="C19" s="404" t="s">
        <v>316</v>
      </c>
      <c r="D19" s="405" t="s">
        <v>317</v>
      </c>
      <c r="E19" s="406" t="s">
        <v>189</v>
      </c>
      <c r="F19" s="404" t="s">
        <v>316</v>
      </c>
    </row>
    <row r="20" spans="1:6" ht="15.75" thickBot="1">
      <c r="A20" s="407" t="str">
        <f>F3</f>
        <v>CL12</v>
      </c>
      <c r="B20" s="408"/>
      <c r="C20" s="409"/>
      <c r="D20" s="407">
        <f>'Store Details'!C15</f>
        <v>0</v>
      </c>
      <c r="E20" s="408"/>
      <c r="F20" s="410"/>
    </row>
  </sheetData>
  <sheetProtection algorithmName="SHA-512" hashValue="SrupysMEdLcHFt8xmsvNOWGZlomyF27W+7kZfe4Mynet4dItPky89TA4TSjAFUKYnNG8VILf9oQcIWNsR2Evmw==" saltValue="fvs8FqJ5vNhRD+q4YEk5nw=="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dimension ref="A1:F20"/>
  <sheetViews>
    <sheetView topLeftCell="A2" zoomScale="90" zoomScaleNormal="90" workbookViewId="0">
      <selection activeCell="C13" sqref="C13:F15"/>
    </sheetView>
  </sheetViews>
  <sheetFormatPr defaultColWidth="11.5703125" defaultRowHeight="12.75"/>
  <cols>
    <col min="1" max="1" width="21.42578125" style="372" customWidth="1"/>
    <col min="2" max="3" width="19.42578125" style="372" customWidth="1"/>
    <col min="4" max="4" width="18.5703125" style="372" customWidth="1"/>
    <col min="5" max="5" width="19.42578125" style="372" customWidth="1"/>
    <col min="6" max="6" width="25.5703125" style="372" customWidth="1"/>
    <col min="7" max="16384" width="11.570312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 customHeight="1" thickBot="1">
      <c r="A3" s="524"/>
      <c r="B3" s="525"/>
      <c r="C3" s="381" t="s">
        <v>308</v>
      </c>
      <c r="D3" s="382">
        <f>'Store Details'!H2-1</f>
        <v>43863</v>
      </c>
      <c r="E3" s="383" t="s">
        <v>309</v>
      </c>
      <c r="F3" s="384" t="str">
        <f>IF('Store Details'!C27=0,"CL13",'Store Details'!C27)</f>
        <v>CL13</v>
      </c>
    </row>
    <row r="4" spans="1:6" ht="32.1" customHeight="1" thickBot="1">
      <c r="A4" s="524"/>
      <c r="B4" s="525"/>
      <c r="C4" s="385" t="s">
        <v>19</v>
      </c>
      <c r="D4" s="386" t="s">
        <v>172</v>
      </c>
      <c r="E4" s="386" t="s">
        <v>173</v>
      </c>
      <c r="F4" s="387" t="s">
        <v>310</v>
      </c>
    </row>
    <row r="5" spans="1:6" ht="22.5" customHeight="1" thickBot="1">
      <c r="A5" s="524"/>
      <c r="B5" s="525"/>
      <c r="C5" s="388" t="e">
        <f>'Weekly Minimums Planner'!M25</f>
        <v>#N/A</v>
      </c>
      <c r="D5" s="389">
        <f>'Weekly Minimums Planner'!P25</f>
        <v>0</v>
      </c>
      <c r="E5" s="389" t="e">
        <f>D5-C5</f>
        <v>#N/A</v>
      </c>
      <c r="F5" s="390" t="e">
        <f>(D5/C5)-1</f>
        <v>#N/A</v>
      </c>
    </row>
    <row r="6" spans="1:6" ht="15.6"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Planner'!AB25</f>
        <v/>
      </c>
      <c r="D8" s="398" t="str">
        <f>'Weekly Minimums Planner'!AC25</f>
        <v/>
      </c>
      <c r="E8" s="399" t="str">
        <f>'Weekly Minimums Planner'!AD25</f>
        <v/>
      </c>
      <c r="F8" s="400" t="str">
        <f>'Weekly Minimums Planner'!AE25</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3.5" thickBot="1">
      <c r="A18" s="514"/>
      <c r="B18" s="515"/>
      <c r="C18" s="520"/>
      <c r="D18" s="520"/>
      <c r="E18" s="520"/>
      <c r="F18" s="521"/>
    </row>
    <row r="19" spans="1:6" ht="15">
      <c r="A19" s="402" t="s">
        <v>11</v>
      </c>
      <c r="B19" s="403" t="s">
        <v>189</v>
      </c>
      <c r="C19" s="404" t="s">
        <v>316</v>
      </c>
      <c r="D19" s="405" t="s">
        <v>317</v>
      </c>
      <c r="E19" s="406" t="s">
        <v>189</v>
      </c>
      <c r="F19" s="404" t="s">
        <v>316</v>
      </c>
    </row>
    <row r="20" spans="1:6" ht="15.75" thickBot="1">
      <c r="A20" s="407" t="str">
        <f>F3</f>
        <v>CL13</v>
      </c>
      <c r="B20" s="408"/>
      <c r="C20" s="409"/>
      <c r="D20" s="407">
        <f>'Store Details'!C15</f>
        <v>0</v>
      </c>
      <c r="E20" s="408"/>
      <c r="F20" s="410"/>
    </row>
  </sheetData>
  <sheetProtection algorithmName="SHA-512" hashValue="fHg9Wh0s2IFD6wnvDOsh+5mpqfDJV9g27h9ou+X0Xm215V+yBWfbSCNZwGxHGqUNW+JYmXEzxsGgsy4w2L37zg==" saltValue="SMok8f58zF+tUveVKG7RKg=="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dimension ref="A1:F20"/>
  <sheetViews>
    <sheetView topLeftCell="A2" zoomScale="90" zoomScaleNormal="90" workbookViewId="0">
      <selection activeCell="C13" sqref="C13:F15"/>
    </sheetView>
  </sheetViews>
  <sheetFormatPr defaultColWidth="11.5703125" defaultRowHeight="12.75"/>
  <cols>
    <col min="1" max="1" width="21.42578125" style="372" customWidth="1"/>
    <col min="2" max="3" width="19.42578125" style="372" customWidth="1"/>
    <col min="4" max="4" width="18.5703125" style="372" customWidth="1"/>
    <col min="5" max="5" width="19.42578125" style="372" customWidth="1"/>
    <col min="6" max="6" width="25.5703125" style="372" customWidth="1"/>
    <col min="7" max="16384" width="11.570312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 customHeight="1" thickBot="1">
      <c r="A3" s="524"/>
      <c r="B3" s="525"/>
      <c r="C3" s="381" t="s">
        <v>308</v>
      </c>
      <c r="D3" s="382">
        <f>'Store Details'!H2-1</f>
        <v>43863</v>
      </c>
      <c r="E3" s="383" t="s">
        <v>309</v>
      </c>
      <c r="F3" s="384" t="str">
        <f>IF('Store Details'!C28=0,"CL14",'Store Details'!C28)</f>
        <v>CL14</v>
      </c>
    </row>
    <row r="4" spans="1:6" ht="32.1" customHeight="1" thickBot="1">
      <c r="A4" s="524"/>
      <c r="B4" s="525"/>
      <c r="C4" s="385" t="s">
        <v>19</v>
      </c>
      <c r="D4" s="386" t="s">
        <v>172</v>
      </c>
      <c r="E4" s="386" t="s">
        <v>173</v>
      </c>
      <c r="F4" s="387" t="s">
        <v>310</v>
      </c>
    </row>
    <row r="5" spans="1:6" ht="22.5" customHeight="1" thickBot="1">
      <c r="A5" s="524"/>
      <c r="B5" s="525"/>
      <c r="C5" s="388" t="e">
        <f>'Weekly Minimums Planner'!M26</f>
        <v>#N/A</v>
      </c>
      <c r="D5" s="389">
        <f>'Weekly Minimums Planner'!P26</f>
        <v>0</v>
      </c>
      <c r="E5" s="389" t="e">
        <f>D5-C5</f>
        <v>#N/A</v>
      </c>
      <c r="F5" s="390" t="e">
        <f>(D5/C5)-1</f>
        <v>#N/A</v>
      </c>
    </row>
    <row r="6" spans="1:6" ht="15.6"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Planner'!AB26</f>
        <v/>
      </c>
      <c r="D8" s="398" t="str">
        <f>'Weekly Minimums Planner'!AC26</f>
        <v/>
      </c>
      <c r="E8" s="399" t="str">
        <f>'Weekly Minimums Planner'!AD26</f>
        <v/>
      </c>
      <c r="F8" s="400" t="str">
        <f>'Weekly Minimums Planner'!AE26</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3.5" thickBot="1">
      <c r="A18" s="514"/>
      <c r="B18" s="515"/>
      <c r="C18" s="520"/>
      <c r="D18" s="520"/>
      <c r="E18" s="520"/>
      <c r="F18" s="521"/>
    </row>
    <row r="19" spans="1:6" ht="15">
      <c r="A19" s="402" t="s">
        <v>11</v>
      </c>
      <c r="B19" s="403" t="s">
        <v>189</v>
      </c>
      <c r="C19" s="404" t="s">
        <v>316</v>
      </c>
      <c r="D19" s="405" t="s">
        <v>317</v>
      </c>
      <c r="E19" s="406" t="s">
        <v>189</v>
      </c>
      <c r="F19" s="404" t="s">
        <v>316</v>
      </c>
    </row>
    <row r="20" spans="1:6" ht="15.75" thickBot="1">
      <c r="A20" s="407" t="str">
        <f>F3</f>
        <v>CL14</v>
      </c>
      <c r="B20" s="408"/>
      <c r="C20" s="409"/>
      <c r="D20" s="407">
        <f>'Store Details'!C15</f>
        <v>0</v>
      </c>
      <c r="E20" s="408"/>
      <c r="F20" s="410"/>
    </row>
  </sheetData>
  <sheetProtection algorithmName="SHA-512" hashValue="keWZ8RpHWYyAhOrpPAYldw6X0UYHyn3fxJIYUFu8rDyM0IggzqWaZ2AMxjtwzmtljAmwVz/dWjHoOBH60zNhNQ==" saltValue="k0Pq60nudZ6vMbcvWZUIUQ=="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dimension ref="A1:F20"/>
  <sheetViews>
    <sheetView topLeftCell="A2" zoomScale="90" zoomScaleNormal="90" workbookViewId="0">
      <selection activeCell="C13" sqref="C13:F15"/>
    </sheetView>
  </sheetViews>
  <sheetFormatPr defaultColWidth="11.5703125" defaultRowHeight="12.75"/>
  <cols>
    <col min="1" max="1" width="21.42578125" style="372" customWidth="1"/>
    <col min="2" max="3" width="19.42578125" style="372" customWidth="1"/>
    <col min="4" max="4" width="18.5703125" style="372" customWidth="1"/>
    <col min="5" max="5" width="19.42578125" style="372" customWidth="1"/>
    <col min="6" max="6" width="25.5703125" style="372" customWidth="1"/>
    <col min="7" max="16384" width="11.570312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 customHeight="1" thickBot="1">
      <c r="A3" s="524"/>
      <c r="B3" s="525"/>
      <c r="C3" s="381" t="s">
        <v>308</v>
      </c>
      <c r="D3" s="382">
        <f>'Store Details'!H2-1</f>
        <v>43863</v>
      </c>
      <c r="E3" s="383" t="s">
        <v>309</v>
      </c>
      <c r="F3" s="384" t="str">
        <f>IF('Store Details'!C29=0,"CL15",'Store Details'!C29)</f>
        <v>CL15</v>
      </c>
    </row>
    <row r="4" spans="1:6" ht="32.1" customHeight="1" thickBot="1">
      <c r="A4" s="524"/>
      <c r="B4" s="525"/>
      <c r="C4" s="385" t="s">
        <v>19</v>
      </c>
      <c r="D4" s="386" t="s">
        <v>172</v>
      </c>
      <c r="E4" s="386" t="s">
        <v>173</v>
      </c>
      <c r="F4" s="387" t="s">
        <v>310</v>
      </c>
    </row>
    <row r="5" spans="1:6" ht="22.5" customHeight="1" thickBot="1">
      <c r="A5" s="524"/>
      <c r="B5" s="525"/>
      <c r="C5" s="388" t="e">
        <f>'Weekly Minimums Planner'!M31</f>
        <v>#N/A</v>
      </c>
      <c r="D5" s="389">
        <f>'Weekly Minimums Planner'!P31</f>
        <v>0</v>
      </c>
      <c r="E5" s="389" t="e">
        <f>D5-C5</f>
        <v>#N/A</v>
      </c>
      <c r="F5" s="390" t="e">
        <f>(D5/C5)-1</f>
        <v>#N/A</v>
      </c>
    </row>
    <row r="6" spans="1:6" ht="15.6"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Planner'!AB31</f>
        <v/>
      </c>
      <c r="D8" s="398" t="str">
        <f>'Weekly Minimums Planner'!AC31</f>
        <v/>
      </c>
      <c r="E8" s="399" t="str">
        <f>'Weekly Minimums Planner'!AD31</f>
        <v/>
      </c>
      <c r="F8" s="400" t="str">
        <f>'Weekly Minimums Planner'!AE31</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3.5" thickBot="1">
      <c r="A18" s="514"/>
      <c r="B18" s="515"/>
      <c r="C18" s="520"/>
      <c r="D18" s="520"/>
      <c r="E18" s="520"/>
      <c r="F18" s="521"/>
    </row>
    <row r="19" spans="1:6" ht="15">
      <c r="A19" s="402" t="s">
        <v>11</v>
      </c>
      <c r="B19" s="403" t="s">
        <v>189</v>
      </c>
      <c r="C19" s="404" t="s">
        <v>316</v>
      </c>
      <c r="D19" s="405" t="s">
        <v>317</v>
      </c>
      <c r="E19" s="406" t="s">
        <v>189</v>
      </c>
      <c r="F19" s="404" t="s">
        <v>316</v>
      </c>
    </row>
    <row r="20" spans="1:6" ht="15.75" thickBot="1">
      <c r="A20" s="407" t="str">
        <f>F3</f>
        <v>CL15</v>
      </c>
      <c r="B20" s="408"/>
      <c r="C20" s="409"/>
      <c r="D20" s="407">
        <f>'Store Details'!C15</f>
        <v>0</v>
      </c>
      <c r="E20" s="408"/>
      <c r="F20" s="410"/>
    </row>
  </sheetData>
  <sheetProtection algorithmName="SHA-512" hashValue="jKdIcr17gYCd8wEQOwxTgk/KApgSe7jS5008U0yO7mm4Ew1WyW/hLQVcCVIuyZMeAcRtLEZZW7YHTuFQvg4qAA==" saltValue="n6E7WTuJloXT8Dk4YOCCRg=="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2"/>
  <dimension ref="A1:F20"/>
  <sheetViews>
    <sheetView topLeftCell="A3" zoomScale="90" zoomScaleNormal="90" workbookViewId="0">
      <selection activeCell="C13" sqref="C13:F15"/>
    </sheetView>
  </sheetViews>
  <sheetFormatPr defaultColWidth="11.5703125" defaultRowHeight="12.75"/>
  <cols>
    <col min="1" max="1" width="21.42578125" style="372" customWidth="1"/>
    <col min="2" max="3" width="19.42578125" style="372" customWidth="1"/>
    <col min="4" max="4" width="18.5703125" style="372" customWidth="1"/>
    <col min="5" max="5" width="19.42578125" style="372" customWidth="1"/>
    <col min="6" max="6" width="25.5703125" style="372" customWidth="1"/>
    <col min="7" max="16384" width="11.570312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 customHeight="1" thickBot="1">
      <c r="A3" s="524"/>
      <c r="B3" s="525"/>
      <c r="C3" s="381" t="s">
        <v>308</v>
      </c>
      <c r="D3" s="382">
        <f>'Store Details'!H2-1</f>
        <v>43863</v>
      </c>
      <c r="E3" s="383" t="s">
        <v>309</v>
      </c>
      <c r="F3" s="384" t="str">
        <f>IF('Store Details'!C30=0,"CL16",'Store Details'!C30)</f>
        <v>CL16</v>
      </c>
    </row>
    <row r="4" spans="1:6" ht="32.1" customHeight="1" thickBot="1">
      <c r="A4" s="524"/>
      <c r="B4" s="525"/>
      <c r="C4" s="385" t="s">
        <v>19</v>
      </c>
      <c r="D4" s="386" t="s">
        <v>172</v>
      </c>
      <c r="E4" s="386" t="s">
        <v>173</v>
      </c>
      <c r="F4" s="387" t="s">
        <v>310</v>
      </c>
    </row>
    <row r="5" spans="1:6" ht="22.5" customHeight="1" thickBot="1">
      <c r="A5" s="524"/>
      <c r="B5" s="525"/>
      <c r="C5" s="388" t="e">
        <f>'Weekly Minimums Planner'!M32</f>
        <v>#N/A</v>
      </c>
      <c r="D5" s="389">
        <f>'Weekly Minimums Planner'!P32</f>
        <v>0</v>
      </c>
      <c r="E5" s="389" t="e">
        <f>D5-C5</f>
        <v>#N/A</v>
      </c>
      <c r="F5" s="390" t="e">
        <f>(D5/C5)-1</f>
        <v>#N/A</v>
      </c>
    </row>
    <row r="6" spans="1:6" ht="15.6"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Planner'!AB32</f>
        <v/>
      </c>
      <c r="D8" s="398" t="str">
        <f>'Weekly Minimums Planner'!AC32</f>
        <v/>
      </c>
      <c r="E8" s="399" t="str">
        <f>'Weekly Minimums Planner'!AD32</f>
        <v/>
      </c>
      <c r="F8" s="400" t="str">
        <f>'Weekly Minimums Planner'!AE32</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3.5" thickBot="1">
      <c r="A18" s="514"/>
      <c r="B18" s="515"/>
      <c r="C18" s="520"/>
      <c r="D18" s="520"/>
      <c r="E18" s="520"/>
      <c r="F18" s="521"/>
    </row>
    <row r="19" spans="1:6" ht="15">
      <c r="A19" s="402" t="s">
        <v>11</v>
      </c>
      <c r="B19" s="403" t="s">
        <v>189</v>
      </c>
      <c r="C19" s="404" t="s">
        <v>316</v>
      </c>
      <c r="D19" s="405" t="s">
        <v>317</v>
      </c>
      <c r="E19" s="406" t="s">
        <v>189</v>
      </c>
      <c r="F19" s="404" t="s">
        <v>316</v>
      </c>
    </row>
    <row r="20" spans="1:6" ht="15.75" thickBot="1">
      <c r="A20" s="407" t="str">
        <f>F3</f>
        <v>CL16</v>
      </c>
      <c r="B20" s="408"/>
      <c r="C20" s="409"/>
      <c r="D20" s="407">
        <f>'Store Details'!C15</f>
        <v>0</v>
      </c>
      <c r="E20" s="408"/>
      <c r="F20" s="410"/>
    </row>
  </sheetData>
  <sheetProtection algorithmName="SHA-512" hashValue="P3KfEbiTZsRZbf3L2iQa8e3YkJ1dLA4abDVDq48FtqmZu7hXFHmx/CQJVxkqH423t8qQGMzDNaPKfzwfHm2GSQ==" saltValue="sNWMOUcVOZz8DWVQbwTCeQ=="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6"/>
  <dimension ref="A1:F20"/>
  <sheetViews>
    <sheetView topLeftCell="A2" zoomScale="90" zoomScaleNormal="90" workbookViewId="0">
      <selection activeCell="A10" sqref="A10:B12"/>
    </sheetView>
  </sheetViews>
  <sheetFormatPr defaultColWidth="11.5703125" defaultRowHeight="12.75"/>
  <cols>
    <col min="1" max="1" width="21.42578125" style="372" customWidth="1"/>
    <col min="2" max="3" width="19.42578125" style="372" customWidth="1"/>
    <col min="4" max="4" width="18.5703125" style="372" customWidth="1"/>
    <col min="5" max="5" width="19.42578125" style="372" customWidth="1"/>
    <col min="6" max="6" width="25.5703125" style="372" customWidth="1"/>
    <col min="7" max="16384" width="11.570312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 customHeight="1" thickBot="1">
      <c r="A3" s="524"/>
      <c r="B3" s="525"/>
      <c r="C3" s="381" t="s">
        <v>308</v>
      </c>
      <c r="D3" s="382">
        <f>'Store Details'!H2-1</f>
        <v>43863</v>
      </c>
      <c r="E3" s="383" t="s">
        <v>309</v>
      </c>
      <c r="F3" s="384" t="str">
        <f>IF('Store Details'!C31=0,"CL17",'Store Details'!C31)</f>
        <v>CL17</v>
      </c>
    </row>
    <row r="4" spans="1:6" ht="32.1" customHeight="1" thickBot="1">
      <c r="A4" s="524"/>
      <c r="B4" s="525"/>
      <c r="C4" s="385" t="s">
        <v>19</v>
      </c>
      <c r="D4" s="386" t="s">
        <v>172</v>
      </c>
      <c r="E4" s="386" t="s">
        <v>173</v>
      </c>
      <c r="F4" s="387" t="s">
        <v>310</v>
      </c>
    </row>
    <row r="5" spans="1:6" ht="22.5" customHeight="1" thickBot="1">
      <c r="A5" s="524"/>
      <c r="B5" s="525"/>
      <c r="C5" s="388" t="e">
        <f>'Weekly Minimums Planner'!M33</f>
        <v>#N/A</v>
      </c>
      <c r="D5" s="389">
        <f>'Weekly Minimums Planner'!P33</f>
        <v>0</v>
      </c>
      <c r="E5" s="389" t="e">
        <f>D5-C5</f>
        <v>#N/A</v>
      </c>
      <c r="F5" s="390" t="e">
        <f>(D5/C5)-1</f>
        <v>#N/A</v>
      </c>
    </row>
    <row r="6" spans="1:6" ht="15.6"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Planner'!AB33</f>
        <v/>
      </c>
      <c r="D8" s="398" t="str">
        <f>'Weekly Minimums Planner'!AC33</f>
        <v/>
      </c>
      <c r="E8" s="399" t="str">
        <f>'Weekly Minimums Planner'!AD33</f>
        <v/>
      </c>
      <c r="F8" s="400" t="str">
        <f>'Weekly Minimums Planner'!AE33</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3.5" thickBot="1">
      <c r="A18" s="514"/>
      <c r="B18" s="515"/>
      <c r="C18" s="520"/>
      <c r="D18" s="520"/>
      <c r="E18" s="520"/>
      <c r="F18" s="521"/>
    </row>
    <row r="19" spans="1:6" ht="15">
      <c r="A19" s="402" t="s">
        <v>11</v>
      </c>
      <c r="B19" s="403" t="s">
        <v>189</v>
      </c>
      <c r="C19" s="404" t="s">
        <v>316</v>
      </c>
      <c r="D19" s="405" t="s">
        <v>317</v>
      </c>
      <c r="E19" s="406" t="s">
        <v>189</v>
      </c>
      <c r="F19" s="404" t="s">
        <v>316</v>
      </c>
    </row>
    <row r="20" spans="1:6" ht="15.75" thickBot="1">
      <c r="A20" s="407" t="str">
        <f>F3</f>
        <v>CL17</v>
      </c>
      <c r="B20" s="408"/>
      <c r="C20" s="409"/>
      <c r="D20" s="407">
        <f>'Store Details'!C15</f>
        <v>0</v>
      </c>
      <c r="E20" s="408"/>
      <c r="F20" s="410"/>
    </row>
  </sheetData>
  <sheetProtection algorithmName="SHA-512" hashValue="lsKH6aOAIlv5CxPhU1HAcWXepiqv7i3h6uXHaD69ekz7Jgn6bjakaSeqDehZBkNRFVSWfUTV6z378OmBIPv0og==" saltValue="2Jrc+Z+zMU32BUFntSyOog=="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7"/>
  <dimension ref="A1:F20"/>
  <sheetViews>
    <sheetView topLeftCell="A2" zoomScale="90" zoomScaleNormal="90" workbookViewId="0">
      <selection activeCell="C10" sqref="C10:F18"/>
    </sheetView>
  </sheetViews>
  <sheetFormatPr defaultColWidth="11.5703125" defaultRowHeight="12.75"/>
  <cols>
    <col min="1" max="1" width="21.42578125" style="372" customWidth="1"/>
    <col min="2" max="3" width="19.42578125" style="372" customWidth="1"/>
    <col min="4" max="4" width="18.5703125" style="372" customWidth="1"/>
    <col min="5" max="5" width="19.42578125" style="372" customWidth="1"/>
    <col min="6" max="6" width="25.5703125" style="372" customWidth="1"/>
    <col min="7" max="16384" width="11.570312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 customHeight="1" thickBot="1">
      <c r="A3" s="524"/>
      <c r="B3" s="525"/>
      <c r="C3" s="381" t="s">
        <v>308</v>
      </c>
      <c r="D3" s="382">
        <f>'Store Details'!H2-1</f>
        <v>43863</v>
      </c>
      <c r="E3" s="383" t="s">
        <v>309</v>
      </c>
      <c r="F3" s="384" t="str">
        <f>IF('Store Details'!C32=0,"CL18",'Store Details'!C32)</f>
        <v>CL18</v>
      </c>
    </row>
    <row r="4" spans="1:6" ht="32.1" customHeight="1" thickBot="1">
      <c r="A4" s="524"/>
      <c r="B4" s="525"/>
      <c r="C4" s="385" t="s">
        <v>19</v>
      </c>
      <c r="D4" s="386" t="s">
        <v>172</v>
      </c>
      <c r="E4" s="386" t="s">
        <v>173</v>
      </c>
      <c r="F4" s="387" t="s">
        <v>310</v>
      </c>
    </row>
    <row r="5" spans="1:6" ht="22.5" customHeight="1" thickBot="1">
      <c r="A5" s="524"/>
      <c r="B5" s="525"/>
      <c r="C5" s="388" t="e">
        <f>'Weekly Minimums Planner'!M34</f>
        <v>#N/A</v>
      </c>
      <c r="D5" s="389">
        <f>'Weekly Minimums Planner'!P34</f>
        <v>0</v>
      </c>
      <c r="E5" s="389" t="e">
        <f>D5-C5</f>
        <v>#N/A</v>
      </c>
      <c r="F5" s="390" t="e">
        <f>(D5/C5)-1</f>
        <v>#N/A</v>
      </c>
    </row>
    <row r="6" spans="1:6" ht="15.6"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Planner'!AB34</f>
        <v/>
      </c>
      <c r="D8" s="398" t="str">
        <f>'Weekly Minimums Planner'!AC34</f>
        <v/>
      </c>
      <c r="E8" s="399" t="str">
        <f>'Weekly Minimums Planner'!AD34</f>
        <v/>
      </c>
      <c r="F8" s="400" t="str">
        <f>'Weekly Minimums Planner'!AE34</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3.5" thickBot="1">
      <c r="A18" s="514"/>
      <c r="B18" s="515"/>
      <c r="C18" s="520"/>
      <c r="D18" s="520"/>
      <c r="E18" s="520"/>
      <c r="F18" s="521"/>
    </row>
    <row r="19" spans="1:6" ht="15">
      <c r="A19" s="402" t="s">
        <v>11</v>
      </c>
      <c r="B19" s="403" t="s">
        <v>189</v>
      </c>
      <c r="C19" s="404" t="s">
        <v>316</v>
      </c>
      <c r="D19" s="405" t="s">
        <v>317</v>
      </c>
      <c r="E19" s="406" t="s">
        <v>189</v>
      </c>
      <c r="F19" s="404" t="s">
        <v>316</v>
      </c>
    </row>
    <row r="20" spans="1:6" ht="15.75" thickBot="1">
      <c r="A20" s="407" t="str">
        <f>F3</f>
        <v>CL18</v>
      </c>
      <c r="B20" s="408"/>
      <c r="C20" s="409"/>
      <c r="D20" s="407">
        <f>'Store Details'!C15</f>
        <v>0</v>
      </c>
      <c r="E20" s="408"/>
      <c r="F20" s="410"/>
    </row>
  </sheetData>
  <sheetProtection algorithmName="SHA-512" hashValue="N4S8hYK7V6JZ9BByMpXZTPnJfPbYW3jMiIjwtzXpGRGxDuyQy2Mp6jEgoDlngsMSkegDKuEvMJf49vGfRGq7mQ==" saltValue="HZe1dzTLDS2wJxsycqb4xQ=="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8"/>
  <dimension ref="A1:F20"/>
  <sheetViews>
    <sheetView topLeftCell="A2" zoomScale="90" zoomScaleNormal="90" workbookViewId="0">
      <selection activeCell="C10" sqref="C10:F18"/>
    </sheetView>
  </sheetViews>
  <sheetFormatPr defaultColWidth="11.5703125" defaultRowHeight="12.75"/>
  <cols>
    <col min="1" max="1" width="21.42578125" style="372" customWidth="1"/>
    <col min="2" max="3" width="19.42578125" style="372" customWidth="1"/>
    <col min="4" max="4" width="18.5703125" style="372" customWidth="1"/>
    <col min="5" max="5" width="19.42578125" style="372" customWidth="1"/>
    <col min="6" max="6" width="25.5703125" style="372" customWidth="1"/>
    <col min="7" max="16384" width="11.570312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 customHeight="1" thickBot="1">
      <c r="A3" s="524"/>
      <c r="B3" s="525"/>
      <c r="C3" s="381" t="s">
        <v>308</v>
      </c>
      <c r="D3" s="382">
        <f>'Store Details'!H2-1</f>
        <v>43863</v>
      </c>
      <c r="E3" s="383" t="s">
        <v>309</v>
      </c>
      <c r="F3" s="384" t="str">
        <f>IF('Store Details'!C33=0,"CL19",'Store Details'!C33)</f>
        <v>CL19</v>
      </c>
    </row>
    <row r="4" spans="1:6" ht="32.1" customHeight="1" thickBot="1">
      <c r="A4" s="524"/>
      <c r="B4" s="525"/>
      <c r="C4" s="385" t="s">
        <v>19</v>
      </c>
      <c r="D4" s="386" t="s">
        <v>172</v>
      </c>
      <c r="E4" s="386" t="s">
        <v>173</v>
      </c>
      <c r="F4" s="387" t="s">
        <v>310</v>
      </c>
    </row>
    <row r="5" spans="1:6" ht="22.5" customHeight="1" thickBot="1">
      <c r="A5" s="524"/>
      <c r="B5" s="525"/>
      <c r="C5" s="388" t="e">
        <f>'Weekly Minimums Planner'!M35</f>
        <v>#N/A</v>
      </c>
      <c r="D5" s="389">
        <f>'Weekly Minimums Planner'!P35</f>
        <v>0</v>
      </c>
      <c r="E5" s="389" t="e">
        <f>D5-C5</f>
        <v>#N/A</v>
      </c>
      <c r="F5" s="390" t="e">
        <f>(D5/C5)-1</f>
        <v>#N/A</v>
      </c>
    </row>
    <row r="6" spans="1:6" ht="15.6"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Planner'!AB35</f>
        <v/>
      </c>
      <c r="D8" s="398" t="str">
        <f>'Weekly Minimums Planner'!AC35</f>
        <v/>
      </c>
      <c r="E8" s="399" t="str">
        <f>'Weekly Minimums Planner'!AD35</f>
        <v/>
      </c>
      <c r="F8" s="400" t="str">
        <f>'Weekly Minimums Planner'!AE35</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3.5" thickBot="1">
      <c r="A18" s="514"/>
      <c r="B18" s="515"/>
      <c r="C18" s="520"/>
      <c r="D18" s="520"/>
      <c r="E18" s="520"/>
      <c r="F18" s="521"/>
    </row>
    <row r="19" spans="1:6" ht="15">
      <c r="A19" s="402" t="s">
        <v>11</v>
      </c>
      <c r="B19" s="403" t="s">
        <v>189</v>
      </c>
      <c r="C19" s="404" t="s">
        <v>316</v>
      </c>
      <c r="D19" s="405" t="s">
        <v>317</v>
      </c>
      <c r="E19" s="406" t="s">
        <v>189</v>
      </c>
      <c r="F19" s="404" t="s">
        <v>316</v>
      </c>
    </row>
    <row r="20" spans="1:6" ht="15.75" thickBot="1">
      <c r="A20" s="407" t="str">
        <f>F3</f>
        <v>CL19</v>
      </c>
      <c r="B20" s="408"/>
      <c r="C20" s="409"/>
      <c r="D20" s="407">
        <f>'Store Details'!C15</f>
        <v>0</v>
      </c>
      <c r="E20" s="408"/>
      <c r="F20" s="410"/>
    </row>
  </sheetData>
  <sheetProtection algorithmName="SHA-512" hashValue="5RCFIYzzYBON01sKDNxZLxmJWKgEXiRKvnNW2vnT9zceC9bj33szkpceP83PdcvYDoLI8tep8s0m/LyhJNmoSA==" saltValue="1GEHVS9JIdpFoyhCoYm/dA=="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9"/>
  <dimension ref="A1:F20"/>
  <sheetViews>
    <sheetView zoomScale="90" zoomScaleNormal="90" workbookViewId="0">
      <selection activeCell="C13" sqref="C13:F15"/>
    </sheetView>
  </sheetViews>
  <sheetFormatPr defaultColWidth="11.5703125" defaultRowHeight="12.75"/>
  <cols>
    <col min="1" max="1" width="21.42578125" style="372" customWidth="1"/>
    <col min="2" max="3" width="19.42578125" style="372" customWidth="1"/>
    <col min="4" max="4" width="18.5703125" style="372" customWidth="1"/>
    <col min="5" max="5" width="19.42578125" style="372" customWidth="1"/>
    <col min="6" max="6" width="25.5703125" style="372" customWidth="1"/>
    <col min="7" max="16384" width="11.570312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 customHeight="1" thickBot="1">
      <c r="A3" s="524"/>
      <c r="B3" s="525"/>
      <c r="C3" s="381" t="s">
        <v>308</v>
      </c>
      <c r="D3" s="382">
        <f>'Store Details'!H2-1</f>
        <v>43863</v>
      </c>
      <c r="E3" s="383" t="s">
        <v>309</v>
      </c>
      <c r="F3" s="384" t="str">
        <f>IF('Store Details'!C34=0,"CL20",'Store Details'!C34)</f>
        <v>CL20</v>
      </c>
    </row>
    <row r="4" spans="1:6" ht="32.1" customHeight="1" thickBot="1">
      <c r="A4" s="524"/>
      <c r="B4" s="525"/>
      <c r="C4" s="385" t="s">
        <v>19</v>
      </c>
      <c r="D4" s="386" t="s">
        <v>172</v>
      </c>
      <c r="E4" s="386" t="s">
        <v>173</v>
      </c>
      <c r="F4" s="387" t="s">
        <v>310</v>
      </c>
    </row>
    <row r="5" spans="1:6" ht="22.5" customHeight="1" thickBot="1">
      <c r="A5" s="524"/>
      <c r="B5" s="525"/>
      <c r="C5" s="388" t="e">
        <f>'Weekly Minimums Planner'!M36</f>
        <v>#N/A</v>
      </c>
      <c r="D5" s="389">
        <f>'Weekly Minimums Planner'!P36</f>
        <v>0</v>
      </c>
      <c r="E5" s="389" t="e">
        <f>D5-C5</f>
        <v>#N/A</v>
      </c>
      <c r="F5" s="390" t="e">
        <f>(D5/C5)-1</f>
        <v>#N/A</v>
      </c>
    </row>
    <row r="6" spans="1:6" ht="15.6"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Planner'!AB36</f>
        <v/>
      </c>
      <c r="D8" s="398" t="str">
        <f>'Weekly Minimums Planner'!AC36</f>
        <v/>
      </c>
      <c r="E8" s="399" t="str">
        <f>'Weekly Minimums Planner'!AD36</f>
        <v/>
      </c>
      <c r="F8" s="400" t="str">
        <f>'Weekly Minimums Planner'!AE36</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3.5" thickBot="1">
      <c r="A18" s="514"/>
      <c r="B18" s="515"/>
      <c r="C18" s="520"/>
      <c r="D18" s="520"/>
      <c r="E18" s="520"/>
      <c r="F18" s="521"/>
    </row>
    <row r="19" spans="1:6" ht="15">
      <c r="A19" s="402" t="s">
        <v>11</v>
      </c>
      <c r="B19" s="403" t="s">
        <v>189</v>
      </c>
      <c r="C19" s="404" t="s">
        <v>316</v>
      </c>
      <c r="D19" s="405" t="s">
        <v>317</v>
      </c>
      <c r="E19" s="406" t="s">
        <v>189</v>
      </c>
      <c r="F19" s="404" t="s">
        <v>316</v>
      </c>
    </row>
    <row r="20" spans="1:6" ht="15.75" thickBot="1">
      <c r="A20" s="407" t="str">
        <f>F3</f>
        <v>CL20</v>
      </c>
      <c r="B20" s="408"/>
      <c r="C20" s="409"/>
      <c r="D20" s="407">
        <f>'Store Details'!C15</f>
        <v>0</v>
      </c>
      <c r="E20" s="408"/>
      <c r="F20" s="410"/>
    </row>
  </sheetData>
  <sheetProtection algorithmName="SHA-512" hashValue="E5b5JxAuK1FNjYwQqsGi9Wr9ClJT56j4YOpn7ILYEbO8A8e8oK0xQu/pRgcT4Y0v16ixGxOPnFi8f07+NKpr2w==" saltValue="QKk2ISGh3ZUejlgNmf874Q=="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0"/>
  <dimension ref="A1:D31"/>
  <sheetViews>
    <sheetView zoomScaleNormal="100" workbookViewId="0">
      <selection activeCell="C6" sqref="C6"/>
    </sheetView>
  </sheetViews>
  <sheetFormatPr defaultColWidth="11.5703125" defaultRowHeight="12.75"/>
  <cols>
    <col min="1" max="1" width="2" customWidth="1"/>
    <col min="2" max="2" width="20" customWidth="1"/>
    <col min="3" max="3" width="53.85546875" customWidth="1"/>
    <col min="4" max="4" width="2.140625" customWidth="1"/>
  </cols>
  <sheetData>
    <row r="1" spans="1:4">
      <c r="A1" s="25"/>
      <c r="B1" s="25"/>
      <c r="C1" s="25"/>
      <c r="D1" s="25"/>
    </row>
    <row r="2" spans="1:4">
      <c r="A2" s="25"/>
      <c r="B2" s="154" t="s">
        <v>190</v>
      </c>
      <c r="C2" s="190" t="s">
        <v>326</v>
      </c>
      <c r="D2" s="25"/>
    </row>
    <row r="3" spans="1:4">
      <c r="A3" s="25"/>
      <c r="B3" s="154" t="s">
        <v>191</v>
      </c>
      <c r="C3" s="191">
        <v>3</v>
      </c>
      <c r="D3" s="25"/>
    </row>
    <row r="4" spans="1:4">
      <c r="A4" s="25"/>
      <c r="B4" s="154" t="s">
        <v>192</v>
      </c>
      <c r="C4" s="253">
        <v>43839</v>
      </c>
      <c r="D4" s="25"/>
    </row>
    <row r="5" spans="1:4">
      <c r="A5" s="25"/>
      <c r="B5" s="154"/>
      <c r="C5" s="190"/>
      <c r="D5" s="25"/>
    </row>
    <row r="6" spans="1:4">
      <c r="A6" s="25"/>
      <c r="B6" s="154" t="s">
        <v>193</v>
      </c>
      <c r="C6" s="190" t="s">
        <v>194</v>
      </c>
      <c r="D6" s="25"/>
    </row>
    <row r="7" spans="1:4">
      <c r="A7" s="25"/>
      <c r="B7" s="154"/>
      <c r="C7" s="190"/>
      <c r="D7" s="25"/>
    </row>
    <row r="8" spans="1:4">
      <c r="A8" s="25"/>
      <c r="B8" s="154"/>
      <c r="C8" s="190"/>
      <c r="D8" s="25"/>
    </row>
    <row r="9" spans="1:4">
      <c r="A9" s="25"/>
      <c r="B9" s="25"/>
      <c r="C9" s="25"/>
      <c r="D9" s="25"/>
    </row>
    <row r="10" spans="1:4" s="194" customFormat="1" ht="43.5" customHeight="1">
      <c r="A10" s="192"/>
      <c r="B10" s="193" t="s">
        <v>195</v>
      </c>
      <c r="C10" s="195" t="s">
        <v>196</v>
      </c>
      <c r="D10" s="192"/>
    </row>
    <row r="11" spans="1:4" s="194" customFormat="1" ht="43.5" customHeight="1">
      <c r="A11" s="192"/>
      <c r="B11" s="192"/>
      <c r="C11" s="193" t="s">
        <v>197</v>
      </c>
      <c r="D11" s="192"/>
    </row>
    <row r="12" spans="1:4" s="194" customFormat="1" ht="43.5" customHeight="1">
      <c r="A12" s="192"/>
      <c r="B12" s="192"/>
      <c r="C12" s="195" t="s">
        <v>198</v>
      </c>
      <c r="D12" s="192"/>
    </row>
    <row r="13" spans="1:4" s="194" customFormat="1" ht="43.5" customHeight="1">
      <c r="A13" s="192"/>
      <c r="B13" s="192"/>
      <c r="C13" s="159"/>
      <c r="D13" s="192"/>
    </row>
    <row r="14" spans="1:4">
      <c r="A14" s="25"/>
      <c r="B14" s="377" t="s">
        <v>281</v>
      </c>
      <c r="C14" s="558" t="s">
        <v>282</v>
      </c>
      <c r="D14" s="25"/>
    </row>
    <row r="15" spans="1:4">
      <c r="A15" s="25"/>
      <c r="B15" s="25"/>
      <c r="C15" s="559"/>
      <c r="D15" s="25"/>
    </row>
    <row r="16" spans="1:4">
      <c r="A16" s="25"/>
      <c r="B16" s="25"/>
      <c r="C16" s="559"/>
      <c r="D16" s="25"/>
    </row>
    <row r="17" spans="1:4">
      <c r="A17" s="25"/>
      <c r="B17" s="25"/>
      <c r="C17" s="559"/>
      <c r="D17" s="25"/>
    </row>
    <row r="18" spans="1:4">
      <c r="A18" s="25"/>
      <c r="B18" s="25"/>
      <c r="C18" s="559"/>
      <c r="D18" s="25"/>
    </row>
    <row r="19" spans="1:4">
      <c r="A19" s="25"/>
      <c r="B19" s="25"/>
      <c r="C19" s="559"/>
      <c r="D19" s="25"/>
    </row>
    <row r="20" spans="1:4">
      <c r="A20" s="25"/>
      <c r="B20" s="25"/>
      <c r="C20" s="559"/>
      <c r="D20" s="25"/>
    </row>
    <row r="21" spans="1:4">
      <c r="A21" s="25"/>
      <c r="B21" s="25"/>
      <c r="C21" s="559"/>
      <c r="D21" s="25"/>
    </row>
    <row r="22" spans="1:4">
      <c r="A22" s="25"/>
      <c r="B22" s="25"/>
      <c r="C22" s="25"/>
      <c r="D22" s="25"/>
    </row>
    <row r="23" spans="1:4">
      <c r="A23" s="25"/>
      <c r="B23" s="25"/>
      <c r="C23" s="25"/>
      <c r="D23" s="25"/>
    </row>
    <row r="24" spans="1:4" hidden="1">
      <c r="A24" s="25"/>
      <c r="B24" s="25"/>
      <c r="C24" s="154"/>
      <c r="D24" s="25"/>
    </row>
    <row r="25" spans="1:4" hidden="1">
      <c r="A25" s="25"/>
      <c r="B25" s="25"/>
      <c r="C25" s="154"/>
      <c r="D25" s="25"/>
    </row>
    <row r="26" spans="1:4" hidden="1">
      <c r="A26" s="25"/>
      <c r="B26" s="25"/>
      <c r="C26" s="154"/>
      <c r="D26" s="25"/>
    </row>
    <row r="27" spans="1:4" hidden="1">
      <c r="A27" s="25"/>
      <c r="B27" s="25"/>
      <c r="C27" s="154"/>
      <c r="D27" s="25"/>
    </row>
    <row r="28" spans="1:4" hidden="1">
      <c r="A28" s="25"/>
      <c r="B28" s="25"/>
      <c r="C28" s="154"/>
      <c r="D28" s="25"/>
    </row>
    <row r="29" spans="1:4" hidden="1">
      <c r="A29" s="25"/>
      <c r="B29" s="25"/>
      <c r="C29" s="154"/>
      <c r="D29" s="25"/>
    </row>
    <row r="30" spans="1:4" hidden="1">
      <c r="A30" s="25"/>
      <c r="B30" s="25"/>
      <c r="C30" s="196"/>
      <c r="D30" s="25"/>
    </row>
    <row r="31" spans="1:4">
      <c r="A31" s="25"/>
      <c r="B31" s="25"/>
      <c r="C31" s="25"/>
      <c r="D31" s="25"/>
    </row>
  </sheetData>
  <sheetProtection algorithmName="SHA-512" hashValue="0UTi9aWGISIV5ugh+GPPHw6DgYLMkQNfbqeiatxF4WqwfcuOpC/BDWMoRltR/JRe4hmjvWkYWqpfL6xmMy+2BA==" saltValue="s4MOwZBFb0EkqdCe6G3eXg==" spinCount="100000" sheet="1" selectLockedCells="1" selectUnlockedCells="1"/>
  <mergeCells count="1">
    <mergeCell ref="C14:C21"/>
  </mergeCells>
  <phoneticPr fontId="10" type="noConversion"/>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1"/>
  <dimension ref="B3:I133"/>
  <sheetViews>
    <sheetView topLeftCell="B106" workbookViewId="0">
      <selection activeCell="B133" sqref="B133"/>
    </sheetView>
  </sheetViews>
  <sheetFormatPr defaultRowHeight="12.75"/>
  <cols>
    <col min="2" max="2" width="24.5703125" customWidth="1"/>
    <col min="4" max="4" width="28.42578125" customWidth="1"/>
  </cols>
  <sheetData>
    <row r="3" spans="2:9">
      <c r="B3" t="s">
        <v>199</v>
      </c>
    </row>
    <row r="5" spans="2:9">
      <c r="B5" s="257" t="s">
        <v>200</v>
      </c>
      <c r="D5" s="257" t="s">
        <v>8</v>
      </c>
      <c r="E5" s="257" t="s">
        <v>201</v>
      </c>
    </row>
    <row r="7" spans="2:9">
      <c r="B7" s="258">
        <v>42372</v>
      </c>
      <c r="D7" t="s">
        <v>202</v>
      </c>
      <c r="E7" t="s">
        <v>203</v>
      </c>
    </row>
    <row r="8" spans="2:9">
      <c r="B8" s="258"/>
    </row>
    <row r="9" spans="2:9">
      <c r="B9" s="258">
        <v>42436</v>
      </c>
      <c r="D9" t="s">
        <v>204</v>
      </c>
      <c r="E9" t="s">
        <v>205</v>
      </c>
    </row>
    <row r="10" spans="2:9">
      <c r="B10" s="258"/>
    </row>
    <row r="11" spans="2:9">
      <c r="B11" s="258">
        <v>42402</v>
      </c>
      <c r="D11" t="s">
        <v>206</v>
      </c>
      <c r="E11" t="s">
        <v>207</v>
      </c>
    </row>
    <row r="12" spans="2:9">
      <c r="B12" s="258"/>
    </row>
    <row r="13" spans="2:9">
      <c r="B13" s="258"/>
      <c r="G13" t="s">
        <v>208</v>
      </c>
    </row>
    <row r="14" spans="2:9">
      <c r="B14" s="258"/>
      <c r="H14" t="s">
        <v>209</v>
      </c>
      <c r="I14" t="s">
        <v>210</v>
      </c>
    </row>
    <row r="15" spans="2:9">
      <c r="B15" s="258"/>
      <c r="H15" t="s">
        <v>211</v>
      </c>
      <c r="I15" t="s">
        <v>212</v>
      </c>
    </row>
    <row r="16" spans="2:9">
      <c r="B16" s="258"/>
      <c r="H16" t="s">
        <v>213</v>
      </c>
      <c r="I16" t="s">
        <v>214</v>
      </c>
    </row>
    <row r="17" spans="2:9">
      <c r="B17" s="258"/>
      <c r="H17" t="s">
        <v>215</v>
      </c>
      <c r="I17" t="s">
        <v>216</v>
      </c>
    </row>
    <row r="18" spans="2:9">
      <c r="B18" s="258"/>
      <c r="H18" t="s">
        <v>217</v>
      </c>
      <c r="I18" t="s">
        <v>218</v>
      </c>
    </row>
    <row r="19" spans="2:9">
      <c r="B19" s="258"/>
    </row>
    <row r="20" spans="2:9">
      <c r="B20" s="258">
        <v>42430</v>
      </c>
      <c r="D20" t="s">
        <v>219</v>
      </c>
      <c r="E20" t="s">
        <v>220</v>
      </c>
    </row>
    <row r="21" spans="2:9">
      <c r="B21" s="258"/>
    </row>
    <row r="22" spans="2:9">
      <c r="B22" s="258">
        <v>42436</v>
      </c>
      <c r="D22" t="s">
        <v>221</v>
      </c>
      <c r="E22" t="s">
        <v>222</v>
      </c>
    </row>
    <row r="23" spans="2:9">
      <c r="B23" s="258"/>
    </row>
    <row r="24" spans="2:9">
      <c r="B24" s="258">
        <v>42488</v>
      </c>
      <c r="D24" t="s">
        <v>223</v>
      </c>
      <c r="E24" t="s">
        <v>224</v>
      </c>
    </row>
    <row r="25" spans="2:9">
      <c r="B25" s="258"/>
    </row>
    <row r="26" spans="2:9">
      <c r="B26" s="258">
        <v>42527</v>
      </c>
      <c r="D26" t="s">
        <v>225</v>
      </c>
      <c r="E26" t="s">
        <v>226</v>
      </c>
    </row>
    <row r="27" spans="2:9">
      <c r="B27" s="258"/>
    </row>
    <row r="28" spans="2:9">
      <c r="B28" s="258">
        <v>42533</v>
      </c>
      <c r="D28" t="s">
        <v>227</v>
      </c>
      <c r="E28" t="s">
        <v>228</v>
      </c>
    </row>
    <row r="29" spans="2:9">
      <c r="B29" s="258"/>
      <c r="E29" t="s">
        <v>229</v>
      </c>
    </row>
    <row r="30" spans="2:9">
      <c r="B30" s="258"/>
    </row>
    <row r="31" spans="2:9">
      <c r="B31" s="258">
        <v>42543</v>
      </c>
      <c r="D31" t="s">
        <v>230</v>
      </c>
      <c r="E31" t="s">
        <v>231</v>
      </c>
    </row>
    <row r="32" spans="2:9">
      <c r="B32" s="258"/>
      <c r="E32" t="s">
        <v>232</v>
      </c>
    </row>
    <row r="33" spans="2:5">
      <c r="B33" s="258"/>
      <c r="E33" t="s">
        <v>233</v>
      </c>
    </row>
    <row r="34" spans="2:5">
      <c r="B34" s="258"/>
      <c r="E34" t="s">
        <v>234</v>
      </c>
    </row>
    <row r="35" spans="2:5">
      <c r="B35" s="258"/>
      <c r="E35" t="s">
        <v>235</v>
      </c>
    </row>
    <row r="36" spans="2:5">
      <c r="B36" s="258"/>
    </row>
    <row r="37" spans="2:5">
      <c r="B37" s="258">
        <v>42552</v>
      </c>
      <c r="D37" t="s">
        <v>236</v>
      </c>
      <c r="E37" t="s">
        <v>237</v>
      </c>
    </row>
    <row r="38" spans="2:5">
      <c r="B38" s="258"/>
    </row>
    <row r="39" spans="2:5">
      <c r="B39" s="258">
        <v>42563</v>
      </c>
      <c r="D39" t="s">
        <v>238</v>
      </c>
      <c r="E39" t="s">
        <v>239</v>
      </c>
    </row>
    <row r="40" spans="2:5">
      <c r="B40" s="258"/>
    </row>
    <row r="41" spans="2:5">
      <c r="B41" s="258">
        <v>42844</v>
      </c>
      <c r="D41" t="s">
        <v>240</v>
      </c>
      <c r="E41" t="s">
        <v>241</v>
      </c>
    </row>
    <row r="42" spans="2:5">
      <c r="B42" s="258"/>
    </row>
    <row r="43" spans="2:5">
      <c r="B43" s="258">
        <v>43107</v>
      </c>
      <c r="D43" t="s">
        <v>242</v>
      </c>
      <c r="E43" t="s">
        <v>243</v>
      </c>
    </row>
    <row r="44" spans="2:5">
      <c r="B44" s="258"/>
      <c r="E44" t="s">
        <v>244</v>
      </c>
    </row>
    <row r="45" spans="2:5">
      <c r="B45" s="258"/>
    </row>
    <row r="46" spans="2:5">
      <c r="B46" s="258">
        <v>43157</v>
      </c>
      <c r="D46" t="s">
        <v>245</v>
      </c>
      <c r="E46" t="s">
        <v>246</v>
      </c>
    </row>
    <row r="47" spans="2:5">
      <c r="B47" s="258"/>
      <c r="E47" t="s">
        <v>247</v>
      </c>
    </row>
    <row r="49" spans="2:5">
      <c r="B49" s="258">
        <v>43171</v>
      </c>
      <c r="D49" t="s">
        <v>248</v>
      </c>
      <c r="E49" t="s">
        <v>249</v>
      </c>
    </row>
    <row r="51" spans="2:5">
      <c r="B51" s="258">
        <v>43174</v>
      </c>
      <c r="D51" t="s">
        <v>250</v>
      </c>
      <c r="E51" t="s">
        <v>251</v>
      </c>
    </row>
    <row r="52" spans="2:5">
      <c r="B52" s="258"/>
    </row>
    <row r="53" spans="2:5">
      <c r="B53" s="258">
        <v>43181</v>
      </c>
      <c r="D53" t="s">
        <v>252</v>
      </c>
      <c r="E53" t="s">
        <v>253</v>
      </c>
    </row>
    <row r="54" spans="2:5">
      <c r="B54" s="258"/>
      <c r="E54" t="s">
        <v>254</v>
      </c>
    </row>
    <row r="55" spans="2:5">
      <c r="B55" s="258"/>
      <c r="E55" t="s">
        <v>255</v>
      </c>
    </row>
    <row r="56" spans="2:5">
      <c r="B56" s="258"/>
      <c r="E56" t="s">
        <v>256</v>
      </c>
    </row>
    <row r="57" spans="2:5">
      <c r="B57" s="258"/>
    </row>
    <row r="58" spans="2:5">
      <c r="B58" s="258">
        <v>43186</v>
      </c>
      <c r="D58" t="s">
        <v>257</v>
      </c>
      <c r="E58" t="s">
        <v>258</v>
      </c>
    </row>
    <row r="59" spans="2:5">
      <c r="B59" s="258"/>
    </row>
    <row r="60" spans="2:5">
      <c r="B60" s="258">
        <v>43187</v>
      </c>
      <c r="D60" t="s">
        <v>259</v>
      </c>
      <c r="E60" t="s">
        <v>260</v>
      </c>
    </row>
    <row r="61" spans="2:5">
      <c r="B61" s="258"/>
    </row>
    <row r="62" spans="2:5">
      <c r="B62" s="258">
        <v>43216</v>
      </c>
      <c r="D62" t="s">
        <v>261</v>
      </c>
      <c r="E62" t="s">
        <v>262</v>
      </c>
    </row>
    <row r="63" spans="2:5">
      <c r="B63" s="258"/>
      <c r="E63" t="s">
        <v>263</v>
      </c>
    </row>
    <row r="64" spans="2:5">
      <c r="B64" s="258"/>
      <c r="E64" t="s">
        <v>264</v>
      </c>
    </row>
    <row r="65" spans="2:5">
      <c r="B65" s="258"/>
    </row>
    <row r="66" spans="2:5">
      <c r="B66" s="258">
        <v>43221</v>
      </c>
      <c r="D66" t="s">
        <v>265</v>
      </c>
      <c r="E66" t="s">
        <v>266</v>
      </c>
    </row>
    <row r="67" spans="2:5">
      <c r="B67" s="258"/>
    </row>
    <row r="68" spans="2:5">
      <c r="B68" s="258">
        <v>43226</v>
      </c>
      <c r="D68" t="s">
        <v>267</v>
      </c>
      <c r="E68" t="s">
        <v>268</v>
      </c>
    </row>
    <row r="69" spans="2:5">
      <c r="B69" s="258"/>
    </row>
    <row r="70" spans="2:5">
      <c r="B70" s="258">
        <v>43232</v>
      </c>
      <c r="D70" t="s">
        <v>269</v>
      </c>
      <c r="E70" t="s">
        <v>270</v>
      </c>
    </row>
    <row r="71" spans="2:5">
      <c r="B71" s="258"/>
      <c r="E71" t="s">
        <v>271</v>
      </c>
    </row>
    <row r="72" spans="2:5">
      <c r="B72" s="258"/>
    </row>
    <row r="73" spans="2:5">
      <c r="B73" s="258">
        <v>43240</v>
      </c>
      <c r="D73" t="s">
        <v>272</v>
      </c>
      <c r="E73" t="s">
        <v>273</v>
      </c>
    </row>
    <row r="74" spans="2:5">
      <c r="B74" s="258"/>
      <c r="E74" t="s">
        <v>274</v>
      </c>
    </row>
    <row r="75" spans="2:5">
      <c r="B75" s="258"/>
      <c r="E75" t="s">
        <v>275</v>
      </c>
    </row>
    <row r="76" spans="2:5">
      <c r="B76" s="258"/>
    </row>
    <row r="77" spans="2:5">
      <c r="B77" s="258">
        <v>43248</v>
      </c>
      <c r="D77" t="s">
        <v>276</v>
      </c>
      <c r="E77" t="s">
        <v>277</v>
      </c>
    </row>
    <row r="78" spans="2:5">
      <c r="B78" s="258"/>
    </row>
    <row r="79" spans="2:5">
      <c r="B79" s="258">
        <v>43270</v>
      </c>
      <c r="D79" t="s">
        <v>278</v>
      </c>
      <c r="E79" t="s">
        <v>279</v>
      </c>
    </row>
    <row r="80" spans="2:5">
      <c r="B80" s="258"/>
    </row>
    <row r="81" spans="2:5">
      <c r="B81" s="258">
        <v>43271</v>
      </c>
      <c r="D81" t="s">
        <v>280</v>
      </c>
      <c r="E81" t="s">
        <v>283</v>
      </c>
    </row>
    <row r="82" spans="2:5">
      <c r="B82" s="258"/>
    </row>
    <row r="83" spans="2:5">
      <c r="B83" s="258">
        <v>43276</v>
      </c>
      <c r="D83" t="s">
        <v>286</v>
      </c>
      <c r="E83" t="s">
        <v>287</v>
      </c>
    </row>
    <row r="84" spans="2:5">
      <c r="B84" s="258"/>
      <c r="E84" t="s">
        <v>288</v>
      </c>
    </row>
    <row r="85" spans="2:5">
      <c r="B85" s="258"/>
    </row>
    <row r="86" spans="2:5">
      <c r="B86" s="258">
        <v>43292</v>
      </c>
      <c r="D86" t="s">
        <v>289</v>
      </c>
      <c r="E86" t="s">
        <v>290</v>
      </c>
    </row>
    <row r="87" spans="2:5">
      <c r="B87" s="258"/>
    </row>
    <row r="88" spans="2:5">
      <c r="B88" s="258"/>
    </row>
    <row r="89" spans="2:5">
      <c r="B89" s="258">
        <v>43308</v>
      </c>
      <c r="D89" t="s">
        <v>291</v>
      </c>
      <c r="E89" t="s">
        <v>292</v>
      </c>
    </row>
    <row r="90" spans="2:5">
      <c r="B90" s="258"/>
    </row>
    <row r="91" spans="2:5">
      <c r="B91" s="258">
        <v>43391</v>
      </c>
      <c r="D91" t="s">
        <v>294</v>
      </c>
      <c r="E91" t="s">
        <v>295</v>
      </c>
    </row>
    <row r="92" spans="2:5">
      <c r="B92" s="258"/>
    </row>
    <row r="93" spans="2:5">
      <c r="B93" s="258">
        <v>43391</v>
      </c>
      <c r="D93" t="s">
        <v>298</v>
      </c>
      <c r="E93" t="s">
        <v>299</v>
      </c>
    </row>
    <row r="94" spans="2:5">
      <c r="B94" s="258"/>
    </row>
    <row r="95" spans="2:5">
      <c r="B95" s="258">
        <v>43473</v>
      </c>
      <c r="D95" t="s">
        <v>303</v>
      </c>
      <c r="E95" t="s">
        <v>301</v>
      </c>
    </row>
    <row r="97" spans="2:5">
      <c r="B97" s="258">
        <v>43487</v>
      </c>
      <c r="D97" t="s">
        <v>302</v>
      </c>
      <c r="E97" t="s">
        <v>300</v>
      </c>
    </row>
    <row r="99" spans="2:5">
      <c r="B99" s="258">
        <v>43500</v>
      </c>
      <c r="D99" t="s">
        <v>304</v>
      </c>
      <c r="E99" t="s">
        <v>305</v>
      </c>
    </row>
    <row r="101" spans="2:5">
      <c r="B101" s="258">
        <v>43507</v>
      </c>
      <c r="D101" t="s">
        <v>306</v>
      </c>
      <c r="E101" t="s">
        <v>320</v>
      </c>
    </row>
    <row r="103" spans="2:5">
      <c r="B103" s="258">
        <v>43508</v>
      </c>
      <c r="D103" t="s">
        <v>321</v>
      </c>
      <c r="E103" t="s">
        <v>322</v>
      </c>
    </row>
    <row r="105" spans="2:5">
      <c r="B105" s="258">
        <v>43525</v>
      </c>
      <c r="D105" t="s">
        <v>323</v>
      </c>
      <c r="E105" t="s">
        <v>324</v>
      </c>
    </row>
    <row r="107" spans="2:5">
      <c r="B107" s="258">
        <v>43529</v>
      </c>
      <c r="D107" t="s">
        <v>328</v>
      </c>
      <c r="E107" t="s">
        <v>325</v>
      </c>
    </row>
    <row r="109" spans="2:5">
      <c r="B109" s="258">
        <v>43543</v>
      </c>
      <c r="D109" t="s">
        <v>329</v>
      </c>
      <c r="E109" t="s">
        <v>330</v>
      </c>
    </row>
    <row r="111" spans="2:5">
      <c r="B111" s="258">
        <v>43606</v>
      </c>
      <c r="D111" t="s">
        <v>331</v>
      </c>
      <c r="E111" t="s">
        <v>332</v>
      </c>
    </row>
    <row r="112" spans="2:5">
      <c r="B112" s="258"/>
    </row>
    <row r="113" spans="2:5">
      <c r="B113" s="258">
        <v>43662</v>
      </c>
      <c r="D113" t="s">
        <v>348</v>
      </c>
      <c r="E113" t="s">
        <v>344</v>
      </c>
    </row>
    <row r="114" spans="2:5">
      <c r="B114" s="258"/>
      <c r="E114" t="s">
        <v>345</v>
      </c>
    </row>
    <row r="115" spans="2:5">
      <c r="B115" s="258"/>
    </row>
    <row r="116" spans="2:5">
      <c r="B116" s="258">
        <v>43665</v>
      </c>
      <c r="D116" t="s">
        <v>349</v>
      </c>
      <c r="E116" t="s">
        <v>350</v>
      </c>
    </row>
    <row r="117" spans="2:5">
      <c r="B117" s="258"/>
    </row>
    <row r="118" spans="2:5">
      <c r="B118" s="258">
        <v>43669</v>
      </c>
      <c r="D118" t="s">
        <v>351</v>
      </c>
      <c r="E118" t="s">
        <v>352</v>
      </c>
    </row>
    <row r="119" spans="2:5">
      <c r="B119" s="258"/>
      <c r="E119" t="s">
        <v>353</v>
      </c>
    </row>
    <row r="120" spans="2:5">
      <c r="B120" s="258"/>
    </row>
    <row r="121" spans="2:5">
      <c r="B121" s="258">
        <v>43698</v>
      </c>
      <c r="D121" t="s">
        <v>379</v>
      </c>
      <c r="E121" t="s">
        <v>380</v>
      </c>
    </row>
    <row r="123" spans="2:5">
      <c r="B123" s="258">
        <v>43686</v>
      </c>
      <c r="D123" t="s">
        <v>371</v>
      </c>
      <c r="E123" t="s">
        <v>373</v>
      </c>
    </row>
    <row r="125" spans="2:5">
      <c r="B125" s="258">
        <v>43695</v>
      </c>
      <c r="D125" t="s">
        <v>377</v>
      </c>
      <c r="E125" t="s">
        <v>374</v>
      </c>
    </row>
    <row r="126" spans="2:5">
      <c r="E126" t="s">
        <v>375</v>
      </c>
    </row>
    <row r="128" spans="2:5">
      <c r="B128" s="258">
        <v>43705</v>
      </c>
      <c r="D128" t="s">
        <v>381</v>
      </c>
      <c r="E128" t="s">
        <v>378</v>
      </c>
    </row>
    <row r="129" spans="2:5">
      <c r="B129" s="258"/>
    </row>
    <row r="130" spans="2:5">
      <c r="B130" s="258">
        <v>43713</v>
      </c>
      <c r="D130" t="s">
        <v>382</v>
      </c>
      <c r="E130" t="s">
        <v>383</v>
      </c>
    </row>
    <row r="131" spans="2:5">
      <c r="B131" s="258"/>
    </row>
    <row r="132" spans="2:5">
      <c r="B132" s="258">
        <v>43851</v>
      </c>
      <c r="D132" t="s">
        <v>384</v>
      </c>
      <c r="E132" t="s">
        <v>385</v>
      </c>
    </row>
    <row r="133" spans="2:5">
      <c r="B133" s="258"/>
    </row>
  </sheetData>
  <sheetProtection algorithmName="SHA-512" hashValue="wJXYuSVWiXFwKiukVsRUUdeHsA+vuB7pH9ot4i5kX36EgZnzCGyxrhWcIItq1z+TtJwpH7M3qiSOSe4u6X3QDw==" saltValue="Wc9SCFw4hZBA2zhvtqiODQ==" spinCount="100000" sheet="1" objects="1" scenarios="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12</vt:i4>
      </vt:variant>
    </vt:vector>
  </HeadingPairs>
  <TitlesOfParts>
    <vt:vector size="54" baseType="lpstr">
      <vt:lpstr>Store Details</vt:lpstr>
      <vt:lpstr>Weekly Statistics</vt:lpstr>
      <vt:lpstr>Weekly Minimums Planner</vt:lpstr>
      <vt:lpstr>Monthly Statistics</vt:lpstr>
      <vt:lpstr>Friedman</vt:lpstr>
      <vt:lpstr>Daily &amp; Weekly Totals</vt:lpstr>
      <vt:lpstr>Daily Sales Report</vt:lpstr>
      <vt:lpstr>Daily Sales Budgets</vt:lpstr>
      <vt:lpstr>Num of Sales</vt:lpstr>
      <vt:lpstr>Num of Lines</vt:lpstr>
      <vt:lpstr>Budgets</vt:lpstr>
      <vt:lpstr>Value of Sales</vt:lpstr>
      <vt:lpstr>Staff Hours</vt:lpstr>
      <vt:lpstr>Daily Sales Graphs</vt:lpstr>
      <vt:lpstr>WTR Week 1</vt:lpstr>
      <vt:lpstr>WTR Week 2</vt:lpstr>
      <vt:lpstr>WTR Week 3</vt:lpstr>
      <vt:lpstr>WTR Week 4</vt:lpstr>
      <vt:lpstr>WTR Week 5</vt:lpstr>
      <vt:lpstr>CL_Checklist</vt:lpstr>
      <vt:lpstr>CL1</vt:lpstr>
      <vt:lpstr>CL2</vt:lpstr>
      <vt:lpstr>CL3</vt:lpstr>
      <vt:lpstr>CL4</vt:lpstr>
      <vt:lpstr>CL5</vt:lpstr>
      <vt:lpstr>CL6</vt:lpstr>
      <vt:lpstr>CL7</vt:lpstr>
      <vt:lpstr>CL8</vt:lpstr>
      <vt:lpstr>CL9</vt:lpstr>
      <vt:lpstr>CL10</vt:lpstr>
      <vt:lpstr>CL11</vt:lpstr>
      <vt:lpstr>CL12</vt:lpstr>
      <vt:lpstr>CL13</vt:lpstr>
      <vt:lpstr>CL14</vt:lpstr>
      <vt:lpstr>CL15</vt:lpstr>
      <vt:lpstr>CL16</vt:lpstr>
      <vt:lpstr>CL17</vt:lpstr>
      <vt:lpstr>CL18</vt:lpstr>
      <vt:lpstr>CL19</vt:lpstr>
      <vt:lpstr>CL20</vt:lpstr>
      <vt:lpstr>Specifications</vt:lpstr>
      <vt:lpstr>Version Notes</vt:lpstr>
      <vt:lpstr>CL_Checklist!Print_Area</vt:lpstr>
      <vt:lpstr>'Daily Sales Budgets'!Print_Area</vt:lpstr>
      <vt:lpstr>'Monthly Statistics'!Print_Area</vt:lpstr>
      <vt:lpstr>'Store Details'!Print_Area</vt:lpstr>
      <vt:lpstr>'Weekly Minimums Planner'!Print_Area</vt:lpstr>
      <vt:lpstr>'Weekly Statistics'!Print_Area</vt:lpstr>
      <vt:lpstr>'WTR Week 1'!Print_Area</vt:lpstr>
      <vt:lpstr>'WTR Week 2'!Print_Area</vt:lpstr>
      <vt:lpstr>'WTR Week 3'!Print_Area</vt:lpstr>
      <vt:lpstr>'WTR Week 4'!Print_Area</vt:lpstr>
      <vt:lpstr>'WTR Week 5'!Print_Area</vt:lpstr>
      <vt:lpstr>staff_options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Peter Lacovich</dc:creator>
  <cp:keywords/>
  <dc:description/>
  <cp:lastModifiedBy>Matthew Whiteley</cp:lastModifiedBy>
  <cp:revision/>
  <cp:lastPrinted>2019-08-27T22:26:25Z</cp:lastPrinted>
  <dcterms:created xsi:type="dcterms:W3CDTF">2015-05-14T12:03:15Z</dcterms:created>
  <dcterms:modified xsi:type="dcterms:W3CDTF">2020-05-27T15:52:59Z</dcterms:modified>
  <cp:category/>
  <cp:contentStatus/>
</cp:coreProperties>
</file>